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CcwsBethelCommunity\"/>
    </mc:Choice>
  </mc:AlternateContent>
  <xr:revisionPtr revIDLastSave="0" documentId="8_{8EF26969-887C-474E-8795-487C2BC05FFC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Contemporary (4P Binder)" sheetId="1" r:id="rId1"/>
    <sheet name="Hymns (2P Binder)" sheetId="2" r:id="rId2"/>
    <sheet name="Christmas" sheetId="3" r:id="rId3"/>
  </sheets>
  <definedNames>
    <definedName name="_xlnm._FilterDatabase" localSheetId="2" hidden="1">Christmas!$A$1:$U$25</definedName>
    <definedName name="_xlnm._FilterDatabase" localSheetId="0" hidden="1">'Contemporary (4P Binder)'!$A$1:$W$322</definedName>
    <definedName name="Z_3D90CCC9_2098_49D0_B048_150589B000BB_.wvu.Cols" localSheetId="2" hidden="1">Christmas!$Q:$R</definedName>
    <definedName name="Z_3D90CCC9_2098_49D0_B048_150589B000BB_.wvu.Cols" localSheetId="0" hidden="1">'Contemporary (4P Binder)'!$O:$R</definedName>
    <definedName name="Z_3D90CCC9_2098_49D0_B048_150589B000BB_.wvu.FilterData" localSheetId="2" hidden="1">Christmas!$A$1:$U$25</definedName>
    <definedName name="Z_3D90CCC9_2098_49D0_B048_150589B000BB_.wvu.FilterData" localSheetId="0" hidden="1">'Contemporary (4P Binder)'!$A$1:$W$322</definedName>
    <definedName name="Z_7CF7E09B_DE34_46B0_A744_0543B6C0C399_.wvu.Cols" localSheetId="2" hidden="1">Christmas!$Q:$R</definedName>
    <definedName name="Z_7CF7E09B_DE34_46B0_A744_0543B6C0C399_.wvu.Cols" localSheetId="0" hidden="1">'Contemporary (4P Binder)'!$O:$R</definedName>
    <definedName name="Z_7CF7E09B_DE34_46B0_A744_0543B6C0C399_.wvu.FilterData" localSheetId="2" hidden="1">Christmas!$A$1:$U$25</definedName>
    <definedName name="Z_7CF7E09B_DE34_46B0_A744_0543B6C0C399_.wvu.FilterData" localSheetId="0" hidden="1">'Contemporary (4P Binder)'!$A$1:$W$322</definedName>
    <definedName name="Z_FC34F940_3EA4_4915_AF37_108B14C951B2_.wvu.Cols" localSheetId="2" hidden="1">Christmas!$Q:$R</definedName>
    <definedName name="Z_FC34F940_3EA4_4915_AF37_108B14C951B2_.wvu.Cols" localSheetId="0" hidden="1">'Contemporary (4P Binder)'!$O:$R</definedName>
    <definedName name="Z_FC34F940_3EA4_4915_AF37_108B14C951B2_.wvu.FilterData" localSheetId="2" hidden="1">Christmas!$A$1:$U$25</definedName>
    <definedName name="Z_FC34F940_3EA4_4915_AF37_108B14C951B2_.wvu.FilterData" localSheetId="0" hidden="1">'Contemporary (4P Binder)'!$A$1:$W$322</definedName>
  </definedNames>
  <calcPr calcId="191029"/>
  <customWorkbookViews>
    <customWorkbookView name="Transpose for V2" guid="{7CF7E09B-DE34-46B0-A744-0543B6C0C399}" includePrintSettings="0" maximized="1" xWindow="1912" yWindow="-8" windowWidth="1936" windowHeight="1066" activeSheetId="1"/>
    <customWorkbookView name="Changes for V2" guid="{FC34F940-3EA4-4915-AF37-108B14C951B2}" includePrintSettings="0" maximized="1" xWindow="1912" yWindow="-8" windowWidth="1936" windowHeight="1066" activeSheetId="1"/>
    <customWorkbookView name="Final V1" guid="{3D90CCC9-2098-49D0-B048-150589B000BB}" includePrintSettings="0" maximized="1" xWindow="1912" yWindow="-8" windowWidth="1936" windowHeight="106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" i="3" l="1"/>
  <c r="E7" i="3"/>
  <c r="E8" i="3"/>
  <c r="E9" i="3"/>
  <c r="E10" i="3"/>
  <c r="E11" i="3"/>
  <c r="E12" i="3"/>
  <c r="E13" i="3"/>
  <c r="E3" i="3"/>
  <c r="E14" i="3"/>
  <c r="E15" i="3"/>
  <c r="E4" i="3"/>
  <c r="E16" i="3"/>
  <c r="E17" i="3"/>
  <c r="E18" i="3"/>
  <c r="E19" i="3"/>
  <c r="E20" i="3"/>
  <c r="E21" i="3"/>
  <c r="E5" i="3"/>
  <c r="E22" i="3"/>
  <c r="E23" i="3"/>
  <c r="E24" i="3"/>
  <c r="E25" i="3"/>
  <c r="C2" i="3"/>
  <c r="C7" i="3"/>
  <c r="C8" i="3"/>
  <c r="C9" i="3"/>
  <c r="C10" i="3"/>
  <c r="C11" i="3"/>
  <c r="C12" i="3"/>
  <c r="C13" i="3"/>
  <c r="C3" i="3"/>
  <c r="C14" i="3"/>
  <c r="C15" i="3"/>
  <c r="C4" i="3"/>
  <c r="C16" i="3"/>
  <c r="C17" i="3"/>
  <c r="C18" i="3"/>
  <c r="C19" i="3"/>
  <c r="C20" i="3"/>
  <c r="C21" i="3"/>
  <c r="C5" i="3"/>
  <c r="C22" i="3"/>
  <c r="C23" i="3"/>
  <c r="C24" i="3"/>
  <c r="C25" i="3"/>
  <c r="E6" i="3"/>
  <c r="C6" i="3"/>
  <c r="C138" i="1" l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137" i="1"/>
</calcChain>
</file>

<file path=xl/sharedStrings.xml><?xml version="1.0" encoding="utf-8"?>
<sst xmlns="http://schemas.openxmlformats.org/spreadsheetml/2006/main" count="2571" uniqueCount="677">
  <si>
    <t>Title</t>
  </si>
  <si>
    <t>Author</t>
  </si>
  <si>
    <t>Year</t>
  </si>
  <si>
    <t>Source (#)</t>
  </si>
  <si>
    <t>Revelation Song</t>
  </si>
  <si>
    <t>Tempo</t>
  </si>
  <si>
    <t>Key</t>
  </si>
  <si>
    <t>Contemporary</t>
  </si>
  <si>
    <t>A</t>
  </si>
  <si>
    <t>Noel Richards, Tricia Richards</t>
  </si>
  <si>
    <t>Timing</t>
  </si>
  <si>
    <t>4/4</t>
  </si>
  <si>
    <t>E</t>
  </si>
  <si>
    <t>Copyright</t>
  </si>
  <si>
    <t>Countless Wonder Publishing</t>
  </si>
  <si>
    <t>sixsteps Music</t>
  </si>
  <si>
    <t>Thankyou Music</t>
  </si>
  <si>
    <t>Ab</t>
  </si>
  <si>
    <t>3/4</t>
  </si>
  <si>
    <t>Sovereign Grace Worship</t>
  </si>
  <si>
    <t>Gerald Coates, Noel Richards</t>
  </si>
  <si>
    <t>Sovereign Grace Praise</t>
  </si>
  <si>
    <t>All Heaven Declares</t>
  </si>
  <si>
    <t>All Glory Be To Christ</t>
  </si>
  <si>
    <t>Amazing Grace (My Chains Are Gone)</t>
  </si>
  <si>
    <t>At The Cross</t>
  </si>
  <si>
    <t>All To Us</t>
  </si>
  <si>
    <t>Before The Throne Of God Above</t>
  </si>
  <si>
    <t>Behold The Lord</t>
  </si>
  <si>
    <t>Behold Our God</t>
  </si>
  <si>
    <t>Better Is One Day</t>
  </si>
  <si>
    <t>Blessed Be Your Name</t>
  </si>
  <si>
    <t>Build My Life</t>
  </si>
  <si>
    <t>Christ Is Enough</t>
  </si>
  <si>
    <t>Christ The Lord Is Risen Today</t>
  </si>
  <si>
    <t>Cornerstone</t>
  </si>
  <si>
    <t>Death Where Is Your Sting</t>
  </si>
  <si>
    <t>Do It Again</t>
  </si>
  <si>
    <t>Faithful</t>
  </si>
  <si>
    <t>Forever</t>
  </si>
  <si>
    <t>Great Are You Lord</t>
  </si>
  <si>
    <t>Hallelujah For The Cross</t>
  </si>
  <si>
    <t>He Reigns</t>
  </si>
  <si>
    <t>Healer</t>
  </si>
  <si>
    <t>Heart Of Worship, The</t>
  </si>
  <si>
    <t>Here Again</t>
  </si>
  <si>
    <t>Here I Am To Worship</t>
  </si>
  <si>
    <t>Here Is Love</t>
  </si>
  <si>
    <t>Hope Of The Nations</t>
  </si>
  <si>
    <t>How Deep The Father's Love For Us</t>
  </si>
  <si>
    <t>How Great Is Our God</t>
  </si>
  <si>
    <t>How Great Thou Art</t>
  </si>
  <si>
    <t>I Stand Amazed</t>
  </si>
  <si>
    <t>I Will Follow</t>
  </si>
  <si>
    <t>I Will Rise</t>
  </si>
  <si>
    <t>In Christ Alone</t>
  </si>
  <si>
    <t>Is He Worthy</t>
  </si>
  <si>
    <t>Jesus Paid It All</t>
  </si>
  <si>
    <t>Knowing You</t>
  </si>
  <si>
    <t>Living Hope</t>
  </si>
  <si>
    <t>Lord I Need You</t>
  </si>
  <si>
    <t>Love Of God, The</t>
  </si>
  <si>
    <t>Man Of Sorrows</t>
  </si>
  <si>
    <t>Mercy</t>
  </si>
  <si>
    <t>Mighty To Save</t>
  </si>
  <si>
    <t>Mountain</t>
  </si>
  <si>
    <t>No Longer Slaves</t>
  </si>
  <si>
    <t>O Church Arise</t>
  </si>
  <si>
    <t>O Come To The Altar</t>
  </si>
  <si>
    <t>O Praise The Name</t>
  </si>
  <si>
    <t>Oceans</t>
  </si>
  <si>
    <t>Our God</t>
  </si>
  <si>
    <t>Reckless Love</t>
  </si>
  <si>
    <t>Stand, The</t>
  </si>
  <si>
    <t>Still</t>
  </si>
  <si>
    <t>Tremble</t>
  </si>
  <si>
    <t>Victory In Jesus</t>
  </si>
  <si>
    <t>Way Maker</t>
  </si>
  <si>
    <t>We Believe</t>
  </si>
  <si>
    <t>Who You Say I Am</t>
  </si>
  <si>
    <t>Yes And Amen</t>
  </si>
  <si>
    <t>Yet Not I But Through Christ In Me</t>
  </si>
  <si>
    <t>Stronger</t>
  </si>
  <si>
    <t>Power Of Your Love, The</t>
  </si>
  <si>
    <t>#</t>
  </si>
  <si>
    <t>Pages</t>
  </si>
  <si>
    <t>Matt Redman</t>
  </si>
  <si>
    <t>Hillsong Music Publishing Australia</t>
  </si>
  <si>
    <t>Kaple Music</t>
  </si>
  <si>
    <t xml:space="preserve"> Hillsong Music Publishing Australia</t>
  </si>
  <si>
    <t>Integrity's Praise! Music</t>
  </si>
  <si>
    <t>Cory Asbury Publishing</t>
  </si>
  <si>
    <t>Said And Done Music</t>
  </si>
  <si>
    <t>Kari Jobe Carnes Music</t>
  </si>
  <si>
    <t>6/8</t>
  </si>
  <si>
    <t> Integrity's Alleluia! Music</t>
  </si>
  <si>
    <t>Simple Tense Songs</t>
  </si>
  <si>
    <t>9t One Songs</t>
  </si>
  <si>
    <t>Soylent Tunes</t>
  </si>
  <si>
    <t>Mike Guglielmucci</t>
  </si>
  <si>
    <t>Planetshakers Ministries Int. Inc.</t>
  </si>
  <si>
    <t>Elevation Worship Publishing</t>
  </si>
  <si>
    <t>Tim Hughes</t>
  </si>
  <si>
    <t>Brian Doerksen</t>
  </si>
  <si>
    <t>Integrity's Hosanna! Music</t>
  </si>
  <si>
    <t>Stuart Wesley Keene Hine</t>
  </si>
  <si>
    <t>Stuart Hine Trust</t>
  </si>
  <si>
    <t>SHOUT! Music Publishing Australia</t>
  </si>
  <si>
    <t>New Spring</t>
  </si>
  <si>
    <t>Capitol CMG Genesis</t>
  </si>
  <si>
    <t>Make Way Music</t>
  </si>
  <si>
    <t>Phil Wickham Music</t>
  </si>
  <si>
    <t>Public Domain</t>
  </si>
  <si>
    <t>Atlas Mountain Songs</t>
  </si>
  <si>
    <t>Bethel Music Publishing</t>
  </si>
  <si>
    <t>All Essential Music</t>
  </si>
  <si>
    <t>Integrity Music Europe</t>
  </si>
  <si>
    <t>Integrity Worship Music</t>
  </si>
  <si>
    <t>Bethel Worship Publishing</t>
  </si>
  <si>
    <t>CityAlight Music</t>
  </si>
  <si>
    <t>Geoff Bullock</t>
  </si>
  <si>
    <t>Geoff Bullock Music</t>
  </si>
  <si>
    <t>D</t>
  </si>
  <si>
    <t>Type</t>
  </si>
  <si>
    <t>Alt Key</t>
  </si>
  <si>
    <t>King Of My Heart</t>
  </si>
  <si>
    <t>What A Beautiful Name</t>
  </si>
  <si>
    <t>Your Love Never Fails</t>
  </si>
  <si>
    <t>PDF (Lead)</t>
  </si>
  <si>
    <t>PDF (Chords)</t>
  </si>
  <si>
    <t>Duplicate</t>
  </si>
  <si>
    <t>Keep</t>
  </si>
  <si>
    <t>G</t>
  </si>
  <si>
    <t>C</t>
  </si>
  <si>
    <t>Even So Come</t>
  </si>
  <si>
    <t>Forgiven</t>
  </si>
  <si>
    <t>B</t>
  </si>
  <si>
    <t>Here For You</t>
  </si>
  <si>
    <t>Jesus Messiah</t>
  </si>
  <si>
    <t>My Lighthouse</t>
  </si>
  <si>
    <t>Resurrecting</t>
  </si>
  <si>
    <t>Db</t>
  </si>
  <si>
    <t>Bb</t>
  </si>
  <si>
    <t>There Is A Redeemer</t>
  </si>
  <si>
    <t>Wonderful Merciful Savior</t>
  </si>
  <si>
    <t>You Are My All In All</t>
  </si>
  <si>
    <t>F</t>
  </si>
  <si>
    <t>Above All</t>
  </si>
  <si>
    <t>All The Poor And Powerless</t>
  </si>
  <si>
    <t>Another In The Fire</t>
  </si>
  <si>
    <t>Break Every Chain</t>
  </si>
  <si>
    <t>Build Your Kingdom Here</t>
  </si>
  <si>
    <t>Days Of Elijah</t>
  </si>
  <si>
    <t>Ever Be</t>
  </si>
  <si>
    <t>Glorious Day</t>
  </si>
  <si>
    <t>Good Good Father</t>
  </si>
  <si>
    <t>My Redeemer Lives</t>
  </si>
  <si>
    <t>New Wine</t>
  </si>
  <si>
    <t>Open The Eyes Of My Heart</t>
  </si>
  <si>
    <t>Scandal Of Grace</t>
  </si>
  <si>
    <t>Shout To The Lord</t>
  </si>
  <si>
    <t>This Is Amazing Grace</t>
  </si>
  <si>
    <t>Your Grace Is Enough</t>
  </si>
  <si>
    <t>Your Great Name</t>
  </si>
  <si>
    <t>Meaux Jeaux Music</t>
  </si>
  <si>
    <t>Meaux Mercy</t>
  </si>
  <si>
    <t>S. D. G. Publishing</t>
  </si>
  <si>
    <t>Alletrop Music</t>
  </si>
  <si>
    <t>F#</t>
  </si>
  <si>
    <t>Chrysalis Music Ltd.</t>
  </si>
  <si>
    <t>Curb Dayspring Music</t>
  </si>
  <si>
    <t>Shepherd's Heart Music, Inc.</t>
  </si>
  <si>
    <t>worshiptogether.com songs</t>
  </si>
  <si>
    <t>Influencers Worship</t>
  </si>
  <si>
    <t>Integrity's Alleluia! Music</t>
  </si>
  <si>
    <t>Will Reagan</t>
  </si>
  <si>
    <t>Robin Mark</t>
  </si>
  <si>
    <t>Song Solutions Daybreak</t>
  </si>
  <si>
    <t>My Refuge Music</t>
  </si>
  <si>
    <t>Kristian Stanfill Publishing Designee</t>
  </si>
  <si>
    <t>Capitol CMG Paragon</t>
  </si>
  <si>
    <t>3/4+4/4</t>
  </si>
  <si>
    <t>Brooke Ligertwood</t>
  </si>
  <si>
    <t>Wondrous Worship</t>
  </si>
  <si>
    <t>2/2</t>
  </si>
  <si>
    <t>Billy Foote Music</t>
  </si>
  <si>
    <t>Imboden Music</t>
  </si>
  <si>
    <t>Mountain (You're Wonderful)</t>
  </si>
  <si>
    <t>Gateway Create Publishing</t>
  </si>
  <si>
    <t>We Are Younger We Are Faster Music</t>
  </si>
  <si>
    <t>Forever (We Sing Hallelujah)</t>
  </si>
  <si>
    <t>Just As I Am</t>
  </si>
  <si>
    <t>CCTB Music</t>
  </si>
  <si>
    <t>King Of Kings</t>
  </si>
  <si>
    <t>Rooftops</t>
  </si>
  <si>
    <t>Capitol CMG Amplifier</t>
  </si>
  <si>
    <t>Jesus Is Alive</t>
  </si>
  <si>
    <t>Gb</t>
  </si>
  <si>
    <t>Eb</t>
  </si>
  <si>
    <t>Beth Redman, Matt Redman</t>
  </si>
  <si>
    <t>Peter Furler, Steve Taylor</t>
  </si>
  <si>
    <t>Andrew Peterson, Ben Shive</t>
  </si>
  <si>
    <t>Phil Wickham, Brian Johnson</t>
  </si>
  <si>
    <t>Brooke Ligertwood, Matt Crocker</t>
  </si>
  <si>
    <t>Ben Fielding, Reuben Morgan</t>
  </si>
  <si>
    <t>Matt Crocker, Joel Houston</t>
  </si>
  <si>
    <t>Ben Fielding, Brooke Ligertwood</t>
  </si>
  <si>
    <t>Krissy Nordhoff, Michael Neale</t>
  </si>
  <si>
    <t>Anthony Skinner, Chris McClarney</t>
  </si>
  <si>
    <t>Ancient Words</t>
  </si>
  <si>
    <t>At The Cross (Love Ran Red)</t>
  </si>
  <si>
    <t>Beautiful One</t>
  </si>
  <si>
    <t>Came To My Rescue</t>
  </si>
  <si>
    <t>Come Now Is The Time To Worship</t>
  </si>
  <si>
    <t>From The Inside Out</t>
  </si>
  <si>
    <t>God Of This City</t>
  </si>
  <si>
    <t>God Of Wonders</t>
  </si>
  <si>
    <t>Great I Am</t>
  </si>
  <si>
    <t>Here's My Heart</t>
  </si>
  <si>
    <t>Hosanna</t>
  </si>
  <si>
    <t>I Can Only Imagine</t>
  </si>
  <si>
    <t>Indescribable</t>
  </si>
  <si>
    <t>Lamb Of God</t>
  </si>
  <si>
    <t>Lay Me Down</t>
  </si>
  <si>
    <t>Lead Me To The Cross</t>
  </si>
  <si>
    <t>Majesty</t>
  </si>
  <si>
    <t>Once Again</t>
  </si>
  <si>
    <t>One Thing Remains (Your Love Never Fails)</t>
  </si>
  <si>
    <t>Shine, Jesus, Shine</t>
  </si>
  <si>
    <t>Sing Alleluia</t>
  </si>
  <si>
    <t>This I Believe (The Creed)</t>
  </si>
  <si>
    <t>Trading My Sorrows</t>
  </si>
  <si>
    <t>You Are My Hiding Place</t>
  </si>
  <si>
    <t>All Hail King Jesus</t>
  </si>
  <si>
    <t>Be Still My Soul (In You I Rest)</t>
  </si>
  <si>
    <t>Because He Lives (Amen)</t>
  </si>
  <si>
    <t>Behold (Then Sings My Soul)</t>
  </si>
  <si>
    <t>Broken Hallelujah</t>
  </si>
  <si>
    <t>Christ Be Magnified</t>
  </si>
  <si>
    <t>Christ Is Mine Forevermore</t>
  </si>
  <si>
    <t>Christ Is Risen</t>
  </si>
  <si>
    <t>Come As You Are</t>
  </si>
  <si>
    <t>Death Was Arrested</t>
  </si>
  <si>
    <t>Deliverer</t>
  </si>
  <si>
    <t>Elohim</t>
  </si>
  <si>
    <t>Endless Alleluia</t>
  </si>
  <si>
    <t>Everlasting God</t>
  </si>
  <si>
    <t>Forever Reign</t>
  </si>
  <si>
    <t>Glory to God Forever</t>
  </si>
  <si>
    <t>God Is Able</t>
  </si>
  <si>
    <t>Hallelujah Here Below</t>
  </si>
  <si>
    <t>Heal Our Land</t>
  </si>
  <si>
    <t>Holy (Jesus You Are)</t>
  </si>
  <si>
    <t>Holy Spirit</t>
  </si>
  <si>
    <t>Hope Has a Name</t>
  </si>
  <si>
    <t>How Can It Be</t>
  </si>
  <si>
    <t>I Lift My Hands</t>
  </si>
  <si>
    <t>I Surrender</t>
  </si>
  <si>
    <t>Jesus Is the Lord</t>
  </si>
  <si>
    <t>Jesus, Only Jesus</t>
  </si>
  <si>
    <t>King Of The World</t>
  </si>
  <si>
    <t>Let There Be Light</t>
  </si>
  <si>
    <t>My Savior My God</t>
  </si>
  <si>
    <t>My Victory</t>
  </si>
  <si>
    <t>Ocean Deep</t>
  </si>
  <si>
    <t>Oh My Soul</t>
  </si>
  <si>
    <t>Once for All</t>
  </si>
  <si>
    <t>Only Jesus</t>
  </si>
  <si>
    <t>Only King Forever</t>
  </si>
  <si>
    <t>Praise the King</t>
  </si>
  <si>
    <t>Psalm 27 (One Thing)</t>
  </si>
  <si>
    <t>Resurrection Power</t>
  </si>
  <si>
    <t>Same Power</t>
  </si>
  <si>
    <t>Surrounded (Fight My Battles)</t>
  </si>
  <si>
    <t>There Is Power</t>
  </si>
  <si>
    <t>Throne Room</t>
  </si>
  <si>
    <t>Upon Him</t>
  </si>
  <si>
    <t>Valley</t>
  </si>
  <si>
    <t>Victor's Crown</t>
  </si>
  <si>
    <t>White Flag</t>
  </si>
  <si>
    <t>Whole Heart (Hold Me Now)</t>
  </si>
  <si>
    <t>Yes I Will</t>
  </si>
  <si>
    <t>You Are Good</t>
  </si>
  <si>
    <t>You Never Let Go</t>
  </si>
  <si>
    <t>You're Worthy of It All</t>
  </si>
  <si>
    <t>Your Glory / Nothing But The Blood</t>
  </si>
  <si>
    <t>Your Love Awakens Me</t>
  </si>
  <si>
    <t>Your Presence Is Heaven</t>
  </si>
  <si>
    <t>This We Know</t>
  </si>
  <si>
    <t>Just The Cross (+)</t>
  </si>
  <si>
    <t>I'll Fly Away</t>
  </si>
  <si>
    <t>Hartford Music Company</t>
  </si>
  <si>
    <t>Vineyard Songs</t>
  </si>
  <si>
    <t>Never Say Never Songs</t>
  </si>
  <si>
    <t>Ab,Bb</t>
  </si>
  <si>
    <t>Shadow Spring Music</t>
  </si>
  <si>
    <t>Simpleville Music</t>
  </si>
  <si>
    <t>Laura Stories</t>
  </si>
  <si>
    <t xml:space="preserve">Majesty </t>
  </si>
  <si>
    <t>Crown Him (Majesty)</t>
  </si>
  <si>
    <t>Curious? Music UK</t>
  </si>
  <si>
    <t>Db,Eb</t>
  </si>
  <si>
    <t>ChristaJoy Music Publishing</t>
  </si>
  <si>
    <t>Worship Together Music</t>
  </si>
  <si>
    <t>Praise You In This Storm</t>
  </si>
  <si>
    <t>Who Am I</t>
  </si>
  <si>
    <t>Oh What Love</t>
  </si>
  <si>
    <t>Sweetly Broken</t>
  </si>
  <si>
    <t>Gracefully Broken</t>
  </si>
  <si>
    <t>I Stand In Awe</t>
  </si>
  <si>
    <t>Seek Ye First</t>
  </si>
  <si>
    <t>As The Deer</t>
  </si>
  <si>
    <t>CCCM Music</t>
  </si>
  <si>
    <t>Because He Lives</t>
  </si>
  <si>
    <t>Hanna Street Music</t>
  </si>
  <si>
    <t xml:space="preserve">Greatness Of Our God, The </t>
  </si>
  <si>
    <t xml:space="preserve">Lion And The Lamb, The </t>
  </si>
  <si>
    <t xml:space="preserve">Power Of Your Love, The </t>
  </si>
  <si>
    <t xml:space="preserve">Way, The </t>
  </si>
  <si>
    <t>Be Enthroned</t>
  </si>
  <si>
    <t>Paul Baloche</t>
  </si>
  <si>
    <t>Seems Like Music</t>
  </si>
  <si>
    <t>Mountain Spring Music</t>
  </si>
  <si>
    <t>Mark Hall</t>
  </si>
  <si>
    <t>Holy (Wedding Day)</t>
  </si>
  <si>
    <t>Mercy / Vineyard Publishing</t>
  </si>
  <si>
    <t>Rejected</t>
  </si>
  <si>
    <t>Do Not Add</t>
  </si>
  <si>
    <t>Hymn</t>
  </si>
  <si>
    <t>Cont</t>
  </si>
  <si>
    <t>Inter</t>
  </si>
  <si>
    <t>Brenton Brown, Ken Riley</t>
  </si>
  <si>
    <t>Marc Byrd, Steve Hindalong</t>
  </si>
  <si>
    <t>Jesse Reeves, Laura Story</t>
  </si>
  <si>
    <t>Martin Smith, Stuart Garrard</t>
  </si>
  <si>
    <t>Bernie Herms, Mark Hall</t>
  </si>
  <si>
    <t>A Mighty Fortress Is Our God</t>
  </si>
  <si>
    <t>Amazing Grace</t>
  </si>
  <si>
    <t>And Can It Be</t>
  </si>
  <si>
    <t>Be Thou My Vision</t>
  </si>
  <si>
    <t>Blessed Assurance</t>
  </si>
  <si>
    <t>Crown Him With Many Crowns</t>
  </si>
  <si>
    <t>I Surrender All</t>
  </si>
  <si>
    <t>I Will Sing Of My Redeemer</t>
  </si>
  <si>
    <t>It Is Well With My Soul</t>
  </si>
  <si>
    <t>Like A River Glorious</t>
  </si>
  <si>
    <t>Take My Life And Let It Be</t>
  </si>
  <si>
    <t>There Is A Fountain</t>
  </si>
  <si>
    <t>This Is My Father's World</t>
  </si>
  <si>
    <t>Trust And Obey</t>
  </si>
  <si>
    <t>What A Friend We Have In Jesus</t>
  </si>
  <si>
    <t>When I Survey The Wondrous Cross</t>
  </si>
  <si>
    <t>Great Is Thy Faithfulness</t>
  </si>
  <si>
    <t>Jesus I Am Resting</t>
  </si>
  <si>
    <t>Nearer My God To Thee</t>
  </si>
  <si>
    <t>O The Deep Deep Love Of Jesus</t>
  </si>
  <si>
    <t>Tell Me The Old Old Story</t>
  </si>
  <si>
    <t>To God Be The Glory</t>
  </si>
  <si>
    <t>I Will Sing The Wondrous Story</t>
  </si>
  <si>
    <t>God Of Abraham Praise, The</t>
  </si>
  <si>
    <t>Come Thou Fount</t>
  </si>
  <si>
    <t>9/8</t>
  </si>
  <si>
    <t>Elvina Mabel Hall</t>
  </si>
  <si>
    <t>Tis So Sweet To Trust In Jesus</t>
  </si>
  <si>
    <t>Jean Sophia Pigott</t>
  </si>
  <si>
    <t>6/4</t>
  </si>
  <si>
    <t>Em</t>
  </si>
  <si>
    <t>Jennie Lee Riddle Music</t>
  </si>
  <si>
    <t>James Mountain</t>
  </si>
  <si>
    <t>Are You Washed In The Blood</t>
  </si>
  <si>
    <t>Solid Rock, The</t>
  </si>
  <si>
    <t>Not Found</t>
  </si>
  <si>
    <t>Pages (Lead)</t>
  </si>
  <si>
    <t>Pages (Chords)</t>
  </si>
  <si>
    <t>Pages (Numbers</t>
  </si>
  <si>
    <t>Weave Country</t>
  </si>
  <si>
    <t>Jack Hayford</t>
  </si>
  <si>
    <t>Majesty (Here I Am)</t>
  </si>
  <si>
    <t>Category</t>
  </si>
  <si>
    <t>Jesus Son Of God</t>
  </si>
  <si>
    <t>Lord I Lift Your Name On High</t>
  </si>
  <si>
    <t>Thomas Olivers</t>
  </si>
  <si>
    <t>I Know Whom I Have Believed</t>
  </si>
  <si>
    <t>Holy Holy Holy</t>
  </si>
  <si>
    <t>O Happy Day</t>
  </si>
  <si>
    <t>How Firm A Foundation</t>
  </si>
  <si>
    <t>George Keith</t>
  </si>
  <si>
    <t>Todo</t>
  </si>
  <si>
    <t>When The Roll Is Called Up Yonder</t>
  </si>
  <si>
    <t>Onward Christian Soldiers</t>
  </si>
  <si>
    <t>Status</t>
  </si>
  <si>
    <t>Lion And The Lamb, The</t>
  </si>
  <si>
    <t>Lord Is My Salvation, The</t>
  </si>
  <si>
    <t>Lord Our God, The</t>
  </si>
  <si>
    <t>Power Of The Cross, The</t>
  </si>
  <si>
    <t>Wonderful Cross, The</t>
  </si>
  <si>
    <t>Universal Music</t>
  </si>
  <si>
    <t>Jonas Myrin, Matt Redman</t>
  </si>
  <si>
    <t>Martin Luther</t>
  </si>
  <si>
    <t>Lenny LeBlanc, Paul Baloche</t>
  </si>
  <si>
    <t>Dustin Kensrue</t>
  </si>
  <si>
    <t>David Leonard, Leslie Jordan</t>
  </si>
  <si>
    <t>Chris Tomlin, Jesse Reeves</t>
  </si>
  <si>
    <t>John Newton, John P. Rees</t>
  </si>
  <si>
    <t>Chris Tomlin, John Newton</t>
  </si>
  <si>
    <t>Lynn DeShazo</t>
  </si>
  <si>
    <t>Charles Wesley</t>
  </si>
  <si>
    <t>Chris Davenport, Joel Houston</t>
  </si>
  <si>
    <t>Elisha A. Hoffman</t>
  </si>
  <si>
    <t>Martin Nystrom</t>
  </si>
  <si>
    <t>Isaac Watts, Ralph E. Hudson</t>
  </si>
  <si>
    <t>Chris Tomlin, Ed Cash</t>
  </si>
  <si>
    <t>Brian Johnson, Hunter Thompson</t>
  </si>
  <si>
    <t>Eleanor H. Hull, Mary E. Byrne</t>
  </si>
  <si>
    <t>Tim Hughes</t>
  </si>
  <si>
    <t>Gloria Gaither, William J. Gaither</t>
  </si>
  <si>
    <t>Charitie L. Bancroft, Vikki Cook</t>
  </si>
  <si>
    <t>Jonathan Baird, Meghan Baird</t>
  </si>
  <si>
    <t>Matt Redman</t>
  </si>
  <si>
    <t>Fanny J. Crosby</t>
  </si>
  <si>
    <t>Beth Redman, Matt Redman</t>
  </si>
  <si>
    <t>Will Reagan</t>
  </si>
  <si>
    <t>Joel Houston, Jonas Myrin</t>
  </si>
  <si>
    <t>Brett Younker, Karl Martin</t>
  </si>
  <si>
    <t>Gareth Gilkeson, Chris Llewellyn</t>
  </si>
  <si>
    <t>Dylan Thoma, Joel Davies</t>
  </si>
  <si>
    <t>Jonas Myrin, Reuben Morgan</t>
  </si>
  <si>
    <t>Charles Wesley, Samuel Arnold</t>
  </si>
  <si>
    <t>Brian Doerksen</t>
  </si>
  <si>
    <t>Robert Robinson</t>
  </si>
  <si>
    <t>Edward Mote, Eric Liljero</t>
  </si>
  <si>
    <t>Matthew Bridges, Godfrey Thring</t>
  </si>
  <si>
    <t>Robin Mark</t>
  </si>
  <si>
    <t>Heath Balltzglier, Brandon Coker</t>
  </si>
  <si>
    <t>Cory Asbury, Anna Asbury</t>
  </si>
  <si>
    <t>Steven Furtick, Matt Redman</t>
  </si>
  <si>
    <t>Chris Tomlin, Jason Ingram</t>
  </si>
  <si>
    <t>Bobby Strand, Chris Greely</t>
  </si>
  <si>
    <t>Brenton Brown, Ken Riley</t>
  </si>
  <si>
    <t>Chris Tomlin, Christy Nockels</t>
  </si>
  <si>
    <t>Chris Tomlin</t>
  </si>
  <si>
    <t>Brian Johnson, Christa Black Gifford</t>
  </si>
  <si>
    <t>David Crowder, Ed Cash</t>
  </si>
  <si>
    <t>Joel Houston</t>
  </si>
  <si>
    <t>Kristian Stanfill, Jason Ingram</t>
  </si>
  <si>
    <t>John W. Chapman, Mark Hall</t>
  </si>
  <si>
    <t>Aaron Boyd, Andrew McCann</t>
  </si>
  <si>
    <t>Marc Byrd, Steve Hindalong</t>
  </si>
  <si>
    <t>Anthony Brown, Pat Barrett</t>
  </si>
  <si>
    <t>Matt Redman, Jonas Myrin</t>
  </si>
  <si>
    <t>David Leonard, Jason Ingram</t>
  </si>
  <si>
    <t>Jared Anderson</t>
  </si>
  <si>
    <t>Thomas Chisholm, William Runyan</t>
  </si>
  <si>
    <t>William Runyan, Thomas Chisholm</t>
  </si>
  <si>
    <t>Jeff Pardo, Ben Glover</t>
  </si>
  <si>
    <t>Ross King, Todd Wright</t>
  </si>
  <si>
    <t>Peter Furler, Steve Taylor</t>
  </si>
  <si>
    <t>Mike Guglielmucci</t>
  </si>
  <si>
    <t>Steven Furtick, Chris Brown</t>
  </si>
  <si>
    <t>Jesse Reeves, Matt Maher</t>
  </si>
  <si>
    <t>Robert Lowry, William Rees</t>
  </si>
  <si>
    <t>Aaron Powell, Elias Dummer</t>
  </si>
  <si>
    <t>John B. Dykes, Reginald Heber</t>
  </si>
  <si>
    <t>Carl Tuttle</t>
  </si>
  <si>
    <t>Brooke Ligertwood</t>
  </si>
  <si>
    <t>Brenton Brown, Paul Baloche</t>
  </si>
  <si>
    <t>Stuart Townend</t>
  </si>
  <si>
    <t>Stuart W. K. Hine</t>
  </si>
  <si>
    <t>Bart Millard</t>
  </si>
  <si>
    <t>Daniel W. Whittle</t>
  </si>
  <si>
    <t>Chris Tomlin, Louie Giglio</t>
  </si>
  <si>
    <t>Mark Altrogge</t>
  </si>
  <si>
    <t>Judson DeVenter, Winfield Weeden</t>
  </si>
  <si>
    <t>Travis Cottrell, Philip Paul Bliss</t>
  </si>
  <si>
    <t>Francis H. Rawley</t>
  </si>
  <si>
    <t>Albert E. Brumley</t>
  </si>
  <si>
    <t>Keith Getty, Stuart Townend</t>
  </si>
  <si>
    <t>Jesse Reeves, Laura Story</t>
  </si>
  <si>
    <t>Kristene DiMarco, Horatio Spafford</t>
  </si>
  <si>
    <t>Horatio G. Spafford</t>
  </si>
  <si>
    <t>Michael Farren, Tiarne Tranter</t>
  </si>
  <si>
    <t>Chris Tomlin, Daniel Carson</t>
  </si>
  <si>
    <t>Elvina M. Hall</t>
  </si>
  <si>
    <t>Charlotte Elliot</t>
  </si>
  <si>
    <t>Charlotte Elliott, David Moffitt</t>
  </si>
  <si>
    <t>Brooke Ligertwood, Scott Ligertwood</t>
  </si>
  <si>
    <t>John M. McMillan, Sarah McMillan</t>
  </si>
  <si>
    <t>Graham Kendrick</t>
  </si>
  <si>
    <t>Twila Paris</t>
  </si>
  <si>
    <t>Brenton Brown, Brian Johnson</t>
  </si>
  <si>
    <t>Phil Wickham, Brian Johnson</t>
  </si>
  <si>
    <t>Rick Founds</t>
  </si>
  <si>
    <t>Christy Nockels, Daniel Carson</t>
  </si>
  <si>
    <t>Jonas Myrin, Keith Getty</t>
  </si>
  <si>
    <t>Jason Ingram, Kristian Stanfill</t>
  </si>
  <si>
    <t>Frederick M. Lehman</t>
  </si>
  <si>
    <t>Jack Hayford</t>
  </si>
  <si>
    <t>Martin Smith, Stuart Garrard</t>
  </si>
  <si>
    <t>Brooke Ligertwood, Matt Crocker</t>
  </si>
  <si>
    <t>Ben Fielding, Reuben Morgan</t>
  </si>
  <si>
    <t>Julia W. Howe</t>
  </si>
  <si>
    <t>Bryan Torwalt, Katie Torwalt</t>
  </si>
  <si>
    <t>Reuben Morgan</t>
  </si>
  <si>
    <t>Sarah F. F. Adams</t>
  </si>
  <si>
    <t>Jonathan D. Helser, Brian Johnson</t>
  </si>
  <si>
    <t>Chris Brown, Mack Brock</t>
  </si>
  <si>
    <t>Benjamin Hastings, Dean Ussher</t>
  </si>
  <si>
    <t>Samuel T. Francis</t>
  </si>
  <si>
    <t>Joel Houston, Matt Crocker</t>
  </si>
  <si>
    <t>Brian Johnson, Christa B. Gifford</t>
  </si>
  <si>
    <t>Sabine B. Gould</t>
  </si>
  <si>
    <t>Geoff Bullock</t>
  </si>
  <si>
    <t>Bernie Herms, Mark Hall</t>
  </si>
  <si>
    <t>Cory Asbury, Caleb Culver</t>
  </si>
  <si>
    <t>Jennie L. Riddle</t>
  </si>
  <si>
    <t>Lindsey Sweat, Ben Williams</t>
  </si>
  <si>
    <t>Karen Lafferty</t>
  </si>
  <si>
    <t>Darlene Zschech</t>
  </si>
  <si>
    <t>Joel Houston, Benjamin Hastings</t>
  </si>
  <si>
    <t>Edward Mote</t>
  </si>
  <si>
    <t>Jeremy Riddle</t>
  </si>
  <si>
    <t>Frances R. Havergal</t>
  </si>
  <si>
    <t>William Cowper</t>
  </si>
  <si>
    <t>Melody Green</t>
  </si>
  <si>
    <t>Jeremy Riddle, Josh Farro</t>
  </si>
  <si>
    <t>Aaron Purdy, Franklin L. Sheppard</t>
  </si>
  <si>
    <t>Lousa M. R. Stead</t>
  </si>
  <si>
    <t>Fanny Jane Crosby</t>
  </si>
  <si>
    <t>Andres Figueroa, Hank Bentley</t>
  </si>
  <si>
    <t>John H. Sammis</t>
  </si>
  <si>
    <t>Darlene Zschech, Israel Houghton</t>
  </si>
  <si>
    <t>Eugene M. Bartlett</t>
  </si>
  <si>
    <t>Osinachi K. O. Egbu</t>
  </si>
  <si>
    <t>Matthew Hooper, Richie Fike</t>
  </si>
  <si>
    <t>Charles Converse, Joseph Scriven</t>
  </si>
  <si>
    <t>Isaac Watts</t>
  </si>
  <si>
    <t>James M. Black</t>
  </si>
  <si>
    <t>Mark Hall</t>
  </si>
  <si>
    <t>Chris Tomlin, Isaac Watts</t>
  </si>
  <si>
    <t>Dawn Rodgers, Eric Wyse</t>
  </si>
  <si>
    <t>Jonny Robinson, Rich Thompson</t>
  </si>
  <si>
    <t>Billy J. Foote, Cindy Foote</t>
  </si>
  <si>
    <t>Marc Imboden, Tammi Rhoton</t>
  </si>
  <si>
    <t>Dennis Jernigan</t>
  </si>
  <si>
    <t>Billy J. Foote</t>
  </si>
  <si>
    <t>Matt Maher</t>
  </si>
  <si>
    <t>Krissy Nordhoff, Michael Neale</t>
  </si>
  <si>
    <t>Anthony Skinner, Chris McClarney</t>
  </si>
  <si>
    <t>Israel Houghton, Micah Massey</t>
  </si>
  <si>
    <t>Edward Mote, Eric Liljero</t>
  </si>
  <si>
    <t>Chris McClarney, Nate Moore</t>
  </si>
  <si>
    <t>x</t>
  </si>
  <si>
    <t>T</t>
  </si>
  <si>
    <t>Alternate Title</t>
  </si>
  <si>
    <t>Bless The Lord</t>
  </si>
  <si>
    <t>My Chains Are Gone</t>
  </si>
  <si>
    <t>Amazing Love</t>
  </si>
  <si>
    <t>Love Ran Red</t>
  </si>
  <si>
    <t>He Is Not Dead</t>
  </si>
  <si>
    <t>We Sing Hallelujah</t>
  </si>
  <si>
    <t>Living He Loved Me</t>
  </si>
  <si>
    <t>Beginning To End</t>
  </si>
  <si>
    <t>Up To The Hill</t>
  </si>
  <si>
    <t>Wedding Day</t>
  </si>
  <si>
    <t>I See The King Of Glory</t>
  </si>
  <si>
    <t>Praise Is Rising</t>
  </si>
  <si>
    <t>Grander Earth</t>
  </si>
  <si>
    <t>I Come Broken</t>
  </si>
  <si>
    <t>All I Once Held Dear</t>
  </si>
  <si>
    <t>Quiet I Come</t>
  </si>
  <si>
    <t>Here I Am</t>
  </si>
  <si>
    <t>Battle Hymn</t>
  </si>
  <si>
    <t>You're Wonderful</t>
  </si>
  <si>
    <t>Where Feet May Fail</t>
  </si>
  <si>
    <t>Water You Turned Into Wine</t>
  </si>
  <si>
    <t>100 Billion X</t>
  </si>
  <si>
    <t>Hide Me Now</t>
  </si>
  <si>
    <t>I Heard An Old Old Story</t>
  </si>
  <si>
    <t>God Of Angel Armies</t>
  </si>
  <si>
    <t>Not A God</t>
  </si>
  <si>
    <t>Prince Of Piece</t>
  </si>
  <si>
    <t>10,000 Reasons</t>
  </si>
  <si>
    <t>Broken Vessels</t>
  </si>
  <si>
    <t>Crown Him</t>
  </si>
  <si>
    <t>Holy</t>
  </si>
  <si>
    <t>It Is Well</t>
  </si>
  <si>
    <t>Mine Eyes Have Seen The Glory</t>
  </si>
  <si>
    <t>One Thing Remains</t>
  </si>
  <si>
    <t>So Will I</t>
  </si>
  <si>
    <t>Whom Shall I Fear</t>
  </si>
  <si>
    <t>You Are God Alone</t>
  </si>
  <si>
    <t>You Are Holy</t>
  </si>
  <si>
    <t>You Are My King</t>
  </si>
  <si>
    <t>Main Title</t>
  </si>
  <si>
    <t>Full Title w/Key</t>
  </si>
  <si>
    <t>Original Key</t>
  </si>
  <si>
    <t>Copyright Holder</t>
  </si>
  <si>
    <t>Publication Year</t>
  </si>
  <si>
    <t>Time Signature</t>
  </si>
  <si>
    <t>Tempo (BPM)</t>
  </si>
  <si>
    <t>CCLI Song #</t>
  </si>
  <si>
    <t>Final</t>
  </si>
  <si>
    <t>Intermediate</t>
  </si>
  <si>
    <t>Letter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</si>
  <si>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</si>
  <si>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</si>
  <si>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</si>
  <si>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</si>
  <si>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</si>
  <si>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</si>
  <si>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</si>
  <si>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</si>
  <si>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</si>
  <si>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</t>
  </si>
  <si>
    <t>S</t>
  </si>
  <si>
    <t>V</t>
  </si>
  <si>
    <t>W</t>
  </si>
  <si>
    <t>Y</t>
  </si>
  <si>
    <t>Page #</t>
  </si>
  <si>
    <t>Page</t>
  </si>
  <si>
    <t>Charles H. Gabriel</t>
  </si>
  <si>
    <t>My Savior's Love</t>
  </si>
  <si>
    <t>Page # (Tabloid)</t>
  </si>
  <si>
    <t>Angels From The Realms Of Glory</t>
  </si>
  <si>
    <t>Angels We Have Heard On High</t>
  </si>
  <si>
    <t>Away In A Manger</t>
  </si>
  <si>
    <t>Come Thou Long Expected Jesus</t>
  </si>
  <si>
    <t>Go Tell It On The Mountain</t>
  </si>
  <si>
    <t>God Rest Ye Merry Gentlemen</t>
  </si>
  <si>
    <t>Good Christian Men Rejoice</t>
  </si>
  <si>
    <t>Hark The Herald Angels Sing</t>
  </si>
  <si>
    <t>It Came Upon The Midnight Clear</t>
  </si>
  <si>
    <t>Joy To The World</t>
  </si>
  <si>
    <t>Mary Did You Know</t>
  </si>
  <si>
    <t>O Come All Ye Faithful</t>
  </si>
  <si>
    <t>O Come O Come Emmanuel</t>
  </si>
  <si>
    <t>O Holy Night</t>
  </si>
  <si>
    <t>O Little Town Of Bethlehem</t>
  </si>
  <si>
    <t>Silent Night</t>
  </si>
  <si>
    <t>The First Noel</t>
  </si>
  <si>
    <t>What Child Is This</t>
  </si>
  <si>
    <t>Am</t>
  </si>
  <si>
    <t>Cm</t>
  </si>
  <si>
    <t>James Montgomery</t>
  </si>
  <si>
    <t>Martin Luther, John McFarland</t>
  </si>
  <si>
    <t>While Shepherds Watched</t>
  </si>
  <si>
    <t>We Three Kings</t>
  </si>
  <si>
    <t>2/4</t>
  </si>
  <si>
    <t>Buddy Greene</t>
  </si>
  <si>
    <t>Rufus Music</t>
  </si>
  <si>
    <t>John Wade, Frederick Oakeley</t>
  </si>
  <si>
    <t>Edmund Sears</t>
  </si>
  <si>
    <t>John Neale</t>
  </si>
  <si>
    <t>Veni Emmanuel, John Neale</t>
  </si>
  <si>
    <t>Placide Cappeau</t>
  </si>
  <si>
    <t>Phillips Brooks</t>
  </si>
  <si>
    <t>Joseph Mohr</t>
  </si>
  <si>
    <t>William Dix</t>
  </si>
  <si>
    <t>Nahum Tate</t>
  </si>
  <si>
    <t>Unknown (English Carol)</t>
  </si>
  <si>
    <t>Christmas</t>
  </si>
  <si>
    <t>James Chadwick</t>
  </si>
  <si>
    <t>John Work</t>
  </si>
  <si>
    <t>John Hopkins</t>
  </si>
  <si>
    <t>Version 2</t>
  </si>
  <si>
    <t>Transpose</t>
  </si>
  <si>
    <t>E to D</t>
  </si>
  <si>
    <t>B to C</t>
  </si>
  <si>
    <t>Remove</t>
  </si>
  <si>
    <t>Remove?</t>
  </si>
  <si>
    <t>Add?</t>
  </si>
  <si>
    <t>Add</t>
  </si>
  <si>
    <t>Find</t>
  </si>
  <si>
    <t>Sometimes By Step</t>
  </si>
  <si>
    <t>Rich Mullins, David (Beaker) Strasser</t>
  </si>
  <si>
    <t>The Love Of God</t>
  </si>
  <si>
    <t>Frederick Martin Lehman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</si>
</sst>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C2A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left"/>
    </xf>
    <xf numFmtId="16" fontId="0" fillId="0" borderId="0" xfId="0" quotePrefix="1" applyNumberFormat="1" applyFont="1" applyAlignment="1">
      <alignment horizontal="left"/>
    </xf>
    <xf numFmtId="0" fontId="0" fillId="0" borderId="0" xfId="0" quotePrefix="1" applyFont="1" applyAlignment="1">
      <alignment horizontal="left"/>
    </xf>
    <xf numFmtId="0" fontId="0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W324"/>
  <sheetViews>
    <sheetView tabSelected="1" workbookViewId="0">
      <pane ySplit="1" topLeftCell="A2" activePane="bottomLeft" state="frozen"/>
      <selection pane="bottomLeft" activeCell="A324" sqref="A324"/>
    </sheetView>
  </sheetViews>
  <sheetFormatPr defaultRowHeight="15" x14ac:dyDescent="0.25"/>
  <cols>
    <col min="1" max="2" width="14.28515625" style="4" customWidth="1"/>
    <col min="3" max="3" width="26.5703125" style="4" customWidth="1"/>
    <col min="4" max="4" width="8.5703125" style="4" bestFit="1" customWidth="1"/>
    <col min="5" max="5" width="26.5703125" style="4" customWidth="1"/>
    <col min="6" max="6" width="21.42578125" style="4" customWidth="1"/>
    <col min="7" max="8" width="6.5703125" style="4" bestFit="1" customWidth="1"/>
    <col min="9" max="9" width="9.42578125" style="4" bestFit="1" customWidth="1"/>
    <col min="10" max="10" width="7.7109375" style="4" bestFit="1" customWidth="1"/>
    <col min="11" max="11" width="8.42578125" style="4" customWidth="1"/>
    <col min="12" max="12" width="7.28515625" style="4" bestFit="1" customWidth="1"/>
    <col min="13" max="13" width="21.42578125" style="4" customWidth="1"/>
    <col min="14" max="14" width="7.42578125" style="4" customWidth="1"/>
    <col min="15" max="15" width="9" style="4" hidden="1" customWidth="1"/>
    <col min="16" max="17" width="7.42578125" style="4" hidden="1" customWidth="1"/>
    <col min="18" max="18" width="0.7109375" style="4" hidden="1" customWidth="1"/>
    <col min="19" max="19" width="7.42578125" style="4" customWidth="1"/>
    <col min="20" max="16384" width="9.140625" style="4"/>
  </cols>
  <sheetData>
    <row r="1" spans="1:23" ht="15" customHeight="1" x14ac:dyDescent="0.25">
      <c r="A1" s="1" t="s">
        <v>593</v>
      </c>
      <c r="B1" s="1" t="s">
        <v>553</v>
      </c>
      <c r="C1" s="1" t="s">
        <v>594</v>
      </c>
      <c r="D1" s="1" t="s">
        <v>603</v>
      </c>
      <c r="E1" s="1" t="s">
        <v>0</v>
      </c>
      <c r="F1" s="1" t="s">
        <v>1</v>
      </c>
      <c r="G1" s="1" t="s">
        <v>6</v>
      </c>
      <c r="H1" s="1" t="s">
        <v>595</v>
      </c>
      <c r="I1" s="1" t="s">
        <v>599</v>
      </c>
      <c r="J1" s="1" t="s">
        <v>598</v>
      </c>
      <c r="K1" s="1" t="s">
        <v>600</v>
      </c>
      <c r="L1" s="1" t="s">
        <v>597</v>
      </c>
      <c r="M1" s="1" t="s">
        <v>596</v>
      </c>
      <c r="N1" s="1" t="s">
        <v>378</v>
      </c>
      <c r="O1" s="1" t="s">
        <v>619</v>
      </c>
      <c r="P1" s="1" t="s">
        <v>372</v>
      </c>
      <c r="Q1" s="1" t="s">
        <v>373</v>
      </c>
      <c r="R1" s="1" t="s">
        <v>374</v>
      </c>
      <c r="S1" s="1" t="s">
        <v>390</v>
      </c>
      <c r="T1" s="1" t="s">
        <v>618</v>
      </c>
      <c r="U1" s="1" t="s">
        <v>622</v>
      </c>
      <c r="V1" s="1" t="s">
        <v>664</v>
      </c>
      <c r="W1" s="1" t="s">
        <v>665</v>
      </c>
    </row>
    <row r="2" spans="1:23" ht="15" customHeight="1" x14ac:dyDescent="0.25">
      <c r="A2" t="s">
        <v>233</v>
      </c>
      <c r="B2"/>
      <c r="C2"/>
      <c r="D2"/>
      <c r="E2"/>
      <c r="G2"/>
      <c r="H2"/>
      <c r="O2"/>
      <c r="S2" s="4" t="s">
        <v>327</v>
      </c>
    </row>
    <row r="3" spans="1:23" s="3" customFormat="1" ht="15" customHeight="1" x14ac:dyDescent="0.25">
      <c r="A3" t="s">
        <v>234</v>
      </c>
      <c r="B3"/>
      <c r="C3"/>
      <c r="D3"/>
      <c r="E3"/>
      <c r="F3" s="4"/>
      <c r="G3"/>
      <c r="H3"/>
      <c r="I3" s="4"/>
      <c r="J3" s="4"/>
      <c r="K3" s="4"/>
      <c r="L3" s="4"/>
      <c r="M3" s="4"/>
      <c r="N3" s="4"/>
      <c r="O3"/>
      <c r="P3" s="4"/>
      <c r="Q3" s="4"/>
      <c r="R3" s="4"/>
      <c r="S3" s="4" t="s">
        <v>327</v>
      </c>
      <c r="T3" s="4"/>
    </row>
    <row r="4" spans="1:23" s="3" customFormat="1" ht="15" customHeight="1" x14ac:dyDescent="0.25">
      <c r="A4" t="s">
        <v>235</v>
      </c>
      <c r="B4"/>
      <c r="C4"/>
      <c r="D4"/>
      <c r="E4"/>
      <c r="F4" s="4"/>
      <c r="G4"/>
      <c r="H4"/>
      <c r="I4" s="4"/>
      <c r="J4" s="4"/>
      <c r="K4" s="4"/>
      <c r="L4" s="4"/>
      <c r="M4" s="4"/>
      <c r="N4" s="4"/>
      <c r="O4"/>
      <c r="P4" s="4"/>
      <c r="Q4" s="4"/>
      <c r="R4" s="4"/>
      <c r="S4" s="4" t="s">
        <v>327</v>
      </c>
      <c r="T4" s="4"/>
    </row>
    <row r="5" spans="1:23" ht="15" customHeight="1" x14ac:dyDescent="0.25">
      <c r="A5" t="s">
        <v>236</v>
      </c>
      <c r="B5"/>
      <c r="C5"/>
      <c r="D5"/>
      <c r="E5"/>
      <c r="G5"/>
      <c r="H5"/>
      <c r="O5"/>
      <c r="S5" s="4" t="s">
        <v>327</v>
      </c>
    </row>
    <row r="6" spans="1:23" ht="15" customHeight="1" x14ac:dyDescent="0.25">
      <c r="A6" t="s">
        <v>237</v>
      </c>
      <c r="B6"/>
      <c r="C6"/>
      <c r="D6"/>
      <c r="E6"/>
      <c r="G6"/>
      <c r="H6"/>
      <c r="O6"/>
      <c r="S6" s="4" t="s">
        <v>327</v>
      </c>
    </row>
    <row r="7" spans="1:23" s="3" customFormat="1" ht="15" customHeight="1" x14ac:dyDescent="0.25">
      <c r="A7" t="s">
        <v>238</v>
      </c>
      <c r="B7"/>
      <c r="C7"/>
      <c r="D7"/>
      <c r="E7"/>
      <c r="F7" s="4"/>
      <c r="G7"/>
      <c r="H7"/>
      <c r="I7" s="4"/>
      <c r="J7" s="4"/>
      <c r="K7" s="4"/>
      <c r="L7" s="4"/>
      <c r="M7" s="4"/>
      <c r="N7" s="4"/>
      <c r="O7"/>
      <c r="P7" s="4"/>
      <c r="Q7" s="4"/>
      <c r="R7" s="4"/>
      <c r="S7" s="4" t="s">
        <v>327</v>
      </c>
      <c r="T7" s="4"/>
    </row>
    <row r="8" spans="1:23" ht="15" customHeight="1" x14ac:dyDescent="0.25">
      <c r="A8" t="s">
        <v>239</v>
      </c>
      <c r="B8"/>
      <c r="C8"/>
      <c r="D8"/>
      <c r="E8"/>
      <c r="G8"/>
      <c r="H8"/>
      <c r="O8"/>
      <c r="S8" s="4" t="s">
        <v>327</v>
      </c>
    </row>
    <row r="9" spans="1:23" ht="15" customHeight="1" x14ac:dyDescent="0.25">
      <c r="A9" t="s">
        <v>240</v>
      </c>
      <c r="B9"/>
      <c r="C9"/>
      <c r="D9"/>
      <c r="E9"/>
      <c r="G9"/>
      <c r="H9"/>
      <c r="O9"/>
      <c r="S9" s="4" t="s">
        <v>327</v>
      </c>
    </row>
    <row r="10" spans="1:23" ht="15" customHeight="1" x14ac:dyDescent="0.25">
      <c r="A10" t="s">
        <v>241</v>
      </c>
      <c r="B10"/>
      <c r="C10"/>
      <c r="D10"/>
      <c r="E10"/>
      <c r="G10"/>
      <c r="H10"/>
      <c r="O10"/>
      <c r="S10" s="4" t="s">
        <v>327</v>
      </c>
    </row>
    <row r="11" spans="1:23" ht="15" customHeight="1" x14ac:dyDescent="0.25">
      <c r="A11" t="s">
        <v>243</v>
      </c>
      <c r="B11"/>
      <c r="C11"/>
      <c r="D11"/>
      <c r="E11"/>
      <c r="G11"/>
      <c r="H11"/>
      <c r="O11"/>
      <c r="S11" s="4" t="s">
        <v>327</v>
      </c>
    </row>
    <row r="12" spans="1:23" s="3" customFormat="1" ht="15" customHeight="1" x14ac:dyDescent="0.25">
      <c r="A12" t="s">
        <v>244</v>
      </c>
      <c r="B12"/>
      <c r="C12"/>
      <c r="D12"/>
      <c r="E12"/>
      <c r="F12" s="4"/>
      <c r="G12"/>
      <c r="H12"/>
      <c r="I12" s="4"/>
      <c r="J12" s="4"/>
      <c r="K12" s="4"/>
      <c r="L12" s="4"/>
      <c r="M12" s="4"/>
      <c r="N12" s="4"/>
      <c r="O12"/>
      <c r="P12" s="4"/>
      <c r="Q12" s="4"/>
      <c r="R12" s="4"/>
      <c r="S12" s="4" t="s">
        <v>327</v>
      </c>
      <c r="T12" s="4"/>
    </row>
    <row r="13" spans="1:23" ht="15" customHeight="1" x14ac:dyDescent="0.25">
      <c r="A13" t="s">
        <v>245</v>
      </c>
      <c r="B13"/>
      <c r="C13"/>
      <c r="D13"/>
      <c r="E13"/>
      <c r="G13"/>
      <c r="H13"/>
      <c r="O13"/>
      <c r="S13" s="4" t="s">
        <v>327</v>
      </c>
    </row>
    <row r="14" spans="1:23" ht="15" customHeight="1" x14ac:dyDescent="0.25">
      <c r="A14" t="s">
        <v>247</v>
      </c>
      <c r="B14"/>
      <c r="C14"/>
      <c r="D14"/>
      <c r="E14"/>
      <c r="G14"/>
      <c r="H14"/>
      <c r="O14"/>
      <c r="S14" s="4" t="s">
        <v>327</v>
      </c>
    </row>
    <row r="15" spans="1:23" s="3" customFormat="1" ht="15" customHeight="1" x14ac:dyDescent="0.25">
      <c r="A15" t="s">
        <v>248</v>
      </c>
      <c r="B15"/>
      <c r="C15"/>
      <c r="D15"/>
      <c r="E15"/>
      <c r="F15" s="4"/>
      <c r="G15"/>
      <c r="H15"/>
      <c r="I15" s="4"/>
      <c r="J15" s="4"/>
      <c r="K15" s="4"/>
      <c r="L15" s="4"/>
      <c r="M15" s="4"/>
      <c r="N15" s="4"/>
      <c r="O15"/>
      <c r="P15" s="4"/>
      <c r="Q15" s="4"/>
      <c r="R15" s="4"/>
      <c r="S15" s="4" t="s">
        <v>327</v>
      </c>
      <c r="T15" s="4"/>
    </row>
    <row r="16" spans="1:23" s="3" customFormat="1" ht="15" customHeight="1" x14ac:dyDescent="0.25">
      <c r="A16" t="s">
        <v>249</v>
      </c>
      <c r="B16"/>
      <c r="C16"/>
      <c r="D16"/>
      <c r="E16"/>
      <c r="F16" s="4"/>
      <c r="G16"/>
      <c r="H16"/>
      <c r="I16" s="4"/>
      <c r="J16" s="4"/>
      <c r="K16" s="4"/>
      <c r="L16" s="4"/>
      <c r="M16" s="4"/>
      <c r="N16" s="4"/>
      <c r="O16"/>
      <c r="P16" s="4"/>
      <c r="Q16" s="4"/>
      <c r="R16" s="4"/>
      <c r="S16" s="4" t="s">
        <v>327</v>
      </c>
      <c r="T16" s="4"/>
    </row>
    <row r="17" spans="1:22" ht="15" customHeight="1" x14ac:dyDescent="0.25">
      <c r="A17" t="s">
        <v>250</v>
      </c>
      <c r="B17"/>
      <c r="C17"/>
      <c r="D17"/>
      <c r="E17"/>
      <c r="G17"/>
      <c r="H17"/>
      <c r="O17"/>
      <c r="S17" s="4" t="s">
        <v>327</v>
      </c>
    </row>
    <row r="18" spans="1:22" ht="15" customHeight="1" x14ac:dyDescent="0.25">
      <c r="A18" t="s">
        <v>251</v>
      </c>
      <c r="B18"/>
      <c r="C18"/>
      <c r="D18"/>
      <c r="E18"/>
      <c r="G18"/>
      <c r="H18"/>
      <c r="O18"/>
      <c r="S18" s="4" t="s">
        <v>327</v>
      </c>
    </row>
    <row r="19" spans="1:22" ht="15" customHeight="1" x14ac:dyDescent="0.25">
      <c r="A19" t="s">
        <v>218</v>
      </c>
      <c r="B19"/>
      <c r="C19"/>
      <c r="D19"/>
      <c r="E19"/>
      <c r="G19"/>
      <c r="H19"/>
      <c r="O19"/>
      <c r="S19" s="4" t="s">
        <v>327</v>
      </c>
      <c r="V19" s="4" t="s">
        <v>670</v>
      </c>
    </row>
    <row r="20" spans="1:22" ht="15" customHeight="1" x14ac:dyDescent="0.25">
      <c r="A20" t="s">
        <v>252</v>
      </c>
      <c r="B20"/>
      <c r="C20"/>
      <c r="D20"/>
      <c r="E20"/>
      <c r="G20"/>
      <c r="H20"/>
      <c r="O20"/>
      <c r="S20" s="4" t="s">
        <v>327</v>
      </c>
    </row>
    <row r="21" spans="1:22" s="3" customFormat="1" ht="15" customHeight="1" x14ac:dyDescent="0.25">
      <c r="A21" t="s">
        <v>253</v>
      </c>
      <c r="B21"/>
      <c r="C21"/>
      <c r="D21"/>
      <c r="E21"/>
      <c r="F21" s="4"/>
      <c r="G21"/>
      <c r="H21"/>
      <c r="I21" s="4"/>
      <c r="J21" s="4"/>
      <c r="K21" s="4"/>
      <c r="L21" s="4"/>
      <c r="M21" s="4"/>
      <c r="N21" s="4"/>
      <c r="O21"/>
      <c r="P21" s="4"/>
      <c r="Q21" s="4"/>
      <c r="R21" s="4"/>
      <c r="S21" s="4" t="s">
        <v>327</v>
      </c>
      <c r="T21" s="4"/>
    </row>
    <row r="22" spans="1:22" s="3" customFormat="1" ht="15" customHeight="1" x14ac:dyDescent="0.25">
      <c r="A22" t="s">
        <v>254</v>
      </c>
      <c r="B22"/>
      <c r="C22"/>
      <c r="D22"/>
      <c r="E22"/>
      <c r="F22" s="4"/>
      <c r="G22"/>
      <c r="H22"/>
      <c r="I22" s="4"/>
      <c r="J22" s="4"/>
      <c r="K22" s="4"/>
      <c r="L22" s="4"/>
      <c r="M22" s="4"/>
      <c r="N22" s="4"/>
      <c r="O22"/>
      <c r="P22" s="4"/>
      <c r="Q22" s="4"/>
      <c r="R22" s="4"/>
      <c r="S22" s="4" t="s">
        <v>327</v>
      </c>
      <c r="T22" s="4"/>
    </row>
    <row r="23" spans="1:22" s="3" customFormat="1" ht="15" customHeight="1" x14ac:dyDescent="0.25">
      <c r="A23" t="s">
        <v>255</v>
      </c>
      <c r="B23"/>
      <c r="C23"/>
      <c r="D23"/>
      <c r="E23"/>
      <c r="F23" s="4"/>
      <c r="G23"/>
      <c r="H23"/>
      <c r="I23" s="4"/>
      <c r="J23" s="4"/>
      <c r="K23" s="4"/>
      <c r="L23" s="4"/>
      <c r="M23" s="4"/>
      <c r="N23" s="4"/>
      <c r="O23"/>
      <c r="P23" s="4"/>
      <c r="Q23" s="4"/>
      <c r="R23" s="4"/>
      <c r="S23" s="4" t="s">
        <v>327</v>
      </c>
      <c r="T23" s="4"/>
    </row>
    <row r="24" spans="1:22" ht="15" customHeight="1" x14ac:dyDescent="0.25">
      <c r="A24" t="s">
        <v>257</v>
      </c>
      <c r="B24"/>
      <c r="C24"/>
      <c r="D24"/>
      <c r="E24"/>
      <c r="G24"/>
      <c r="H24"/>
      <c r="O24"/>
      <c r="S24" s="4" t="s">
        <v>327</v>
      </c>
    </row>
    <row r="25" spans="1:22" ht="15" customHeight="1" x14ac:dyDescent="0.25">
      <c r="A25" t="s">
        <v>260</v>
      </c>
      <c r="B25"/>
      <c r="C25"/>
      <c r="D25"/>
      <c r="E25"/>
      <c r="G25"/>
      <c r="H25"/>
      <c r="O25"/>
      <c r="S25" s="4" t="s">
        <v>327</v>
      </c>
    </row>
    <row r="26" spans="1:22" ht="15" customHeight="1" x14ac:dyDescent="0.25">
      <c r="A26" t="s">
        <v>261</v>
      </c>
      <c r="B26"/>
      <c r="C26"/>
      <c r="D26"/>
      <c r="E26"/>
      <c r="G26"/>
      <c r="H26"/>
      <c r="O26"/>
      <c r="S26" s="4" t="s">
        <v>327</v>
      </c>
    </row>
    <row r="27" spans="1:22" ht="15" customHeight="1" x14ac:dyDescent="0.25">
      <c r="A27" t="s">
        <v>262</v>
      </c>
      <c r="B27"/>
      <c r="C27"/>
      <c r="D27"/>
      <c r="E27"/>
      <c r="G27"/>
      <c r="H27"/>
      <c r="O27"/>
      <c r="S27" s="4" t="s">
        <v>327</v>
      </c>
    </row>
    <row r="28" spans="1:22" s="3" customFormat="1" ht="15" customHeight="1" x14ac:dyDescent="0.25">
      <c r="A28" t="s">
        <v>263</v>
      </c>
      <c r="B28"/>
      <c r="C28"/>
      <c r="D28"/>
      <c r="E28"/>
      <c r="F28" s="4"/>
      <c r="G28"/>
      <c r="H28"/>
      <c r="I28" s="4"/>
      <c r="J28" s="4"/>
      <c r="K28" s="4"/>
      <c r="L28" s="4"/>
      <c r="M28" s="4"/>
      <c r="N28" s="4"/>
      <c r="O28"/>
      <c r="P28" s="4"/>
      <c r="Q28" s="4"/>
      <c r="R28" s="4"/>
      <c r="S28" s="4" t="s">
        <v>327</v>
      </c>
      <c r="T28" s="4"/>
    </row>
    <row r="29" spans="1:22" ht="15" customHeight="1" x14ac:dyDescent="0.25">
      <c r="A29" t="s">
        <v>264</v>
      </c>
      <c r="B29"/>
      <c r="C29"/>
      <c r="D29"/>
      <c r="E29"/>
      <c r="G29"/>
      <c r="H29"/>
      <c r="O29"/>
      <c r="S29" s="4" t="s">
        <v>327</v>
      </c>
    </row>
    <row r="30" spans="1:22" s="3" customFormat="1" ht="15" customHeight="1" x14ac:dyDescent="0.25">
      <c r="A30" t="s">
        <v>265</v>
      </c>
      <c r="B30"/>
      <c r="C30"/>
      <c r="D30"/>
      <c r="E30"/>
      <c r="F30" s="4"/>
      <c r="G30"/>
      <c r="H30"/>
      <c r="I30" s="4"/>
      <c r="J30" s="4"/>
      <c r="K30" s="4"/>
      <c r="L30" s="4"/>
      <c r="M30" s="4"/>
      <c r="N30" s="4"/>
      <c r="O30"/>
      <c r="P30" s="4"/>
      <c r="Q30" s="4"/>
      <c r="R30" s="4"/>
      <c r="S30" s="4" t="s">
        <v>327</v>
      </c>
      <c r="T30" s="4"/>
    </row>
    <row r="31" spans="1:22" ht="15" customHeight="1" x14ac:dyDescent="0.25">
      <c r="A31" t="s">
        <v>266</v>
      </c>
      <c r="B31"/>
      <c r="C31"/>
      <c r="D31"/>
      <c r="E31"/>
      <c r="G31"/>
      <c r="H31"/>
      <c r="O31"/>
      <c r="S31" s="4" t="s">
        <v>327</v>
      </c>
    </row>
    <row r="32" spans="1:22" ht="15" customHeight="1" x14ac:dyDescent="0.25">
      <c r="A32" t="s">
        <v>267</v>
      </c>
      <c r="B32"/>
      <c r="C32"/>
      <c r="D32"/>
      <c r="E32"/>
      <c r="G32"/>
      <c r="H32"/>
      <c r="O32"/>
      <c r="S32" s="4" t="s">
        <v>327</v>
      </c>
    </row>
    <row r="33" spans="1:20" s="3" customFormat="1" ht="15" customHeight="1" x14ac:dyDescent="0.25">
      <c r="A33" t="s">
        <v>268</v>
      </c>
      <c r="B33"/>
      <c r="C33"/>
      <c r="D33"/>
      <c r="E33"/>
      <c r="F33" s="4"/>
      <c r="G33"/>
      <c r="H33"/>
      <c r="I33" s="4"/>
      <c r="J33" s="4"/>
      <c r="K33" s="4"/>
      <c r="L33" s="4"/>
      <c r="M33" s="4"/>
      <c r="N33" s="4"/>
      <c r="O33"/>
      <c r="P33" s="4"/>
      <c r="Q33" s="4"/>
      <c r="R33" s="4"/>
      <c r="S33" s="4" t="s">
        <v>327</v>
      </c>
      <c r="T33" s="4"/>
    </row>
    <row r="34" spans="1:20" ht="15" customHeight="1" x14ac:dyDescent="0.25">
      <c r="A34" t="s">
        <v>269</v>
      </c>
      <c r="B34"/>
      <c r="C34"/>
      <c r="D34"/>
      <c r="E34"/>
      <c r="G34"/>
      <c r="H34"/>
      <c r="O34"/>
      <c r="S34" s="4" t="s">
        <v>327</v>
      </c>
    </row>
    <row r="35" spans="1:20" ht="15" customHeight="1" x14ac:dyDescent="0.25">
      <c r="A35" t="s">
        <v>270</v>
      </c>
      <c r="B35"/>
      <c r="C35"/>
      <c r="D35"/>
      <c r="E35"/>
      <c r="G35"/>
      <c r="H35"/>
      <c r="O35"/>
      <c r="S35" s="4" t="s">
        <v>327</v>
      </c>
    </row>
    <row r="36" spans="1:20" s="3" customFormat="1" ht="15" customHeight="1" x14ac:dyDescent="0.25">
      <c r="A36" t="s">
        <v>271</v>
      </c>
      <c r="B36"/>
      <c r="C36"/>
      <c r="D36"/>
      <c r="E36"/>
      <c r="F36" s="4"/>
      <c r="G36"/>
      <c r="H36"/>
      <c r="I36" s="4"/>
      <c r="J36" s="4"/>
      <c r="K36" s="4"/>
      <c r="L36" s="4"/>
      <c r="M36" s="4"/>
      <c r="N36" s="4"/>
      <c r="O36"/>
      <c r="P36" s="4"/>
      <c r="Q36" s="4"/>
      <c r="R36" s="4"/>
      <c r="S36" s="4" t="s">
        <v>327</v>
      </c>
      <c r="T36" s="4"/>
    </row>
    <row r="37" spans="1:20" s="3" customFormat="1" ht="15" customHeight="1" x14ac:dyDescent="0.25">
      <c r="A37" t="s">
        <v>272</v>
      </c>
      <c r="B37"/>
      <c r="C37"/>
      <c r="D37"/>
      <c r="E37"/>
      <c r="F37" s="4"/>
      <c r="G37"/>
      <c r="H37"/>
      <c r="I37" s="4"/>
      <c r="J37" s="4"/>
      <c r="K37" s="4"/>
      <c r="L37" s="4"/>
      <c r="M37" s="4"/>
      <c r="N37" s="4"/>
      <c r="O37"/>
      <c r="P37" s="4"/>
      <c r="Q37" s="4"/>
      <c r="R37" s="4"/>
      <c r="S37" s="4" t="s">
        <v>327</v>
      </c>
      <c r="T37" s="4"/>
    </row>
    <row r="38" spans="1:20" s="3" customFormat="1" ht="15" customHeight="1" x14ac:dyDescent="0.25">
      <c r="A38" t="s">
        <v>228</v>
      </c>
      <c r="B38"/>
      <c r="C38"/>
      <c r="D38"/>
      <c r="E38"/>
      <c r="F38" s="4"/>
      <c r="G38"/>
      <c r="H38"/>
      <c r="I38" s="4"/>
      <c r="J38" s="4"/>
      <c r="K38" s="4"/>
      <c r="L38" s="4"/>
      <c r="M38" s="4"/>
      <c r="N38" s="4"/>
      <c r="O38"/>
      <c r="P38" s="4"/>
      <c r="Q38" s="4"/>
      <c r="R38" s="4"/>
      <c r="S38" s="4" t="s">
        <v>327</v>
      </c>
      <c r="T38" s="4"/>
    </row>
    <row r="39" spans="1:20" ht="15" customHeight="1" x14ac:dyDescent="0.25">
      <c r="A39" t="s">
        <v>229</v>
      </c>
      <c r="B39"/>
      <c r="C39"/>
      <c r="D39"/>
      <c r="E39"/>
      <c r="G39"/>
      <c r="H39"/>
      <c r="O39"/>
      <c r="S39" s="4" t="s">
        <v>327</v>
      </c>
    </row>
    <row r="40" spans="1:20" s="3" customFormat="1" ht="15" customHeight="1" x14ac:dyDescent="0.25">
      <c r="A40" t="s">
        <v>273</v>
      </c>
      <c r="B40"/>
      <c r="C40"/>
      <c r="D40"/>
      <c r="E40"/>
      <c r="F40" s="4"/>
      <c r="G40"/>
      <c r="H40"/>
      <c r="I40" s="4"/>
      <c r="J40" s="4"/>
      <c r="K40" s="4"/>
      <c r="L40" s="4"/>
      <c r="M40" s="4"/>
      <c r="N40" s="4"/>
      <c r="O40"/>
      <c r="P40" s="4"/>
      <c r="Q40" s="4"/>
      <c r="R40" s="4"/>
      <c r="S40" s="4" t="s">
        <v>327</v>
      </c>
      <c r="T40" s="4"/>
    </row>
    <row r="41" spans="1:20" ht="15" customHeight="1" x14ac:dyDescent="0.25">
      <c r="A41" t="s">
        <v>318</v>
      </c>
      <c r="B41"/>
      <c r="C41"/>
      <c r="D41"/>
      <c r="E41"/>
      <c r="G41"/>
      <c r="H41"/>
      <c r="O41"/>
      <c r="S41" s="4" t="s">
        <v>327</v>
      </c>
    </row>
    <row r="42" spans="1:20" ht="15" customHeight="1" x14ac:dyDescent="0.25">
      <c r="A42" t="s">
        <v>279</v>
      </c>
      <c r="B42"/>
      <c r="C42"/>
      <c r="D42"/>
      <c r="E42"/>
      <c r="G42"/>
      <c r="H42"/>
      <c r="O42"/>
      <c r="S42" s="4" t="s">
        <v>327</v>
      </c>
    </row>
    <row r="43" spans="1:20" ht="15" customHeight="1" x14ac:dyDescent="0.25">
      <c r="A43" t="s">
        <v>281</v>
      </c>
      <c r="B43"/>
      <c r="C43"/>
      <c r="D43"/>
      <c r="E43"/>
      <c r="G43"/>
      <c r="H43"/>
      <c r="O43"/>
      <c r="S43" s="4" t="s">
        <v>327</v>
      </c>
    </row>
    <row r="44" spans="1:20" s="3" customFormat="1" ht="15" customHeight="1" x14ac:dyDescent="0.25">
      <c r="A44" s="4" t="s">
        <v>282</v>
      </c>
      <c r="B44" s="4"/>
      <c r="C44" s="4"/>
      <c r="D44" s="4"/>
      <c r="E44" s="4"/>
      <c r="F44" s="4"/>
      <c r="G44"/>
      <c r="H44"/>
      <c r="I44" s="4"/>
      <c r="J44" s="4"/>
      <c r="K44" s="4"/>
      <c r="L44" s="4"/>
      <c r="M44" s="4"/>
      <c r="N44" s="4"/>
      <c r="O44" s="4"/>
      <c r="P44" s="4"/>
      <c r="Q44" s="4"/>
      <c r="R44" s="4"/>
      <c r="S44" s="4" t="s">
        <v>327</v>
      </c>
      <c r="T44" s="4"/>
    </row>
    <row r="45" spans="1:20" ht="15" customHeight="1" x14ac:dyDescent="0.25">
      <c r="A45" t="s">
        <v>232</v>
      </c>
      <c r="B45"/>
      <c r="C45"/>
      <c r="D45"/>
      <c r="E45"/>
      <c r="G45"/>
      <c r="H45"/>
      <c r="O45"/>
      <c r="S45" s="4" t="s">
        <v>327</v>
      </c>
    </row>
    <row r="46" spans="1:20" ht="15" customHeight="1" x14ac:dyDescent="0.25">
      <c r="A46" t="s">
        <v>283</v>
      </c>
      <c r="B46"/>
      <c r="C46"/>
      <c r="D46"/>
      <c r="E46"/>
      <c r="G46"/>
      <c r="H46"/>
      <c r="O46"/>
      <c r="S46" s="4" t="s">
        <v>327</v>
      </c>
    </row>
    <row r="47" spans="1:20" ht="15" customHeight="1" x14ac:dyDescent="0.25">
      <c r="A47" t="s">
        <v>285</v>
      </c>
      <c r="B47"/>
      <c r="C47"/>
      <c r="D47"/>
      <c r="E47"/>
      <c r="G47"/>
      <c r="H47"/>
      <c r="O47"/>
      <c r="S47" s="4" t="s">
        <v>327</v>
      </c>
    </row>
    <row r="48" spans="1:20" ht="15" customHeight="1" x14ac:dyDescent="0.25">
      <c r="A48" t="s">
        <v>286</v>
      </c>
      <c r="B48"/>
      <c r="C48"/>
      <c r="D48"/>
      <c r="E48"/>
      <c r="G48"/>
      <c r="H48"/>
      <c r="O48"/>
      <c r="S48" s="4" t="s">
        <v>327</v>
      </c>
    </row>
    <row r="49" spans="1:20" ht="15" customHeight="1" x14ac:dyDescent="0.25">
      <c r="A49" t="s">
        <v>284</v>
      </c>
      <c r="B49"/>
      <c r="C49"/>
      <c r="D49"/>
      <c r="E49"/>
      <c r="O49"/>
      <c r="S49" s="4" t="s">
        <v>327</v>
      </c>
    </row>
    <row r="50" spans="1:20" ht="15" hidden="1" customHeight="1" x14ac:dyDescent="0.25">
      <c r="A50" s="2" t="s">
        <v>26</v>
      </c>
      <c r="B50" s="2"/>
      <c r="C50" s="2"/>
      <c r="D50" s="2"/>
      <c r="E50" s="2"/>
      <c r="F50" t="s">
        <v>402</v>
      </c>
      <c r="G50" s="2" t="s">
        <v>8</v>
      </c>
      <c r="H50" s="2" t="s">
        <v>17</v>
      </c>
      <c r="I50" s="4">
        <v>62</v>
      </c>
      <c r="J50" s="4" t="s">
        <v>11</v>
      </c>
      <c r="K50" s="7">
        <v>5869860</v>
      </c>
      <c r="L50" s="4">
        <v>2010</v>
      </c>
      <c r="M50" s="4" t="s">
        <v>15</v>
      </c>
      <c r="N50" s="4" t="s">
        <v>329</v>
      </c>
      <c r="O50" s="2"/>
      <c r="P50" s="4">
        <v>3</v>
      </c>
      <c r="Q50" s="4">
        <v>2</v>
      </c>
      <c r="S50" s="4" t="s">
        <v>130</v>
      </c>
    </row>
    <row r="51" spans="1:20" s="3" customFormat="1" ht="15" hidden="1" customHeight="1" x14ac:dyDescent="0.25">
      <c r="A51" s="2" t="s">
        <v>24</v>
      </c>
      <c r="B51" s="2"/>
      <c r="C51" s="2"/>
      <c r="D51" s="2"/>
      <c r="E51" s="2"/>
      <c r="F51" t="s">
        <v>404</v>
      </c>
      <c r="G51" s="2" t="s">
        <v>122</v>
      </c>
      <c r="H51" s="2" t="s">
        <v>146</v>
      </c>
      <c r="I51" s="4">
        <v>60</v>
      </c>
      <c r="J51" s="4" t="s">
        <v>11</v>
      </c>
      <c r="K51" s="10">
        <v>4768151</v>
      </c>
      <c r="L51" s="4">
        <v>2006</v>
      </c>
      <c r="M51" s="11" t="s">
        <v>15</v>
      </c>
      <c r="N51" s="4" t="s">
        <v>329</v>
      </c>
      <c r="O51" s="2"/>
      <c r="P51" s="4">
        <v>3</v>
      </c>
      <c r="Q51" s="4">
        <v>2</v>
      </c>
      <c r="R51" s="4"/>
      <c r="S51" s="4" t="s">
        <v>130</v>
      </c>
      <c r="T51" s="4"/>
    </row>
    <row r="52" spans="1:20" ht="15" hidden="1" customHeight="1" x14ac:dyDescent="0.25">
      <c r="A52" s="2" t="s">
        <v>210</v>
      </c>
      <c r="B52" s="2"/>
      <c r="C52" s="2"/>
      <c r="D52" s="2"/>
      <c r="E52" s="2"/>
      <c r="F52" t="s">
        <v>411</v>
      </c>
      <c r="G52" s="2" t="s">
        <v>12</v>
      </c>
      <c r="H52" s="2" t="s">
        <v>132</v>
      </c>
      <c r="I52" s="4">
        <v>72</v>
      </c>
      <c r="J52" s="4" t="s">
        <v>11</v>
      </c>
      <c r="K52" s="7">
        <v>7017786</v>
      </c>
      <c r="L52" s="4">
        <v>2014</v>
      </c>
      <c r="M52" s="4" t="s">
        <v>14</v>
      </c>
      <c r="N52" s="4" t="s">
        <v>329</v>
      </c>
      <c r="O52" s="2"/>
      <c r="P52" s="4">
        <v>5</v>
      </c>
      <c r="Q52" s="4">
        <v>2</v>
      </c>
      <c r="S52" s="4" t="s">
        <v>130</v>
      </c>
    </row>
    <row r="53" spans="1:20" ht="15" hidden="1" customHeight="1" x14ac:dyDescent="0.25">
      <c r="A53" s="2" t="s">
        <v>31</v>
      </c>
      <c r="B53" s="2"/>
      <c r="C53" s="2"/>
      <c r="D53" s="2"/>
      <c r="E53" s="2"/>
      <c r="F53" s="10" t="s">
        <v>199</v>
      </c>
      <c r="G53" s="2" t="s">
        <v>8</v>
      </c>
      <c r="H53" s="2" t="s">
        <v>136</v>
      </c>
      <c r="I53" s="4">
        <v>116</v>
      </c>
      <c r="J53" s="4" t="s">
        <v>11</v>
      </c>
      <c r="K53" s="8">
        <v>3798438</v>
      </c>
      <c r="L53" s="4">
        <v>2002</v>
      </c>
      <c r="M53" s="11" t="s">
        <v>16</v>
      </c>
      <c r="N53" s="4" t="s">
        <v>330</v>
      </c>
      <c r="O53" s="2"/>
      <c r="P53" s="4">
        <v>2</v>
      </c>
      <c r="Q53" s="4">
        <v>2</v>
      </c>
      <c r="S53" s="4" t="s">
        <v>130</v>
      </c>
    </row>
    <row r="54" spans="1:20" ht="15" hidden="1" customHeight="1" x14ac:dyDescent="0.25">
      <c r="A54" s="2" t="s">
        <v>31</v>
      </c>
      <c r="B54" s="2"/>
      <c r="C54" s="2"/>
      <c r="D54" s="2"/>
      <c r="E54" s="2"/>
      <c r="F54" s="10" t="s">
        <v>199</v>
      </c>
      <c r="G54" s="2" t="s">
        <v>132</v>
      </c>
      <c r="H54" s="2" t="s">
        <v>136</v>
      </c>
      <c r="I54" s="4">
        <v>116</v>
      </c>
      <c r="J54" s="4" t="s">
        <v>11</v>
      </c>
      <c r="K54" s="8">
        <v>3798438</v>
      </c>
      <c r="L54" s="4">
        <v>2002</v>
      </c>
      <c r="M54" s="11" t="s">
        <v>16</v>
      </c>
      <c r="N54" s="4" t="s">
        <v>330</v>
      </c>
      <c r="O54" s="2"/>
      <c r="P54" s="4">
        <v>2</v>
      </c>
      <c r="Q54" s="4">
        <v>2</v>
      </c>
      <c r="S54" s="4" t="s">
        <v>130</v>
      </c>
    </row>
    <row r="55" spans="1:20" ht="15" hidden="1" customHeight="1" x14ac:dyDescent="0.25">
      <c r="A55" s="2" t="s">
        <v>150</v>
      </c>
      <c r="B55" s="2"/>
      <c r="C55" s="2"/>
      <c r="D55" s="2"/>
      <c r="E55" s="2"/>
      <c r="F55" s="10" t="s">
        <v>175</v>
      </c>
      <c r="G55" s="2" t="s">
        <v>12</v>
      </c>
      <c r="H55" s="2" t="s">
        <v>168</v>
      </c>
      <c r="I55" s="4">
        <v>67</v>
      </c>
      <c r="J55" s="6" t="s">
        <v>11</v>
      </c>
      <c r="K55" s="10">
        <v>5910977</v>
      </c>
      <c r="L55" s="4">
        <v>2009</v>
      </c>
      <c r="M55" s="11" t="s">
        <v>109</v>
      </c>
      <c r="N55" s="4" t="s">
        <v>329</v>
      </c>
      <c r="O55" s="2"/>
      <c r="P55" s="4">
        <v>4</v>
      </c>
      <c r="Q55" s="4">
        <v>2</v>
      </c>
      <c r="S55" s="4" t="s">
        <v>130</v>
      </c>
    </row>
    <row r="56" spans="1:20" ht="15" hidden="1" customHeight="1" x14ac:dyDescent="0.25">
      <c r="A56" s="9" t="s">
        <v>150</v>
      </c>
      <c r="B56" s="9"/>
      <c r="C56" s="9"/>
      <c r="D56" s="9"/>
      <c r="E56" s="9"/>
      <c r="F56" s="10" t="s">
        <v>175</v>
      </c>
      <c r="G56" s="2" t="s">
        <v>168</v>
      </c>
      <c r="H56" s="2" t="s">
        <v>168</v>
      </c>
      <c r="I56" s="4">
        <v>67</v>
      </c>
      <c r="J56" s="6" t="s">
        <v>11</v>
      </c>
      <c r="K56" s="10">
        <v>5910977</v>
      </c>
      <c r="L56" s="4">
        <v>2009</v>
      </c>
      <c r="M56" s="11" t="s">
        <v>109</v>
      </c>
      <c r="N56" s="4" t="s">
        <v>329</v>
      </c>
      <c r="O56" s="9"/>
      <c r="P56" s="4">
        <v>4</v>
      </c>
      <c r="Q56" s="4">
        <v>2</v>
      </c>
      <c r="R56" s="4">
        <v>2</v>
      </c>
      <c r="S56" s="4" t="s">
        <v>130</v>
      </c>
    </row>
    <row r="57" spans="1:20" ht="15" hidden="1" customHeight="1" x14ac:dyDescent="0.25">
      <c r="A57" s="2" t="s">
        <v>35</v>
      </c>
      <c r="B57" s="2"/>
      <c r="C57" s="2"/>
      <c r="D57" s="2"/>
      <c r="E57" s="2"/>
      <c r="F57" s="10" t="s">
        <v>549</v>
      </c>
      <c r="G57" s="2" t="s">
        <v>8</v>
      </c>
      <c r="H57" s="2" t="s">
        <v>133</v>
      </c>
      <c r="I57" s="4">
        <v>71</v>
      </c>
      <c r="J57" s="4" t="s">
        <v>11</v>
      </c>
      <c r="K57" s="8">
        <v>6158927</v>
      </c>
      <c r="L57" s="4">
        <v>2011</v>
      </c>
      <c r="M57" s="11" t="s">
        <v>87</v>
      </c>
      <c r="N57" s="4" t="s">
        <v>329</v>
      </c>
      <c r="O57" s="2"/>
      <c r="P57" s="4">
        <v>3</v>
      </c>
      <c r="Q57" s="4">
        <v>2</v>
      </c>
      <c r="S57" s="4" t="s">
        <v>130</v>
      </c>
    </row>
    <row r="58" spans="1:20" s="3" customFormat="1" ht="15" hidden="1" customHeight="1" x14ac:dyDescent="0.25">
      <c r="A58" s="4" t="s">
        <v>299</v>
      </c>
      <c r="B58" s="4"/>
      <c r="C58" s="4"/>
      <c r="D58" s="4"/>
      <c r="E58" s="4"/>
      <c r="F58" t="s">
        <v>411</v>
      </c>
      <c r="G58" s="2" t="s">
        <v>141</v>
      </c>
      <c r="H58" s="2" t="s">
        <v>301</v>
      </c>
      <c r="I58" s="4">
        <v>76</v>
      </c>
      <c r="J58" s="6" t="s">
        <v>11</v>
      </c>
      <c r="K58" s="10">
        <v>6463818</v>
      </c>
      <c r="L58" s="4">
        <v>2013</v>
      </c>
      <c r="M58" s="11" t="s">
        <v>167</v>
      </c>
      <c r="N58" s="4" t="s">
        <v>329</v>
      </c>
      <c r="O58" s="4"/>
      <c r="P58" s="4">
        <v>4</v>
      </c>
      <c r="Q58" s="4">
        <v>2</v>
      </c>
      <c r="R58" s="4">
        <v>2</v>
      </c>
      <c r="S58" s="4" t="s">
        <v>130</v>
      </c>
      <c r="T58" s="4"/>
    </row>
    <row r="59" spans="1:20" ht="15" hidden="1" customHeight="1" x14ac:dyDescent="0.25">
      <c r="A59" s="4" t="s">
        <v>299</v>
      </c>
      <c r="F59" t="s">
        <v>411</v>
      </c>
      <c r="G59" s="2" t="s">
        <v>198</v>
      </c>
      <c r="H59" s="2" t="s">
        <v>301</v>
      </c>
      <c r="I59" s="4">
        <v>76</v>
      </c>
      <c r="J59" s="6" t="s">
        <v>11</v>
      </c>
      <c r="K59" s="10">
        <v>6463818</v>
      </c>
      <c r="L59" s="4">
        <v>2013</v>
      </c>
      <c r="M59" s="11" t="s">
        <v>167</v>
      </c>
      <c r="P59" s="4">
        <v>4</v>
      </c>
      <c r="Q59" s="4">
        <v>2</v>
      </c>
      <c r="S59" s="4" t="s">
        <v>130</v>
      </c>
    </row>
    <row r="60" spans="1:20" ht="15" hidden="1" customHeight="1" x14ac:dyDescent="0.25">
      <c r="A60" s="9" t="s">
        <v>152</v>
      </c>
      <c r="B60" s="9"/>
      <c r="C60" s="9"/>
      <c r="D60" s="9"/>
      <c r="E60" s="9"/>
      <c r="F60" s="10" t="s">
        <v>176</v>
      </c>
      <c r="G60" s="2" t="s">
        <v>142</v>
      </c>
      <c r="H60" s="2" t="s">
        <v>142</v>
      </c>
      <c r="I60" s="4">
        <v>95</v>
      </c>
      <c r="J60" s="6" t="s">
        <v>11</v>
      </c>
      <c r="K60" s="10">
        <v>1537904</v>
      </c>
      <c r="L60" s="4">
        <v>1996</v>
      </c>
      <c r="M60" s="11" t="s">
        <v>177</v>
      </c>
      <c r="N60" s="4" t="s">
        <v>330</v>
      </c>
      <c r="O60" s="9"/>
      <c r="P60" s="4">
        <v>3</v>
      </c>
      <c r="Q60" s="4">
        <v>2</v>
      </c>
      <c r="S60" s="4" t="s">
        <v>130</v>
      </c>
    </row>
    <row r="61" spans="1:20" ht="15" hidden="1" customHeight="1" x14ac:dyDescent="0.25">
      <c r="A61" t="s">
        <v>246</v>
      </c>
      <c r="B61"/>
      <c r="C61"/>
      <c r="D61"/>
      <c r="E61"/>
      <c r="F61" s="4" t="s">
        <v>331</v>
      </c>
      <c r="G61" s="2" t="s">
        <v>142</v>
      </c>
      <c r="H61" s="2" t="s">
        <v>142</v>
      </c>
      <c r="I61" s="4">
        <v>100</v>
      </c>
      <c r="J61" s="6" t="s">
        <v>11</v>
      </c>
      <c r="K61" s="4">
        <v>4556538</v>
      </c>
      <c r="L61" s="4">
        <v>2005</v>
      </c>
      <c r="M61" s="4" t="s">
        <v>16</v>
      </c>
      <c r="O61"/>
      <c r="P61" s="4">
        <v>3</v>
      </c>
      <c r="Q61" s="4">
        <v>1</v>
      </c>
      <c r="S61" s="4" t="s">
        <v>130</v>
      </c>
    </row>
    <row r="62" spans="1:20" ht="15" hidden="1" customHeight="1" x14ac:dyDescent="0.25">
      <c r="A62" s="9" t="s">
        <v>38</v>
      </c>
      <c r="B62" s="9"/>
      <c r="C62" s="9"/>
      <c r="D62" s="9"/>
      <c r="E62" s="9"/>
      <c r="F62" t="s">
        <v>439</v>
      </c>
      <c r="G62" s="2" t="s">
        <v>12</v>
      </c>
      <c r="H62" s="2" t="s">
        <v>197</v>
      </c>
      <c r="I62" s="4">
        <v>66</v>
      </c>
      <c r="J62" s="4" t="s">
        <v>11</v>
      </c>
      <c r="K62" s="7">
        <v>5869877</v>
      </c>
      <c r="L62" s="4">
        <v>2010</v>
      </c>
      <c r="M62" s="4" t="s">
        <v>15</v>
      </c>
      <c r="N62" s="4" t="s">
        <v>329</v>
      </c>
      <c r="O62" s="9"/>
      <c r="P62" s="4">
        <v>4</v>
      </c>
      <c r="Q62" s="4">
        <v>2</v>
      </c>
      <c r="S62" s="4" t="s">
        <v>130</v>
      </c>
    </row>
    <row r="63" spans="1:20" ht="15" hidden="1" customHeight="1" x14ac:dyDescent="0.25">
      <c r="A63" s="2" t="s">
        <v>190</v>
      </c>
      <c r="B63" s="2"/>
      <c r="C63" s="2"/>
      <c r="D63" s="2"/>
      <c r="E63" s="2"/>
      <c r="F63" t="s">
        <v>441</v>
      </c>
      <c r="G63" s="2" t="s">
        <v>132</v>
      </c>
      <c r="H63" s="2" t="s">
        <v>8</v>
      </c>
      <c r="I63" s="4">
        <v>73</v>
      </c>
      <c r="J63" s="4" t="s">
        <v>11</v>
      </c>
      <c r="K63" s="8">
        <v>7001228</v>
      </c>
      <c r="L63" s="4">
        <v>2013</v>
      </c>
      <c r="M63" s="11" t="s">
        <v>93</v>
      </c>
      <c r="N63" s="4" t="s">
        <v>329</v>
      </c>
      <c r="O63" s="2"/>
      <c r="P63" s="4">
        <v>3</v>
      </c>
      <c r="Q63" s="4">
        <v>2</v>
      </c>
      <c r="S63" s="4" t="s">
        <v>130</v>
      </c>
    </row>
    <row r="64" spans="1:20" ht="15" hidden="1" customHeight="1" x14ac:dyDescent="0.25">
      <c r="A64" s="4" t="s">
        <v>216</v>
      </c>
      <c r="F64" s="10" t="s">
        <v>332</v>
      </c>
      <c r="G64" s="2" t="s">
        <v>17</v>
      </c>
      <c r="H64" s="2" t="s">
        <v>294</v>
      </c>
      <c r="I64" s="4">
        <v>82</v>
      </c>
      <c r="J64" s="6" t="s">
        <v>11</v>
      </c>
      <c r="K64" s="10">
        <v>3118757</v>
      </c>
      <c r="L64" s="4">
        <v>2000</v>
      </c>
      <c r="M64" s="11" t="s">
        <v>293</v>
      </c>
      <c r="N64" s="4" t="s">
        <v>329</v>
      </c>
      <c r="P64" s="4">
        <v>5</v>
      </c>
      <c r="Q64" s="4">
        <v>2</v>
      </c>
      <c r="R64" s="4">
        <v>2</v>
      </c>
      <c r="S64" s="4" t="s">
        <v>130</v>
      </c>
    </row>
    <row r="65" spans="1:20" s="3" customFormat="1" ht="15" hidden="1" customHeight="1" x14ac:dyDescent="0.25">
      <c r="A65" s="4" t="s">
        <v>216</v>
      </c>
      <c r="B65" s="4"/>
      <c r="C65" s="4"/>
      <c r="D65" s="4"/>
      <c r="E65" s="4"/>
      <c r="F65" s="10" t="s">
        <v>332</v>
      </c>
      <c r="G65" s="2" t="s">
        <v>142</v>
      </c>
      <c r="H65" s="2" t="s">
        <v>294</v>
      </c>
      <c r="I65" s="4">
        <v>82</v>
      </c>
      <c r="J65" s="6" t="s">
        <v>11</v>
      </c>
      <c r="K65" s="10">
        <v>3118757</v>
      </c>
      <c r="L65" s="4">
        <v>2000</v>
      </c>
      <c r="M65" s="11" t="s">
        <v>293</v>
      </c>
      <c r="N65" s="4"/>
      <c r="O65" s="4"/>
      <c r="P65" s="4">
        <v>5</v>
      </c>
      <c r="Q65" s="4">
        <v>2</v>
      </c>
      <c r="R65" s="4"/>
      <c r="S65" s="4" t="s">
        <v>130</v>
      </c>
      <c r="T65" s="4"/>
    </row>
    <row r="66" spans="1:20" ht="15" hidden="1" customHeight="1" x14ac:dyDescent="0.25">
      <c r="A66" s="2" t="s">
        <v>40</v>
      </c>
      <c r="B66" s="2"/>
      <c r="C66" s="2"/>
      <c r="D66" s="2"/>
      <c r="E66" s="2"/>
      <c r="F66" t="s">
        <v>450</v>
      </c>
      <c r="G66" s="2" t="s">
        <v>122</v>
      </c>
      <c r="H66" s="2" t="s">
        <v>8</v>
      </c>
      <c r="I66" s="4">
        <v>144</v>
      </c>
      <c r="J66" s="5" t="s">
        <v>94</v>
      </c>
      <c r="K66" s="8">
        <v>6460220</v>
      </c>
      <c r="L66" s="4">
        <v>2012</v>
      </c>
      <c r="M66" s="11" t="s">
        <v>95</v>
      </c>
      <c r="N66" s="4" t="s">
        <v>329</v>
      </c>
      <c r="O66" s="2"/>
      <c r="P66" s="4">
        <v>2</v>
      </c>
      <c r="Q66" s="4">
        <v>1</v>
      </c>
      <c r="S66" s="4" t="s">
        <v>130</v>
      </c>
    </row>
    <row r="67" spans="1:20" ht="15" hidden="1" customHeight="1" x14ac:dyDescent="0.25">
      <c r="A67" s="2" t="s">
        <v>40</v>
      </c>
      <c r="B67" s="2"/>
      <c r="C67" s="2"/>
      <c r="D67" s="2"/>
      <c r="E67" s="2"/>
      <c r="F67" t="s">
        <v>450</v>
      </c>
      <c r="G67" s="2" t="s">
        <v>132</v>
      </c>
      <c r="H67" s="2" t="s">
        <v>8</v>
      </c>
      <c r="I67" s="4">
        <v>144</v>
      </c>
      <c r="J67" s="5" t="s">
        <v>94</v>
      </c>
      <c r="K67" s="8">
        <v>6460220</v>
      </c>
      <c r="L67" s="4">
        <v>2012</v>
      </c>
      <c r="M67" s="11" t="s">
        <v>95</v>
      </c>
      <c r="N67" s="4" t="s">
        <v>329</v>
      </c>
      <c r="O67" s="2"/>
      <c r="P67" s="4">
        <v>2</v>
      </c>
      <c r="Q67" s="4">
        <v>1</v>
      </c>
      <c r="S67" s="4" t="s">
        <v>130</v>
      </c>
    </row>
    <row r="68" spans="1:20" ht="15" hidden="1" customHeight="1" x14ac:dyDescent="0.25">
      <c r="A68" s="9" t="s">
        <v>42</v>
      </c>
      <c r="B68" s="9"/>
      <c r="C68" s="9"/>
      <c r="D68" s="9"/>
      <c r="E68" s="9"/>
      <c r="F68" s="10" t="s">
        <v>200</v>
      </c>
      <c r="G68" s="2" t="s">
        <v>122</v>
      </c>
      <c r="H68" s="2" t="s">
        <v>132</v>
      </c>
      <c r="I68" s="4">
        <v>94</v>
      </c>
      <c r="J68" s="4" t="s">
        <v>11</v>
      </c>
      <c r="K68" s="8">
        <v>4026635</v>
      </c>
      <c r="L68" s="4">
        <v>2003</v>
      </c>
      <c r="M68" s="11" t="s">
        <v>98</v>
      </c>
      <c r="N68" s="4" t="s">
        <v>329</v>
      </c>
      <c r="O68" s="9"/>
      <c r="P68" s="4">
        <v>3</v>
      </c>
      <c r="Q68" s="4">
        <v>2</v>
      </c>
      <c r="R68" s="4">
        <v>2</v>
      </c>
      <c r="S68" s="4" t="s">
        <v>130</v>
      </c>
    </row>
    <row r="69" spans="1:20" ht="15" hidden="1" customHeight="1" x14ac:dyDescent="0.25">
      <c r="A69" s="2" t="s">
        <v>43</v>
      </c>
      <c r="B69" s="2"/>
      <c r="C69" s="2"/>
      <c r="D69" s="2"/>
      <c r="E69" s="2"/>
      <c r="F69" s="10" t="s">
        <v>99</v>
      </c>
      <c r="G69" s="2" t="s">
        <v>8</v>
      </c>
      <c r="H69" s="2" t="s">
        <v>136</v>
      </c>
      <c r="I69" s="4">
        <v>80</v>
      </c>
      <c r="J69" s="4" t="s">
        <v>11</v>
      </c>
      <c r="K69" s="8">
        <v>4873981</v>
      </c>
      <c r="L69" s="4">
        <v>2007</v>
      </c>
      <c r="M69" s="11" t="s">
        <v>100</v>
      </c>
      <c r="N69" s="4" t="s">
        <v>329</v>
      </c>
      <c r="O69" s="2"/>
      <c r="P69" s="4">
        <v>4</v>
      </c>
      <c r="Q69" s="4">
        <v>2</v>
      </c>
      <c r="S69" s="4" t="s">
        <v>130</v>
      </c>
    </row>
    <row r="70" spans="1:20" ht="15" hidden="1" customHeight="1" x14ac:dyDescent="0.25">
      <c r="A70" s="9" t="s">
        <v>137</v>
      </c>
      <c r="B70" s="9"/>
      <c r="C70" s="9"/>
      <c r="D70" s="9"/>
      <c r="E70" s="9"/>
      <c r="F70" t="s">
        <v>459</v>
      </c>
      <c r="G70" s="2" t="s">
        <v>17</v>
      </c>
      <c r="H70" s="2" t="s">
        <v>17</v>
      </c>
      <c r="I70" s="4">
        <v>85</v>
      </c>
      <c r="J70" s="6" t="s">
        <v>11</v>
      </c>
      <c r="K70" s="10">
        <v>5925649</v>
      </c>
      <c r="L70" s="4">
        <v>2011</v>
      </c>
      <c r="M70" s="11" t="s">
        <v>169</v>
      </c>
      <c r="N70" s="4" t="s">
        <v>329</v>
      </c>
      <c r="O70" s="9"/>
      <c r="P70" s="4">
        <v>3</v>
      </c>
      <c r="Q70" s="4">
        <v>2</v>
      </c>
      <c r="S70" s="4" t="s">
        <v>130</v>
      </c>
    </row>
    <row r="71" spans="1:20" ht="15" hidden="1" customHeight="1" x14ac:dyDescent="0.25">
      <c r="A71" s="2" t="s">
        <v>137</v>
      </c>
      <c r="B71" s="2"/>
      <c r="C71" s="2"/>
      <c r="D71" s="2"/>
      <c r="E71" s="2"/>
      <c r="F71" t="s">
        <v>459</v>
      </c>
      <c r="G71" s="2" t="s">
        <v>136</v>
      </c>
      <c r="H71" s="2" t="s">
        <v>17</v>
      </c>
      <c r="I71" s="4">
        <v>85</v>
      </c>
      <c r="J71" s="6" t="s">
        <v>11</v>
      </c>
      <c r="K71" s="10">
        <v>5925649</v>
      </c>
      <c r="L71" s="4">
        <v>2011</v>
      </c>
      <c r="M71" s="11" t="s">
        <v>169</v>
      </c>
      <c r="N71" s="4" t="s">
        <v>329</v>
      </c>
      <c r="O71" s="2"/>
      <c r="P71" s="4">
        <v>4</v>
      </c>
      <c r="Q71" s="4">
        <v>2</v>
      </c>
      <c r="S71" s="4" t="s">
        <v>130</v>
      </c>
    </row>
    <row r="72" spans="1:20" hidden="1" x14ac:dyDescent="0.25">
      <c r="A72" s="2" t="s">
        <v>46</v>
      </c>
      <c r="B72" s="2"/>
      <c r="C72" s="2"/>
      <c r="D72" s="2"/>
      <c r="E72" s="2"/>
      <c r="F72" s="10" t="s">
        <v>102</v>
      </c>
      <c r="G72" s="2" t="s">
        <v>122</v>
      </c>
      <c r="H72" s="2" t="s">
        <v>12</v>
      </c>
      <c r="I72" s="4">
        <v>75</v>
      </c>
      <c r="J72" s="4" t="s">
        <v>11</v>
      </c>
      <c r="K72" s="8">
        <v>3266032</v>
      </c>
      <c r="L72" s="4">
        <v>2000</v>
      </c>
      <c r="M72" s="11" t="s">
        <v>16</v>
      </c>
      <c r="N72" s="4" t="s">
        <v>329</v>
      </c>
      <c r="O72" s="2"/>
      <c r="P72" s="4">
        <v>2</v>
      </c>
      <c r="Q72" s="4">
        <v>1</v>
      </c>
      <c r="S72" s="4" t="s">
        <v>130</v>
      </c>
    </row>
    <row r="73" spans="1:20" hidden="1" x14ac:dyDescent="0.25">
      <c r="A73" s="4" t="s">
        <v>324</v>
      </c>
      <c r="F73" t="s">
        <v>461</v>
      </c>
      <c r="G73" s="2" t="s">
        <v>142</v>
      </c>
      <c r="H73" s="2" t="s">
        <v>142</v>
      </c>
      <c r="I73" s="4">
        <v>57</v>
      </c>
      <c r="J73" s="6" t="s">
        <v>11</v>
      </c>
      <c r="K73" s="4">
        <v>6129798</v>
      </c>
      <c r="L73" s="4">
        <v>2011</v>
      </c>
      <c r="M73" s="4" t="s">
        <v>16</v>
      </c>
      <c r="N73" s="4" t="s">
        <v>329</v>
      </c>
      <c r="P73" s="4">
        <v>3</v>
      </c>
      <c r="Q73" s="4">
        <v>2</v>
      </c>
      <c r="S73" s="4" t="s">
        <v>130</v>
      </c>
    </row>
    <row r="74" spans="1:20" hidden="1" x14ac:dyDescent="0.25">
      <c r="A74" s="9" t="s">
        <v>51</v>
      </c>
      <c r="B74" s="9"/>
      <c r="C74" s="9"/>
      <c r="D74" s="9"/>
      <c r="E74" s="9"/>
      <c r="F74" s="10" t="s">
        <v>105</v>
      </c>
      <c r="G74" s="2" t="s">
        <v>133</v>
      </c>
      <c r="H74" s="2" t="s">
        <v>142</v>
      </c>
      <c r="I74" s="4">
        <v>48</v>
      </c>
      <c r="J74" s="4" t="s">
        <v>11</v>
      </c>
      <c r="K74" s="8">
        <v>14181</v>
      </c>
      <c r="L74" s="4">
        <v>1953</v>
      </c>
      <c r="M74" s="4" t="s">
        <v>106</v>
      </c>
      <c r="N74" s="4" t="s">
        <v>328</v>
      </c>
      <c r="O74" s="9"/>
      <c r="P74" s="4">
        <v>2</v>
      </c>
      <c r="Q74" s="4">
        <v>2</v>
      </c>
      <c r="R74" s="4">
        <v>2</v>
      </c>
      <c r="S74" s="4" t="s">
        <v>130</v>
      </c>
    </row>
    <row r="75" spans="1:20" hidden="1" x14ac:dyDescent="0.25">
      <c r="A75" s="9" t="s">
        <v>53</v>
      </c>
      <c r="B75" s="9"/>
      <c r="C75" s="9"/>
      <c r="D75" s="9"/>
      <c r="E75" s="9"/>
      <c r="F75" t="s">
        <v>436</v>
      </c>
      <c r="G75" s="2" t="s">
        <v>146</v>
      </c>
      <c r="H75" s="2" t="s">
        <v>142</v>
      </c>
      <c r="I75" s="4">
        <v>96</v>
      </c>
      <c r="J75" s="4" t="s">
        <v>11</v>
      </c>
      <c r="K75" s="8">
        <v>5806878</v>
      </c>
      <c r="L75" s="4">
        <v>2010</v>
      </c>
      <c r="M75" s="4" t="s">
        <v>107</v>
      </c>
      <c r="N75" s="4" t="s">
        <v>329</v>
      </c>
      <c r="O75" s="9"/>
      <c r="P75" s="4">
        <v>3</v>
      </c>
      <c r="Q75" s="4">
        <v>2</v>
      </c>
      <c r="R75" s="4">
        <v>2</v>
      </c>
      <c r="S75" s="4" t="s">
        <v>130</v>
      </c>
    </row>
    <row r="76" spans="1:20" hidden="1" x14ac:dyDescent="0.25">
      <c r="A76" s="2" t="s">
        <v>54</v>
      </c>
      <c r="B76" s="2"/>
      <c r="C76" s="2"/>
      <c r="D76" s="2"/>
      <c r="E76" s="2"/>
      <c r="F76" t="s">
        <v>402</v>
      </c>
      <c r="G76" s="2" t="s">
        <v>8</v>
      </c>
      <c r="H76" s="2" t="s">
        <v>136</v>
      </c>
      <c r="I76" s="4">
        <v>82</v>
      </c>
      <c r="J76" s="4" t="s">
        <v>11</v>
      </c>
      <c r="K76" s="8">
        <v>5183450</v>
      </c>
      <c r="L76" s="4">
        <v>2008</v>
      </c>
      <c r="M76" s="4" t="s">
        <v>15</v>
      </c>
      <c r="N76" s="4" t="s">
        <v>329</v>
      </c>
      <c r="O76" s="2"/>
      <c r="P76" s="4">
        <v>4</v>
      </c>
      <c r="Q76" s="4">
        <v>2</v>
      </c>
      <c r="S76" s="4" t="s">
        <v>130</v>
      </c>
    </row>
    <row r="77" spans="1:20" hidden="1" x14ac:dyDescent="0.25">
      <c r="A77" s="4" t="s">
        <v>221</v>
      </c>
      <c r="F77" s="10" t="s">
        <v>333</v>
      </c>
      <c r="G77" s="2" t="s">
        <v>142</v>
      </c>
      <c r="H77" s="2" t="s">
        <v>142</v>
      </c>
      <c r="I77" s="4">
        <v>60</v>
      </c>
      <c r="J77" s="6" t="s">
        <v>94</v>
      </c>
      <c r="K77" s="10">
        <v>4403076</v>
      </c>
      <c r="L77" s="4">
        <v>2004</v>
      </c>
      <c r="M77" s="11" t="s">
        <v>297</v>
      </c>
      <c r="N77" s="4" t="s">
        <v>329</v>
      </c>
      <c r="P77" s="4">
        <v>3</v>
      </c>
      <c r="Q77" s="4">
        <v>2</v>
      </c>
      <c r="R77" s="4">
        <v>2</v>
      </c>
      <c r="S77" s="4" t="s">
        <v>130</v>
      </c>
    </row>
    <row r="78" spans="1:20" hidden="1" x14ac:dyDescent="0.25">
      <c r="A78" s="2" t="s">
        <v>138</v>
      </c>
      <c r="B78" s="2"/>
      <c r="C78" s="2"/>
      <c r="D78" s="2"/>
      <c r="E78" s="2"/>
      <c r="F78" t="s">
        <v>481</v>
      </c>
      <c r="G78" s="2" t="s">
        <v>132</v>
      </c>
      <c r="H78" s="2" t="s">
        <v>136</v>
      </c>
      <c r="I78" s="4">
        <v>86</v>
      </c>
      <c r="J78" s="6" t="s">
        <v>11</v>
      </c>
      <c r="K78" s="10">
        <v>5183443</v>
      </c>
      <c r="L78" s="4">
        <v>2008</v>
      </c>
      <c r="M78" s="11" t="s">
        <v>15</v>
      </c>
      <c r="N78" s="4" t="s">
        <v>329</v>
      </c>
      <c r="O78" s="2"/>
      <c r="P78" s="4">
        <v>3</v>
      </c>
      <c r="Q78" s="4">
        <v>2</v>
      </c>
      <c r="S78" s="4" t="s">
        <v>130</v>
      </c>
    </row>
    <row r="79" spans="1:20" hidden="1" x14ac:dyDescent="0.25">
      <c r="A79" s="2" t="s">
        <v>57</v>
      </c>
      <c r="B79" s="2"/>
      <c r="C79" s="2"/>
      <c r="D79" s="2"/>
      <c r="E79" s="2"/>
      <c r="F79" s="10" t="s">
        <v>362</v>
      </c>
      <c r="G79" s="2" t="s">
        <v>122</v>
      </c>
      <c r="H79" s="2" t="s">
        <v>141</v>
      </c>
      <c r="I79" s="4">
        <v>76</v>
      </c>
      <c r="J79" s="6" t="s">
        <v>18</v>
      </c>
      <c r="K79" s="4">
        <v>22331</v>
      </c>
      <c r="M79" s="11" t="s">
        <v>112</v>
      </c>
      <c r="N79" s="4" t="s">
        <v>328</v>
      </c>
      <c r="O79" s="2"/>
      <c r="P79" s="4">
        <v>1</v>
      </c>
      <c r="Q79" s="4">
        <v>2</v>
      </c>
      <c r="S79" s="4" t="s">
        <v>130</v>
      </c>
    </row>
    <row r="80" spans="1:20" hidden="1" x14ac:dyDescent="0.25">
      <c r="A80" s="9" t="s">
        <v>125</v>
      </c>
      <c r="B80" s="9"/>
      <c r="C80" s="9"/>
      <c r="D80" s="9"/>
      <c r="E80" s="9"/>
      <c r="F80" t="s">
        <v>486</v>
      </c>
      <c r="G80" s="2" t="s">
        <v>142</v>
      </c>
      <c r="H80" s="2" t="s">
        <v>142</v>
      </c>
      <c r="I80" s="4">
        <v>68</v>
      </c>
      <c r="J80" s="6" t="s">
        <v>11</v>
      </c>
      <c r="K80" s="10">
        <v>7046145</v>
      </c>
      <c r="L80" s="4">
        <v>2015</v>
      </c>
      <c r="M80" s="11" t="s">
        <v>164</v>
      </c>
      <c r="N80" s="4" t="s">
        <v>329</v>
      </c>
      <c r="O80" s="9"/>
      <c r="P80" s="4">
        <v>4</v>
      </c>
      <c r="Q80" s="4">
        <v>2</v>
      </c>
      <c r="S80" s="4" t="s">
        <v>130</v>
      </c>
    </row>
    <row r="81" spans="1:19" hidden="1" x14ac:dyDescent="0.25">
      <c r="A81" s="2" t="s">
        <v>316</v>
      </c>
      <c r="B81" s="2"/>
      <c r="C81" s="2"/>
      <c r="D81" s="2"/>
      <c r="E81" s="2"/>
      <c r="F81" t="s">
        <v>489</v>
      </c>
      <c r="G81" s="2" t="s">
        <v>8</v>
      </c>
      <c r="H81" s="2" t="s">
        <v>136</v>
      </c>
      <c r="I81" s="4">
        <v>90</v>
      </c>
      <c r="J81" s="6" t="s">
        <v>11</v>
      </c>
      <c r="K81" s="10">
        <v>7038281</v>
      </c>
      <c r="L81" s="4">
        <v>2015</v>
      </c>
      <c r="M81" s="11" t="s">
        <v>165</v>
      </c>
      <c r="N81" s="4" t="s">
        <v>329</v>
      </c>
      <c r="O81" s="2"/>
      <c r="P81" s="4">
        <v>3</v>
      </c>
      <c r="Q81" s="4">
        <v>2</v>
      </c>
      <c r="S81" s="4" t="s">
        <v>130</v>
      </c>
    </row>
    <row r="82" spans="1:19" hidden="1" x14ac:dyDescent="0.25">
      <c r="A82" s="2" t="s">
        <v>59</v>
      </c>
      <c r="B82" s="2"/>
      <c r="C82" s="2"/>
      <c r="D82" s="2"/>
      <c r="E82" s="2"/>
      <c r="F82" s="10" t="s">
        <v>202</v>
      </c>
      <c r="G82" s="2" t="s">
        <v>136</v>
      </c>
      <c r="H82" s="2" t="s">
        <v>198</v>
      </c>
      <c r="I82" s="4">
        <v>72</v>
      </c>
      <c r="J82" s="4" t="s">
        <v>11</v>
      </c>
      <c r="K82" s="8">
        <v>7106807</v>
      </c>
      <c r="L82" s="4">
        <v>2017</v>
      </c>
      <c r="M82" s="11" t="s">
        <v>111</v>
      </c>
      <c r="N82" s="4" t="s">
        <v>329</v>
      </c>
      <c r="O82" s="2"/>
      <c r="P82" s="4">
        <v>4</v>
      </c>
      <c r="Q82" s="4">
        <v>2</v>
      </c>
      <c r="S82" s="4" t="s">
        <v>130</v>
      </c>
    </row>
    <row r="83" spans="1:19" hidden="1" x14ac:dyDescent="0.25">
      <c r="A83" s="2" t="s">
        <v>59</v>
      </c>
      <c r="B83" s="2"/>
      <c r="C83" s="2"/>
      <c r="D83" s="2"/>
      <c r="E83" s="2"/>
      <c r="F83" s="10" t="s">
        <v>202</v>
      </c>
      <c r="G83" s="2" t="s">
        <v>133</v>
      </c>
      <c r="H83" s="2" t="s">
        <v>198</v>
      </c>
      <c r="I83" s="4">
        <v>72</v>
      </c>
      <c r="J83" s="4" t="s">
        <v>11</v>
      </c>
      <c r="K83" s="8">
        <v>7106807</v>
      </c>
      <c r="L83" s="4">
        <v>2017</v>
      </c>
      <c r="M83" s="11" t="s">
        <v>111</v>
      </c>
      <c r="N83" s="4" t="s">
        <v>329</v>
      </c>
      <c r="O83" s="2"/>
      <c r="P83" s="4">
        <v>4</v>
      </c>
      <c r="Q83" s="4">
        <v>2</v>
      </c>
      <c r="S83" s="4" t="s">
        <v>130</v>
      </c>
    </row>
    <row r="84" spans="1:19" hidden="1" x14ac:dyDescent="0.25">
      <c r="A84" s="9" t="s">
        <v>59</v>
      </c>
      <c r="B84" s="9"/>
      <c r="C84" s="9"/>
      <c r="D84" s="9"/>
      <c r="E84" s="9"/>
      <c r="F84" s="10" t="s">
        <v>202</v>
      </c>
      <c r="G84" s="2" t="s">
        <v>198</v>
      </c>
      <c r="H84" s="2" t="s">
        <v>198</v>
      </c>
      <c r="I84" s="4">
        <v>72</v>
      </c>
      <c r="J84" s="4" t="s">
        <v>11</v>
      </c>
      <c r="K84" s="8">
        <v>7106807</v>
      </c>
      <c r="L84" s="4">
        <v>2017</v>
      </c>
      <c r="M84" s="11" t="s">
        <v>111</v>
      </c>
      <c r="N84" s="4" t="s">
        <v>329</v>
      </c>
      <c r="O84" s="9"/>
      <c r="P84" s="4">
        <v>4</v>
      </c>
      <c r="Q84" s="4">
        <v>2</v>
      </c>
      <c r="R84" s="4">
        <v>2</v>
      </c>
      <c r="S84" s="4" t="s">
        <v>130</v>
      </c>
    </row>
    <row r="85" spans="1:19" hidden="1" x14ac:dyDescent="0.25">
      <c r="A85" s="2" t="s">
        <v>60</v>
      </c>
      <c r="B85" s="2"/>
      <c r="C85" s="2"/>
      <c r="D85" s="2"/>
      <c r="E85" s="2"/>
      <c r="F85" t="s">
        <v>492</v>
      </c>
      <c r="G85" s="2" t="s">
        <v>122</v>
      </c>
      <c r="H85" s="2" t="s">
        <v>136</v>
      </c>
      <c r="I85" s="4">
        <v>74</v>
      </c>
      <c r="J85" s="4" t="s">
        <v>11</v>
      </c>
      <c r="K85" s="8">
        <v>5925687</v>
      </c>
      <c r="L85" s="4">
        <v>2011</v>
      </c>
      <c r="M85" s="4" t="s">
        <v>15</v>
      </c>
      <c r="N85" s="4" t="s">
        <v>329</v>
      </c>
      <c r="O85" s="2"/>
      <c r="P85" s="4">
        <v>3</v>
      </c>
      <c r="Q85" s="4">
        <v>2</v>
      </c>
      <c r="S85" s="4" t="s">
        <v>130</v>
      </c>
    </row>
    <row r="86" spans="1:19" hidden="1" x14ac:dyDescent="0.25">
      <c r="A86" s="4" t="s">
        <v>298</v>
      </c>
      <c r="F86" s="10" t="s">
        <v>376</v>
      </c>
      <c r="G86" s="2" t="s">
        <v>142</v>
      </c>
      <c r="H86" s="2" t="s">
        <v>142</v>
      </c>
      <c r="J86" s="6" t="s">
        <v>11</v>
      </c>
      <c r="K86" s="10">
        <v>1527</v>
      </c>
      <c r="L86" s="4">
        <v>1981</v>
      </c>
      <c r="M86" s="11" t="s">
        <v>108</v>
      </c>
      <c r="N86" s="4" t="s">
        <v>330</v>
      </c>
      <c r="P86" s="4">
        <v>2</v>
      </c>
      <c r="Q86" s="4">
        <v>1</v>
      </c>
      <c r="R86" s="4">
        <v>1</v>
      </c>
      <c r="S86" s="4" t="s">
        <v>130</v>
      </c>
    </row>
    <row r="87" spans="1:19" hidden="1" x14ac:dyDescent="0.25">
      <c r="A87" s="4" t="s">
        <v>377</v>
      </c>
      <c r="F87" s="10" t="s">
        <v>334</v>
      </c>
      <c r="G87" s="2" t="s">
        <v>142</v>
      </c>
      <c r="H87" s="2" t="s">
        <v>142</v>
      </c>
      <c r="I87" s="4">
        <v>68</v>
      </c>
      <c r="J87" s="6" t="s">
        <v>11</v>
      </c>
      <c r="K87" s="10">
        <v>4219071</v>
      </c>
      <c r="L87" s="4">
        <v>2004</v>
      </c>
      <c r="M87" s="11" t="s">
        <v>300</v>
      </c>
      <c r="N87" s="4" t="s">
        <v>329</v>
      </c>
      <c r="P87" s="4">
        <v>2</v>
      </c>
      <c r="Q87" s="4">
        <v>2</v>
      </c>
      <c r="R87" s="4">
        <v>2</v>
      </c>
      <c r="S87" s="4" t="s">
        <v>130</v>
      </c>
    </row>
    <row r="88" spans="1:19" hidden="1" x14ac:dyDescent="0.25">
      <c r="A88" s="4" t="s">
        <v>377</v>
      </c>
      <c r="F88" s="10" t="s">
        <v>334</v>
      </c>
      <c r="G88" s="2" t="s">
        <v>132</v>
      </c>
      <c r="H88" s="2" t="s">
        <v>142</v>
      </c>
      <c r="I88" s="4">
        <v>68</v>
      </c>
      <c r="J88" s="6" t="s">
        <v>11</v>
      </c>
      <c r="K88" s="10">
        <v>4219071</v>
      </c>
      <c r="L88" s="4">
        <v>2004</v>
      </c>
      <c r="M88" s="11" t="s">
        <v>300</v>
      </c>
      <c r="N88" s="4" t="s">
        <v>329</v>
      </c>
      <c r="P88" s="4">
        <v>2</v>
      </c>
      <c r="Q88" s="4">
        <v>2</v>
      </c>
      <c r="S88" s="4" t="s">
        <v>130</v>
      </c>
    </row>
    <row r="89" spans="1:19" hidden="1" x14ac:dyDescent="0.25">
      <c r="A89" s="9" t="s">
        <v>62</v>
      </c>
      <c r="B89" s="9"/>
      <c r="C89" s="9"/>
      <c r="D89" s="9"/>
      <c r="E89" s="9"/>
      <c r="F89" s="10" t="s">
        <v>203</v>
      </c>
      <c r="G89" s="2" t="s">
        <v>133</v>
      </c>
      <c r="H89" s="2" t="s">
        <v>146</v>
      </c>
      <c r="I89" s="4">
        <v>72</v>
      </c>
      <c r="J89" s="4" t="s">
        <v>11</v>
      </c>
      <c r="K89" s="8">
        <v>6476063</v>
      </c>
      <c r="L89" s="4">
        <v>2012</v>
      </c>
      <c r="M89" s="4" t="s">
        <v>87</v>
      </c>
      <c r="N89" s="4" t="s">
        <v>329</v>
      </c>
      <c r="O89" s="9"/>
      <c r="P89" s="4">
        <v>3</v>
      </c>
      <c r="Q89" s="4">
        <v>2</v>
      </c>
      <c r="R89" s="4">
        <v>2</v>
      </c>
      <c r="S89" s="4" t="s">
        <v>130</v>
      </c>
    </row>
    <row r="90" spans="1:19" hidden="1" x14ac:dyDescent="0.25">
      <c r="A90" s="2" t="s">
        <v>62</v>
      </c>
      <c r="B90" s="2"/>
      <c r="C90" s="2"/>
      <c r="D90" s="2"/>
      <c r="E90" s="2"/>
      <c r="F90" s="10" t="s">
        <v>203</v>
      </c>
      <c r="G90" s="2" t="s">
        <v>122</v>
      </c>
      <c r="H90" s="2" t="s">
        <v>146</v>
      </c>
      <c r="I90" s="4">
        <v>72</v>
      </c>
      <c r="J90" s="4" t="s">
        <v>11</v>
      </c>
      <c r="K90" s="8">
        <v>6476063</v>
      </c>
      <c r="L90" s="4">
        <v>2012</v>
      </c>
      <c r="M90" s="4" t="s">
        <v>87</v>
      </c>
      <c r="N90" s="4" t="s">
        <v>329</v>
      </c>
      <c r="O90" s="2"/>
      <c r="P90" s="4">
        <v>3</v>
      </c>
      <c r="Q90" s="4">
        <v>2</v>
      </c>
      <c r="S90" s="4" t="s">
        <v>130</v>
      </c>
    </row>
    <row r="91" spans="1:19" hidden="1" x14ac:dyDescent="0.25">
      <c r="A91" s="2" t="s">
        <v>187</v>
      </c>
      <c r="B91" s="2"/>
      <c r="C91" s="2"/>
      <c r="D91" s="2"/>
      <c r="E91" s="2"/>
      <c r="F91" t="s">
        <v>501</v>
      </c>
      <c r="G91" s="2" t="s">
        <v>133</v>
      </c>
      <c r="H91" s="2" t="s">
        <v>136</v>
      </c>
      <c r="I91" s="4">
        <v>91</v>
      </c>
      <c r="J91" s="6" t="s">
        <v>11</v>
      </c>
      <c r="K91" s="8">
        <v>7065990</v>
      </c>
      <c r="L91" s="4">
        <v>2016</v>
      </c>
      <c r="M91" s="4" t="s">
        <v>111</v>
      </c>
      <c r="N91" s="4" t="s">
        <v>329</v>
      </c>
      <c r="O91" s="2"/>
      <c r="P91" s="4">
        <v>3</v>
      </c>
      <c r="Q91" s="4">
        <v>2</v>
      </c>
      <c r="S91" s="4" t="s">
        <v>130</v>
      </c>
    </row>
    <row r="92" spans="1:19" hidden="1" x14ac:dyDescent="0.25">
      <c r="A92" s="2" t="s">
        <v>187</v>
      </c>
      <c r="B92" s="2"/>
      <c r="C92" s="2"/>
      <c r="D92" s="2"/>
      <c r="E92" s="2"/>
      <c r="F92" t="s">
        <v>501</v>
      </c>
      <c r="G92" s="2" t="s">
        <v>122</v>
      </c>
      <c r="H92" s="2" t="s">
        <v>136</v>
      </c>
      <c r="I92" s="4">
        <v>91</v>
      </c>
      <c r="J92" s="6" t="s">
        <v>11</v>
      </c>
      <c r="K92" s="8">
        <v>7065990</v>
      </c>
      <c r="L92" s="4">
        <v>2016</v>
      </c>
      <c r="M92" s="4" t="s">
        <v>111</v>
      </c>
      <c r="N92" s="4" t="s">
        <v>329</v>
      </c>
      <c r="O92" s="2"/>
      <c r="P92" s="4">
        <v>3</v>
      </c>
      <c r="Q92" s="4">
        <v>2</v>
      </c>
      <c r="S92" s="4" t="s">
        <v>130</v>
      </c>
    </row>
    <row r="93" spans="1:19" hidden="1" x14ac:dyDescent="0.25">
      <c r="A93" s="9" t="s">
        <v>157</v>
      </c>
      <c r="B93" s="9"/>
      <c r="C93" s="9"/>
      <c r="D93" s="9"/>
      <c r="E93" s="9"/>
      <c r="F93" s="10" t="s">
        <v>182</v>
      </c>
      <c r="G93" s="2" t="s">
        <v>142</v>
      </c>
      <c r="H93" s="2" t="s">
        <v>142</v>
      </c>
      <c r="I93" s="4">
        <v>77</v>
      </c>
      <c r="J93" s="6" t="s">
        <v>11</v>
      </c>
      <c r="K93" s="10">
        <v>7102397</v>
      </c>
      <c r="L93" s="4">
        <v>2017</v>
      </c>
      <c r="M93" s="4" t="s">
        <v>87</v>
      </c>
      <c r="N93" s="4" t="s">
        <v>329</v>
      </c>
      <c r="O93" s="9"/>
      <c r="P93" s="4">
        <v>4</v>
      </c>
      <c r="Q93" s="4">
        <v>2</v>
      </c>
      <c r="S93" s="4" t="s">
        <v>130</v>
      </c>
    </row>
    <row r="94" spans="1:19" hidden="1" x14ac:dyDescent="0.25">
      <c r="A94" s="2" t="s">
        <v>157</v>
      </c>
      <c r="B94" s="2"/>
      <c r="C94" s="2"/>
      <c r="D94" s="2"/>
      <c r="E94" s="2"/>
      <c r="F94" s="10" t="s">
        <v>182</v>
      </c>
      <c r="G94" s="2" t="s">
        <v>133</v>
      </c>
      <c r="H94" s="2" t="s">
        <v>142</v>
      </c>
      <c r="I94" s="4">
        <v>77</v>
      </c>
      <c r="J94" s="6" t="s">
        <v>11</v>
      </c>
      <c r="K94" s="10">
        <v>7102397</v>
      </c>
      <c r="L94" s="4">
        <v>2017</v>
      </c>
      <c r="M94" s="4" t="s">
        <v>87</v>
      </c>
      <c r="N94" s="4" t="s">
        <v>329</v>
      </c>
      <c r="O94" s="2"/>
      <c r="P94" s="4">
        <v>4</v>
      </c>
      <c r="Q94" s="4">
        <v>2</v>
      </c>
      <c r="S94" s="4" t="s">
        <v>130</v>
      </c>
    </row>
    <row r="95" spans="1:19" hidden="1" x14ac:dyDescent="0.25">
      <c r="A95" s="9" t="s">
        <v>66</v>
      </c>
      <c r="B95" s="9"/>
      <c r="C95" s="9"/>
      <c r="D95" s="9"/>
      <c r="E95" s="9"/>
      <c r="F95" t="s">
        <v>504</v>
      </c>
      <c r="G95" s="2" t="s">
        <v>142</v>
      </c>
      <c r="H95" s="2" t="s">
        <v>142</v>
      </c>
      <c r="I95" s="4">
        <v>74</v>
      </c>
      <c r="J95" s="6" t="s">
        <v>11</v>
      </c>
      <c r="K95" s="8">
        <v>7030123</v>
      </c>
      <c r="L95" s="4">
        <v>2014</v>
      </c>
      <c r="M95" s="11" t="s">
        <v>114</v>
      </c>
      <c r="N95" s="4" t="s">
        <v>329</v>
      </c>
      <c r="O95" s="9"/>
      <c r="P95" s="4">
        <v>3</v>
      </c>
      <c r="Q95" s="4">
        <v>2</v>
      </c>
      <c r="R95" s="4">
        <v>2</v>
      </c>
      <c r="S95" s="4" t="s">
        <v>130</v>
      </c>
    </row>
    <row r="96" spans="1:19" hidden="1" x14ac:dyDescent="0.25">
      <c r="A96" s="2" t="s">
        <v>66</v>
      </c>
      <c r="B96" s="2"/>
      <c r="C96" s="2"/>
      <c r="D96" s="2"/>
      <c r="E96" s="2"/>
      <c r="F96" t="s">
        <v>504</v>
      </c>
      <c r="G96" s="2" t="s">
        <v>133</v>
      </c>
      <c r="H96" s="2" t="s">
        <v>142</v>
      </c>
      <c r="I96" s="4">
        <v>74</v>
      </c>
      <c r="J96" s="6" t="s">
        <v>11</v>
      </c>
      <c r="K96" s="8">
        <v>7030123</v>
      </c>
      <c r="L96" s="4">
        <v>2014</v>
      </c>
      <c r="M96" s="11" t="s">
        <v>114</v>
      </c>
      <c r="N96" s="4" t="s">
        <v>329</v>
      </c>
      <c r="O96" s="2"/>
      <c r="P96" s="4">
        <v>3</v>
      </c>
      <c r="Q96" s="4">
        <v>2</v>
      </c>
      <c r="S96" s="4" t="s">
        <v>130</v>
      </c>
    </row>
    <row r="97" spans="1:20" hidden="1" x14ac:dyDescent="0.25">
      <c r="A97" s="2" t="s">
        <v>66</v>
      </c>
      <c r="B97" s="2"/>
      <c r="C97" s="2"/>
      <c r="D97" s="2"/>
      <c r="E97" s="2"/>
      <c r="F97" t="s">
        <v>504</v>
      </c>
      <c r="G97" s="2" t="s">
        <v>132</v>
      </c>
      <c r="H97" s="2" t="s">
        <v>142</v>
      </c>
      <c r="I97" s="4">
        <v>74</v>
      </c>
      <c r="J97" s="6" t="s">
        <v>11</v>
      </c>
      <c r="K97" s="8">
        <v>7030123</v>
      </c>
      <c r="L97" s="4">
        <v>2014</v>
      </c>
      <c r="M97" s="11" t="s">
        <v>114</v>
      </c>
      <c r="N97" s="4" t="s">
        <v>329</v>
      </c>
      <c r="O97" s="2"/>
      <c r="P97" s="4">
        <v>3</v>
      </c>
      <c r="Q97" s="4">
        <v>2</v>
      </c>
      <c r="S97" s="4" t="s">
        <v>130</v>
      </c>
    </row>
    <row r="98" spans="1:20" hidden="1" x14ac:dyDescent="0.25">
      <c r="A98" s="2" t="s">
        <v>69</v>
      </c>
      <c r="B98" s="2"/>
      <c r="C98" s="2"/>
      <c r="D98" s="2"/>
      <c r="E98" s="2"/>
      <c r="F98" t="s">
        <v>506</v>
      </c>
      <c r="G98" s="2" t="s">
        <v>132</v>
      </c>
      <c r="H98" s="2" t="s">
        <v>133</v>
      </c>
      <c r="I98" s="4">
        <v>72</v>
      </c>
      <c r="J98" s="6" t="s">
        <v>11</v>
      </c>
      <c r="K98" s="8">
        <v>7037787</v>
      </c>
      <c r="L98" s="4">
        <v>2015</v>
      </c>
      <c r="M98" s="4" t="s">
        <v>87</v>
      </c>
      <c r="N98" s="4" t="s">
        <v>329</v>
      </c>
      <c r="O98" s="2"/>
      <c r="P98" s="4">
        <v>4</v>
      </c>
      <c r="Q98" s="4">
        <v>2</v>
      </c>
      <c r="S98" s="4" t="s">
        <v>130</v>
      </c>
    </row>
    <row r="99" spans="1:20" hidden="1" x14ac:dyDescent="0.25">
      <c r="A99" s="4" t="s">
        <v>226</v>
      </c>
      <c r="F99" s="4" t="s">
        <v>86</v>
      </c>
      <c r="G99" s="2" t="s">
        <v>198</v>
      </c>
      <c r="H99" s="2" t="s">
        <v>198</v>
      </c>
      <c r="I99" s="4">
        <v>71</v>
      </c>
      <c r="J99" s="6" t="s">
        <v>11</v>
      </c>
      <c r="K99" s="4">
        <v>1564362</v>
      </c>
      <c r="L99" s="4">
        <v>1995</v>
      </c>
      <c r="M99" s="4" t="s">
        <v>16</v>
      </c>
      <c r="N99" s="4" t="s">
        <v>330</v>
      </c>
      <c r="P99" s="4">
        <v>2</v>
      </c>
      <c r="Q99" s="4">
        <v>1</v>
      </c>
      <c r="R99" s="4">
        <v>1</v>
      </c>
      <c r="S99" s="4" t="s">
        <v>130</v>
      </c>
    </row>
    <row r="100" spans="1:20" hidden="1" x14ac:dyDescent="0.25">
      <c r="A100" s="4" t="s">
        <v>227</v>
      </c>
      <c r="F100" t="s">
        <v>509</v>
      </c>
      <c r="G100" s="2" t="s">
        <v>142</v>
      </c>
      <c r="H100" s="2" t="s">
        <v>142</v>
      </c>
      <c r="I100" s="4">
        <v>78</v>
      </c>
      <c r="J100" s="6" t="s">
        <v>11</v>
      </c>
      <c r="K100" s="10">
        <v>5508444</v>
      </c>
      <c r="L100" s="4">
        <v>2010</v>
      </c>
      <c r="M100" s="11" t="s">
        <v>302</v>
      </c>
      <c r="N100" s="4" t="s">
        <v>329</v>
      </c>
      <c r="P100" s="4">
        <v>3</v>
      </c>
      <c r="Q100" s="4">
        <v>2</v>
      </c>
      <c r="R100" s="4">
        <v>2</v>
      </c>
      <c r="S100" s="4" t="s">
        <v>130</v>
      </c>
    </row>
    <row r="101" spans="1:20" hidden="1" x14ac:dyDescent="0.25">
      <c r="A101" s="2" t="s">
        <v>71</v>
      </c>
      <c r="B101" s="2"/>
      <c r="C101" s="2"/>
      <c r="D101" s="2"/>
      <c r="E101" s="2"/>
      <c r="F101" t="s">
        <v>402</v>
      </c>
      <c r="G101" s="2" t="s">
        <v>12</v>
      </c>
      <c r="H101" s="2" t="s">
        <v>136</v>
      </c>
      <c r="I101" s="4">
        <v>105</v>
      </c>
      <c r="J101" s="6" t="s">
        <v>11</v>
      </c>
      <c r="K101" s="8">
        <v>5677416</v>
      </c>
      <c r="L101" s="4">
        <v>2010</v>
      </c>
      <c r="M101" s="11" t="s">
        <v>113</v>
      </c>
      <c r="N101" s="4" t="s">
        <v>329</v>
      </c>
      <c r="O101" s="2"/>
      <c r="P101" s="4">
        <v>5</v>
      </c>
      <c r="Q101" s="4">
        <v>2</v>
      </c>
      <c r="S101" s="4" t="s">
        <v>130</v>
      </c>
    </row>
    <row r="102" spans="1:20" hidden="1" x14ac:dyDescent="0.25">
      <c r="A102" s="2" t="s">
        <v>71</v>
      </c>
      <c r="B102" s="2"/>
      <c r="C102" s="2"/>
      <c r="D102" s="2"/>
      <c r="E102" s="2"/>
      <c r="F102" t="s">
        <v>402</v>
      </c>
      <c r="G102" s="2" t="s">
        <v>132</v>
      </c>
      <c r="H102" s="2" t="s">
        <v>136</v>
      </c>
      <c r="I102" s="4">
        <v>105</v>
      </c>
      <c r="J102" s="6" t="s">
        <v>11</v>
      </c>
      <c r="K102" s="8">
        <v>5677416</v>
      </c>
      <c r="L102" s="4">
        <v>2010</v>
      </c>
      <c r="M102" s="11" t="s">
        <v>113</v>
      </c>
      <c r="N102" s="4" t="s">
        <v>329</v>
      </c>
      <c r="O102" s="2"/>
      <c r="P102" s="4">
        <v>5</v>
      </c>
      <c r="Q102" s="4">
        <v>2</v>
      </c>
      <c r="S102" s="4" t="s">
        <v>130</v>
      </c>
    </row>
    <row r="103" spans="1:20" s="3" customFormat="1" ht="15" hidden="1" customHeight="1" x14ac:dyDescent="0.25">
      <c r="A103" s="9" t="s">
        <v>317</v>
      </c>
      <c r="B103" s="9"/>
      <c r="C103" s="9"/>
      <c r="D103" s="9"/>
      <c r="E103" s="9"/>
      <c r="F103" s="10" t="s">
        <v>120</v>
      </c>
      <c r="G103" s="2" t="s">
        <v>142</v>
      </c>
      <c r="H103" s="2" t="s">
        <v>142</v>
      </c>
      <c r="I103" s="4">
        <v>85</v>
      </c>
      <c r="J103" s="6" t="s">
        <v>11</v>
      </c>
      <c r="K103" s="8">
        <v>917491</v>
      </c>
      <c r="L103" s="4">
        <v>1992</v>
      </c>
      <c r="M103" s="11" t="s">
        <v>121</v>
      </c>
      <c r="N103" s="4" t="s">
        <v>330</v>
      </c>
      <c r="O103" s="9"/>
      <c r="P103" s="4">
        <v>2</v>
      </c>
      <c r="Q103" s="4">
        <v>1</v>
      </c>
      <c r="R103" s="4">
        <v>1</v>
      </c>
      <c r="S103" s="4" t="s">
        <v>130</v>
      </c>
      <c r="T103" s="4"/>
    </row>
    <row r="104" spans="1:20" hidden="1" x14ac:dyDescent="0.25">
      <c r="A104" s="2" t="s">
        <v>317</v>
      </c>
      <c r="B104" s="2"/>
      <c r="C104" s="2"/>
      <c r="D104" s="2"/>
      <c r="E104" s="2"/>
      <c r="F104" s="10" t="s">
        <v>120</v>
      </c>
      <c r="G104" s="2" t="s">
        <v>133</v>
      </c>
      <c r="H104" s="2" t="s">
        <v>142</v>
      </c>
      <c r="I104" s="4">
        <v>85</v>
      </c>
      <c r="J104" s="6" t="s">
        <v>11</v>
      </c>
      <c r="K104" s="8">
        <v>917491</v>
      </c>
      <c r="L104" s="4">
        <v>1992</v>
      </c>
      <c r="M104" s="11" t="s">
        <v>121</v>
      </c>
      <c r="N104" s="4" t="s">
        <v>330</v>
      </c>
      <c r="O104" s="2"/>
      <c r="P104" s="4">
        <v>2</v>
      </c>
      <c r="Q104" s="4">
        <v>1</v>
      </c>
      <c r="S104" s="4" t="s">
        <v>130</v>
      </c>
    </row>
    <row r="105" spans="1:20" hidden="1" x14ac:dyDescent="0.25">
      <c r="A105" s="2" t="s">
        <v>317</v>
      </c>
      <c r="B105" s="2"/>
      <c r="C105" s="2"/>
      <c r="D105" s="2"/>
      <c r="E105" s="2"/>
      <c r="F105" s="10" t="s">
        <v>120</v>
      </c>
      <c r="G105" s="2" t="s">
        <v>132</v>
      </c>
      <c r="H105" s="2" t="s">
        <v>142</v>
      </c>
      <c r="I105" s="4">
        <v>85</v>
      </c>
      <c r="J105" s="6" t="s">
        <v>11</v>
      </c>
      <c r="K105" s="8">
        <v>917491</v>
      </c>
      <c r="L105" s="4">
        <v>1992</v>
      </c>
      <c r="M105" s="11" t="s">
        <v>121</v>
      </c>
      <c r="N105" s="4" t="s">
        <v>330</v>
      </c>
      <c r="O105" s="2"/>
      <c r="P105" s="4">
        <v>2</v>
      </c>
      <c r="Q105" s="4">
        <v>1</v>
      </c>
      <c r="S105" s="4" t="s">
        <v>130</v>
      </c>
    </row>
    <row r="106" spans="1:20" hidden="1" x14ac:dyDescent="0.25">
      <c r="A106" s="4" t="s">
        <v>304</v>
      </c>
      <c r="F106" s="4" t="s">
        <v>335</v>
      </c>
      <c r="G106" s="2" t="s">
        <v>122</v>
      </c>
      <c r="H106" s="2" t="s">
        <v>168</v>
      </c>
      <c r="I106" s="4">
        <v>84</v>
      </c>
      <c r="J106" s="6" t="s">
        <v>11</v>
      </c>
      <c r="K106" s="4">
        <v>4543620</v>
      </c>
      <c r="L106" s="4">
        <v>2005</v>
      </c>
      <c r="M106" s="4" t="s">
        <v>178</v>
      </c>
      <c r="N106" s="4" t="s">
        <v>329</v>
      </c>
      <c r="P106" s="4">
        <v>4</v>
      </c>
      <c r="Q106" s="4">
        <v>2</v>
      </c>
      <c r="R106" s="4">
        <v>2</v>
      </c>
      <c r="S106" s="4" t="s">
        <v>130</v>
      </c>
    </row>
    <row r="107" spans="1:20" hidden="1" x14ac:dyDescent="0.25">
      <c r="A107" s="4" t="s">
        <v>304</v>
      </c>
      <c r="F107" s="4" t="s">
        <v>335</v>
      </c>
      <c r="G107" s="2" t="s">
        <v>168</v>
      </c>
      <c r="H107" s="2" t="s">
        <v>168</v>
      </c>
      <c r="I107" s="4">
        <v>84</v>
      </c>
      <c r="J107" s="6" t="s">
        <v>11</v>
      </c>
      <c r="K107" s="4">
        <v>4543620</v>
      </c>
      <c r="L107" s="4">
        <v>2005</v>
      </c>
      <c r="M107" s="4" t="s">
        <v>178</v>
      </c>
      <c r="N107" s="4" t="s">
        <v>329</v>
      </c>
      <c r="P107" s="4">
        <v>4</v>
      </c>
      <c r="Q107" s="4">
        <v>2</v>
      </c>
      <c r="S107" s="4" t="s">
        <v>130</v>
      </c>
    </row>
    <row r="108" spans="1:20" hidden="1" x14ac:dyDescent="0.25">
      <c r="A108" s="2" t="s">
        <v>72</v>
      </c>
      <c r="B108" s="2"/>
      <c r="C108" s="2"/>
      <c r="D108" s="2"/>
      <c r="E108" s="2"/>
      <c r="F108" t="s">
        <v>513</v>
      </c>
      <c r="G108" s="2" t="s">
        <v>133</v>
      </c>
      <c r="H108" s="2" t="s">
        <v>168</v>
      </c>
      <c r="I108" s="4">
        <v>56</v>
      </c>
      <c r="J108" s="6" t="s">
        <v>94</v>
      </c>
      <c r="K108" s="8">
        <v>7089641</v>
      </c>
      <c r="L108" s="4">
        <v>2017</v>
      </c>
      <c r="M108" s="11" t="s">
        <v>91</v>
      </c>
      <c r="N108" s="4" t="s">
        <v>329</v>
      </c>
      <c r="O108" s="2"/>
      <c r="P108" s="4">
        <v>4</v>
      </c>
      <c r="Q108" s="4">
        <v>2</v>
      </c>
      <c r="S108" s="4" t="s">
        <v>130</v>
      </c>
    </row>
    <row r="109" spans="1:20" hidden="1" x14ac:dyDescent="0.25">
      <c r="A109" s="2" t="s">
        <v>72</v>
      </c>
      <c r="B109" s="2"/>
      <c r="C109" s="2"/>
      <c r="D109" s="2"/>
      <c r="E109" s="2"/>
      <c r="F109" t="s">
        <v>513</v>
      </c>
      <c r="G109" s="2" t="s">
        <v>12</v>
      </c>
      <c r="H109" s="2" t="s">
        <v>168</v>
      </c>
      <c r="I109" s="4">
        <v>56</v>
      </c>
      <c r="J109" s="6" t="s">
        <v>94</v>
      </c>
      <c r="K109" s="8">
        <v>7089641</v>
      </c>
      <c r="L109" s="4">
        <v>2017</v>
      </c>
      <c r="M109" s="11" t="s">
        <v>91</v>
      </c>
      <c r="N109" s="4" t="s">
        <v>329</v>
      </c>
      <c r="O109" s="2"/>
      <c r="P109" s="4">
        <v>4</v>
      </c>
      <c r="Q109" s="4">
        <v>2</v>
      </c>
      <c r="S109" s="4" t="s">
        <v>130</v>
      </c>
    </row>
    <row r="110" spans="1:20" hidden="1" x14ac:dyDescent="0.25">
      <c r="A110" s="9" t="s">
        <v>72</v>
      </c>
      <c r="B110" s="9"/>
      <c r="C110" s="9"/>
      <c r="D110" s="9"/>
      <c r="E110" s="9"/>
      <c r="F110" t="s">
        <v>513</v>
      </c>
      <c r="G110" s="2" t="s">
        <v>168</v>
      </c>
      <c r="H110" s="2" t="s">
        <v>168</v>
      </c>
      <c r="I110" s="4">
        <v>56</v>
      </c>
      <c r="J110" s="6" t="s">
        <v>94</v>
      </c>
      <c r="K110" s="8">
        <v>7089641</v>
      </c>
      <c r="L110" s="4">
        <v>2017</v>
      </c>
      <c r="M110" s="11" t="s">
        <v>91</v>
      </c>
      <c r="N110" s="4" t="s">
        <v>329</v>
      </c>
      <c r="O110" s="9"/>
      <c r="P110" s="4">
        <v>4</v>
      </c>
      <c r="Q110" s="4">
        <v>2</v>
      </c>
      <c r="S110" s="4" t="s">
        <v>130</v>
      </c>
    </row>
    <row r="111" spans="1:20" hidden="1" x14ac:dyDescent="0.25">
      <c r="A111" s="9" t="s">
        <v>140</v>
      </c>
      <c r="B111" s="9"/>
      <c r="C111" s="9"/>
      <c r="D111" s="9"/>
      <c r="E111" s="9"/>
      <c r="F111" t="s">
        <v>505</v>
      </c>
      <c r="G111" s="2" t="s">
        <v>141</v>
      </c>
      <c r="H111" s="2" t="s">
        <v>141</v>
      </c>
      <c r="I111" s="4">
        <v>74</v>
      </c>
      <c r="J111" s="6" t="s">
        <v>11</v>
      </c>
      <c r="K111" s="10">
        <v>7051507</v>
      </c>
      <c r="L111" s="4">
        <v>2015</v>
      </c>
      <c r="M111" s="11" t="s">
        <v>101</v>
      </c>
      <c r="N111" s="4" t="s">
        <v>329</v>
      </c>
      <c r="O111" s="9"/>
      <c r="P111" s="4">
        <v>3</v>
      </c>
      <c r="Q111" s="4">
        <v>2</v>
      </c>
      <c r="S111" s="4" t="s">
        <v>130</v>
      </c>
    </row>
    <row r="112" spans="1:20" hidden="1" x14ac:dyDescent="0.25">
      <c r="A112" s="9" t="s">
        <v>161</v>
      </c>
      <c r="B112" s="9"/>
      <c r="C112" s="9"/>
      <c r="D112" s="9"/>
      <c r="E112" s="9"/>
      <c r="F112" t="s">
        <v>524</v>
      </c>
      <c r="G112" s="2" t="s">
        <v>142</v>
      </c>
      <c r="H112" s="2" t="s">
        <v>142</v>
      </c>
      <c r="I112" s="4">
        <v>100</v>
      </c>
      <c r="J112" s="6" t="s">
        <v>11</v>
      </c>
      <c r="K112" s="10">
        <v>6333821</v>
      </c>
      <c r="L112" s="4">
        <v>2012</v>
      </c>
      <c r="M112" s="4" t="s">
        <v>111</v>
      </c>
      <c r="N112" s="4" t="s">
        <v>329</v>
      </c>
      <c r="O112" s="9"/>
      <c r="P112" s="4">
        <v>5</v>
      </c>
      <c r="Q112" s="4">
        <v>2</v>
      </c>
      <c r="R112" s="4">
        <v>2</v>
      </c>
      <c r="S112" s="4" t="s">
        <v>130</v>
      </c>
    </row>
    <row r="113" spans="1:22" hidden="1" x14ac:dyDescent="0.25">
      <c r="A113" s="4" t="s">
        <v>305</v>
      </c>
      <c r="F113" s="4" t="s">
        <v>323</v>
      </c>
      <c r="G113" s="2" t="s">
        <v>8</v>
      </c>
      <c r="H113" s="2" t="s">
        <v>136</v>
      </c>
      <c r="I113" s="4">
        <v>66</v>
      </c>
      <c r="J113" s="6" t="s">
        <v>11</v>
      </c>
      <c r="K113" s="4">
        <v>4196651</v>
      </c>
      <c r="L113" s="4">
        <v>2003</v>
      </c>
      <c r="M113" s="4" t="s">
        <v>178</v>
      </c>
      <c r="P113" s="4">
        <v>4</v>
      </c>
      <c r="Q113" s="4">
        <v>2</v>
      </c>
      <c r="S113" s="4" t="s">
        <v>130</v>
      </c>
    </row>
    <row r="114" spans="1:22" hidden="1" x14ac:dyDescent="0.25">
      <c r="A114" s="2" t="s">
        <v>79</v>
      </c>
      <c r="B114" s="2"/>
      <c r="C114" s="2"/>
      <c r="D114" s="2"/>
      <c r="E114" s="2"/>
      <c r="F114" s="10" t="s">
        <v>204</v>
      </c>
      <c r="G114" s="2" t="s">
        <v>146</v>
      </c>
      <c r="H114" s="2" t="s">
        <v>8</v>
      </c>
      <c r="I114" s="4">
        <v>58</v>
      </c>
      <c r="J114" s="6" t="s">
        <v>94</v>
      </c>
      <c r="K114" s="8">
        <v>7102401</v>
      </c>
      <c r="L114" s="4">
        <v>2017</v>
      </c>
      <c r="M114" s="4" t="s">
        <v>87</v>
      </c>
      <c r="N114" s="4" t="s">
        <v>329</v>
      </c>
      <c r="O114" s="2"/>
      <c r="P114" s="4">
        <v>3</v>
      </c>
      <c r="Q114" s="4">
        <v>2</v>
      </c>
      <c r="S114" s="4" t="s">
        <v>130</v>
      </c>
    </row>
    <row r="115" spans="1:22" hidden="1" x14ac:dyDescent="0.25">
      <c r="A115" s="2" t="s">
        <v>79</v>
      </c>
      <c r="B115" s="2"/>
      <c r="C115" s="2"/>
      <c r="D115" s="2"/>
      <c r="E115" s="2"/>
      <c r="F115" s="10" t="s">
        <v>204</v>
      </c>
      <c r="G115" s="2" t="s">
        <v>168</v>
      </c>
      <c r="H115" s="2" t="s">
        <v>8</v>
      </c>
      <c r="I115" s="4">
        <v>58</v>
      </c>
      <c r="J115" s="6" t="s">
        <v>94</v>
      </c>
      <c r="K115" s="8">
        <v>7102401</v>
      </c>
      <c r="L115" s="4">
        <v>2017</v>
      </c>
      <c r="M115" s="4" t="s">
        <v>87</v>
      </c>
      <c r="N115" s="4" t="s">
        <v>329</v>
      </c>
      <c r="O115" s="2"/>
      <c r="P115" s="4">
        <v>3</v>
      </c>
      <c r="Q115" s="4">
        <v>2</v>
      </c>
      <c r="S115" s="4" t="s">
        <v>130</v>
      </c>
    </row>
    <row r="116" spans="1:22" hidden="1" x14ac:dyDescent="0.25">
      <c r="A116" s="2" t="s">
        <v>163</v>
      </c>
      <c r="B116" s="2"/>
      <c r="C116" s="2"/>
      <c r="D116" s="2"/>
      <c r="E116" s="2"/>
      <c r="F116" s="10" t="s">
        <v>207</v>
      </c>
      <c r="G116" s="2" t="s">
        <v>8</v>
      </c>
      <c r="H116" s="2" t="s">
        <v>133</v>
      </c>
      <c r="I116" s="4">
        <v>75</v>
      </c>
      <c r="J116" s="6" t="s">
        <v>11</v>
      </c>
      <c r="K116" s="10">
        <v>5393329</v>
      </c>
      <c r="L116" s="4">
        <v>2008</v>
      </c>
      <c r="M116" s="4" t="s">
        <v>90</v>
      </c>
      <c r="N116" s="4" t="s">
        <v>329</v>
      </c>
      <c r="O116" s="2"/>
      <c r="P116" s="4">
        <v>4</v>
      </c>
      <c r="Q116" s="4">
        <v>2</v>
      </c>
      <c r="S116" s="4" t="s">
        <v>130</v>
      </c>
    </row>
    <row r="117" spans="1:22" hidden="1" x14ac:dyDescent="0.25">
      <c r="A117" s="2" t="s">
        <v>163</v>
      </c>
      <c r="B117" s="2"/>
      <c r="C117" s="2"/>
      <c r="D117" s="2"/>
      <c r="E117" s="2"/>
      <c r="F117" s="10" t="s">
        <v>207</v>
      </c>
      <c r="G117" s="2" t="s">
        <v>142</v>
      </c>
      <c r="H117" s="2" t="s">
        <v>133</v>
      </c>
      <c r="I117" s="4">
        <v>75</v>
      </c>
      <c r="J117" s="6" t="s">
        <v>11</v>
      </c>
      <c r="K117" s="10">
        <v>5393329</v>
      </c>
      <c r="L117" s="4">
        <v>2008</v>
      </c>
      <c r="M117" s="4" t="s">
        <v>90</v>
      </c>
      <c r="N117" s="4" t="s">
        <v>329</v>
      </c>
      <c r="O117" s="2"/>
      <c r="P117" s="4">
        <v>4</v>
      </c>
      <c r="Q117" s="4">
        <v>2</v>
      </c>
      <c r="S117" s="4" t="s">
        <v>130</v>
      </c>
    </row>
    <row r="118" spans="1:22" hidden="1" x14ac:dyDescent="0.25">
      <c r="A118" s="9" t="s">
        <v>127</v>
      </c>
      <c r="B118" s="9"/>
      <c r="C118" s="9"/>
      <c r="D118" s="9"/>
      <c r="E118" s="9"/>
      <c r="F118" s="10" t="s">
        <v>208</v>
      </c>
      <c r="G118" s="2" t="s">
        <v>142</v>
      </c>
      <c r="H118" s="2" t="s">
        <v>142</v>
      </c>
      <c r="I118" s="4">
        <v>116</v>
      </c>
      <c r="J118" s="6" t="s">
        <v>11</v>
      </c>
      <c r="K118" s="10">
        <v>5337172</v>
      </c>
      <c r="L118" s="4">
        <v>2008</v>
      </c>
      <c r="M118" s="11" t="s">
        <v>16</v>
      </c>
      <c r="N118" s="4" t="s">
        <v>329</v>
      </c>
      <c r="O118" s="9"/>
      <c r="P118" s="4">
        <v>4</v>
      </c>
      <c r="Q118" s="4">
        <v>1</v>
      </c>
      <c r="S118" s="4" t="s">
        <v>130</v>
      </c>
    </row>
    <row r="119" spans="1:22" x14ac:dyDescent="0.25">
      <c r="A119" s="4" t="s">
        <v>384</v>
      </c>
      <c r="N119" s="4" t="s">
        <v>328</v>
      </c>
      <c r="S119" s="4" t="s">
        <v>371</v>
      </c>
      <c r="V119" s="4" t="s">
        <v>672</v>
      </c>
    </row>
    <row r="120" spans="1:22" x14ac:dyDescent="0.25">
      <c r="A120" s="2" t="s">
        <v>356</v>
      </c>
      <c r="B120" s="2"/>
      <c r="C120" s="2"/>
      <c r="D120" s="2"/>
      <c r="E120" s="2"/>
      <c r="G120"/>
      <c r="H120"/>
      <c r="N120" s="4" t="s">
        <v>328</v>
      </c>
      <c r="O120" s="2"/>
      <c r="S120" s="4" t="s">
        <v>371</v>
      </c>
      <c r="V120" s="4" t="s">
        <v>672</v>
      </c>
    </row>
    <row r="121" spans="1:22" x14ac:dyDescent="0.25">
      <c r="A121" t="s">
        <v>315</v>
      </c>
      <c r="B121"/>
      <c r="C121"/>
      <c r="D121"/>
      <c r="E121"/>
      <c r="G121"/>
      <c r="H121"/>
      <c r="O121"/>
      <c r="S121" s="4" t="s">
        <v>326</v>
      </c>
    </row>
    <row r="122" spans="1:22" x14ac:dyDescent="0.25">
      <c r="A122" s="2" t="s">
        <v>48</v>
      </c>
      <c r="B122" s="2"/>
      <c r="C122" s="2"/>
      <c r="D122" s="2"/>
      <c r="E122" s="2"/>
      <c r="F122" s="10" t="s">
        <v>103</v>
      </c>
      <c r="G122" s="2" t="s">
        <v>146</v>
      </c>
      <c r="H122" s="2" t="s">
        <v>8</v>
      </c>
      <c r="I122" s="4">
        <v>94</v>
      </c>
      <c r="J122" s="4" t="s">
        <v>11</v>
      </c>
      <c r="K122" s="8">
        <v>3540703</v>
      </c>
      <c r="L122" s="4">
        <v>2002</v>
      </c>
      <c r="M122" s="11" t="s">
        <v>104</v>
      </c>
      <c r="N122" s="4" t="s">
        <v>329</v>
      </c>
      <c r="O122" s="2"/>
      <c r="P122" s="4">
        <v>3</v>
      </c>
      <c r="S122" s="4" t="s">
        <v>326</v>
      </c>
    </row>
    <row r="123" spans="1:22" x14ac:dyDescent="0.25">
      <c r="A123" s="2" t="s">
        <v>56</v>
      </c>
      <c r="B123" s="2"/>
      <c r="C123" s="2"/>
      <c r="D123" s="2"/>
      <c r="E123" s="2"/>
      <c r="F123" s="10" t="s">
        <v>201</v>
      </c>
      <c r="G123" s="2" t="s">
        <v>142</v>
      </c>
      <c r="H123" s="2" t="s">
        <v>136</v>
      </c>
      <c r="I123" s="4">
        <v>72</v>
      </c>
      <c r="J123" s="4" t="s">
        <v>11</v>
      </c>
      <c r="K123" s="8">
        <v>7108951</v>
      </c>
      <c r="L123" s="4">
        <v>2018</v>
      </c>
      <c r="M123" s="11" t="s">
        <v>109</v>
      </c>
      <c r="N123" s="4" t="s">
        <v>329</v>
      </c>
      <c r="O123" s="2"/>
      <c r="P123" s="4">
        <v>5</v>
      </c>
      <c r="S123" s="4" t="s">
        <v>326</v>
      </c>
      <c r="V123" s="4" t="s">
        <v>671</v>
      </c>
    </row>
    <row r="124" spans="1:22" x14ac:dyDescent="0.25">
      <c r="A124" t="s">
        <v>258</v>
      </c>
      <c r="B124"/>
      <c r="C124"/>
      <c r="D124"/>
      <c r="E124"/>
      <c r="G124"/>
      <c r="H124"/>
      <c r="O124"/>
      <c r="S124" s="4" t="s">
        <v>326</v>
      </c>
    </row>
    <row r="125" spans="1:22" x14ac:dyDescent="0.25">
      <c r="A125" t="s">
        <v>259</v>
      </c>
      <c r="B125"/>
      <c r="C125"/>
      <c r="D125"/>
      <c r="E125"/>
      <c r="G125"/>
      <c r="H125"/>
      <c r="O125"/>
      <c r="S125" s="4" t="s">
        <v>326</v>
      </c>
    </row>
    <row r="126" spans="1:22" x14ac:dyDescent="0.25">
      <c r="A126" s="2" t="s">
        <v>289</v>
      </c>
      <c r="B126" s="2"/>
      <c r="C126" s="2"/>
      <c r="D126" s="2"/>
      <c r="E126" s="2"/>
      <c r="G126" s="2" t="s">
        <v>8</v>
      </c>
      <c r="H126" s="2" t="s">
        <v>8</v>
      </c>
      <c r="I126" s="4">
        <v>166</v>
      </c>
      <c r="J126" s="6" t="s">
        <v>94</v>
      </c>
      <c r="L126" s="4">
        <v>2019</v>
      </c>
      <c r="M126" s="4" t="s">
        <v>173</v>
      </c>
      <c r="N126" s="4" t="s">
        <v>329</v>
      </c>
      <c r="O126" s="2"/>
      <c r="P126" s="4">
        <v>1</v>
      </c>
      <c r="S126" s="4" t="s">
        <v>326</v>
      </c>
    </row>
    <row r="127" spans="1:22" x14ac:dyDescent="0.25">
      <c r="A127" s="4" t="s">
        <v>274</v>
      </c>
      <c r="G127"/>
      <c r="H127"/>
      <c r="S127" s="4" t="s">
        <v>326</v>
      </c>
    </row>
    <row r="128" spans="1:22" x14ac:dyDescent="0.25">
      <c r="A128" t="s">
        <v>230</v>
      </c>
      <c r="B128"/>
      <c r="C128"/>
      <c r="D128"/>
      <c r="E128"/>
      <c r="G128"/>
      <c r="H128"/>
      <c r="O128"/>
      <c r="S128" s="4" t="s">
        <v>326</v>
      </c>
    </row>
    <row r="129" spans="1:23" x14ac:dyDescent="0.25">
      <c r="A129" t="s">
        <v>288</v>
      </c>
      <c r="B129"/>
      <c r="C129"/>
      <c r="D129"/>
      <c r="E129"/>
      <c r="G129"/>
      <c r="H129"/>
      <c r="O129"/>
      <c r="S129" s="4" t="s">
        <v>326</v>
      </c>
    </row>
    <row r="130" spans="1:23" x14ac:dyDescent="0.25">
      <c r="A130" t="s">
        <v>275</v>
      </c>
      <c r="B130"/>
      <c r="C130"/>
      <c r="D130"/>
      <c r="E130"/>
      <c r="G130"/>
      <c r="H130"/>
      <c r="O130"/>
      <c r="S130" s="4" t="s">
        <v>326</v>
      </c>
    </row>
    <row r="131" spans="1:23" x14ac:dyDescent="0.25">
      <c r="A131" t="s">
        <v>231</v>
      </c>
      <c r="B131"/>
      <c r="C131"/>
      <c r="D131"/>
      <c r="E131"/>
      <c r="G131"/>
      <c r="H131"/>
      <c r="K131" s="4">
        <v>2574653</v>
      </c>
      <c r="O131"/>
      <c r="S131" s="4" t="s">
        <v>326</v>
      </c>
    </row>
    <row r="132" spans="1:23" x14ac:dyDescent="0.25">
      <c r="A132" t="s">
        <v>276</v>
      </c>
      <c r="B132"/>
      <c r="C132"/>
      <c r="D132"/>
      <c r="E132"/>
      <c r="G132"/>
      <c r="H132"/>
      <c r="O132"/>
      <c r="S132" s="4" t="s">
        <v>326</v>
      </c>
    </row>
    <row r="133" spans="1:23" x14ac:dyDescent="0.25">
      <c r="A133" t="s">
        <v>277</v>
      </c>
      <c r="B133"/>
      <c r="C133"/>
      <c r="D133"/>
      <c r="E133"/>
      <c r="G133"/>
      <c r="H133"/>
      <c r="O133"/>
      <c r="S133" s="4" t="s">
        <v>326</v>
      </c>
    </row>
    <row r="134" spans="1:23" x14ac:dyDescent="0.25">
      <c r="A134" t="s">
        <v>280</v>
      </c>
      <c r="B134"/>
      <c r="C134"/>
      <c r="D134"/>
      <c r="E134"/>
      <c r="G134"/>
      <c r="H134"/>
      <c r="O134"/>
      <c r="S134" s="4" t="s">
        <v>326</v>
      </c>
    </row>
    <row r="135" spans="1:23" x14ac:dyDescent="0.25">
      <c r="A135" s="2" t="s">
        <v>80</v>
      </c>
      <c r="B135" s="2"/>
      <c r="C135" s="2"/>
      <c r="D135" s="2"/>
      <c r="E135" s="2"/>
      <c r="F135" s="10" t="s">
        <v>550</v>
      </c>
      <c r="G135" s="2" t="s">
        <v>122</v>
      </c>
      <c r="H135" s="2" t="s">
        <v>122</v>
      </c>
      <c r="I135" s="4">
        <v>76</v>
      </c>
      <c r="J135" s="6" t="s">
        <v>11</v>
      </c>
      <c r="K135" s="8">
        <v>7048885</v>
      </c>
      <c r="L135" s="4">
        <v>2016</v>
      </c>
      <c r="M135" s="4" t="s">
        <v>118</v>
      </c>
      <c r="N135" s="4" t="s">
        <v>329</v>
      </c>
      <c r="O135" s="2"/>
      <c r="P135" s="4">
        <v>5</v>
      </c>
      <c r="S135" s="4" t="s">
        <v>326</v>
      </c>
    </row>
    <row r="136" spans="1:23" x14ac:dyDescent="0.25">
      <c r="A136" s="2" t="s">
        <v>359</v>
      </c>
      <c r="B136" s="2"/>
      <c r="C136" s="2"/>
      <c r="D136" s="2"/>
      <c r="E136" s="2"/>
      <c r="F136" s="4" t="s">
        <v>381</v>
      </c>
      <c r="G136"/>
      <c r="H136"/>
      <c r="L136" s="4">
        <v>1770</v>
      </c>
      <c r="M136" s="4" t="s">
        <v>112</v>
      </c>
      <c r="N136" s="4" t="s">
        <v>328</v>
      </c>
      <c r="O136" s="2"/>
      <c r="S136" s="4" t="s">
        <v>387</v>
      </c>
      <c r="V136" s="4" t="s">
        <v>672</v>
      </c>
    </row>
    <row r="137" spans="1:23" hidden="1" x14ac:dyDescent="0.25">
      <c r="A137" t="s">
        <v>581</v>
      </c>
      <c r="B137" t="s">
        <v>554</v>
      </c>
      <c r="C137" s="2" t="str">
        <f t="shared" ref="C137:C168" si="0">_xlfn.CONCAT(A137, IF(ISBLANK(B137),," ("),B137,IF(ISBLANK(B137),,")"), " (",G137,")")</f>
        <v>10,000 Reasons (Bless The Lord) (G)</v>
      </c>
      <c r="D137" s="2" t="s">
        <v>84</v>
      </c>
      <c r="E137" s="2" t="str">
        <f t="shared" ref="E137:E168" si="1">_xlfn.CONCAT(A137, IF(ISBLANK(B137),," ("),B137,IF(ISBLANK(B137),,")"))</f>
        <v>10,000 Reasons (Bless The Lord)</v>
      </c>
      <c r="F137" t="s">
        <v>397</v>
      </c>
      <c r="G137" s="2" t="s">
        <v>132</v>
      </c>
      <c r="H137" s="2" t="s">
        <v>132</v>
      </c>
      <c r="I137" s="4">
        <v>73</v>
      </c>
      <c r="J137" s="6" t="s">
        <v>11</v>
      </c>
      <c r="K137" s="10">
        <v>6016351</v>
      </c>
      <c r="L137" s="4">
        <v>2011</v>
      </c>
      <c r="M137" s="11" t="s">
        <v>113</v>
      </c>
      <c r="N137" s="4" t="s">
        <v>7</v>
      </c>
      <c r="O137">
        <v>1</v>
      </c>
      <c r="P137" s="4">
        <v>4</v>
      </c>
      <c r="Q137" s="4">
        <v>2</v>
      </c>
      <c r="R137" s="4">
        <v>2</v>
      </c>
      <c r="S137" s="4" t="s">
        <v>601</v>
      </c>
      <c r="T137">
        <v>1</v>
      </c>
      <c r="U137">
        <v>1</v>
      </c>
    </row>
    <row r="138" spans="1:23" hidden="1" x14ac:dyDescent="0.25">
      <c r="A138" t="s">
        <v>336</v>
      </c>
      <c r="B138"/>
      <c r="C138" s="2" t="str">
        <f t="shared" si="0"/>
        <v>A Mighty Fortress Is Our God (C)</v>
      </c>
      <c r="D138" s="2" t="s">
        <v>8</v>
      </c>
      <c r="E138" s="2" t="str">
        <f t="shared" si="1"/>
        <v>A Mighty Fortress Is Our God</v>
      </c>
      <c r="F138" t="s">
        <v>398</v>
      </c>
      <c r="G138" s="2" t="s">
        <v>133</v>
      </c>
      <c r="H138" s="2" t="s">
        <v>133</v>
      </c>
      <c r="I138" s="4">
        <v>120</v>
      </c>
      <c r="J138" s="6" t="s">
        <v>11</v>
      </c>
      <c r="K138" s="10">
        <v>42964</v>
      </c>
      <c r="L138" s="4">
        <v>1529</v>
      </c>
      <c r="M138" s="11" t="s">
        <v>112</v>
      </c>
      <c r="N138" s="4" t="s">
        <v>328</v>
      </c>
      <c r="O138">
        <v>2</v>
      </c>
      <c r="P138" s="4">
        <v>1</v>
      </c>
      <c r="Q138" s="4">
        <v>2</v>
      </c>
      <c r="R138" s="4">
        <v>2</v>
      </c>
      <c r="S138" s="4" t="s">
        <v>601</v>
      </c>
      <c r="T138">
        <v>16</v>
      </c>
      <c r="U138">
        <v>8</v>
      </c>
    </row>
    <row r="139" spans="1:23" hidden="1" x14ac:dyDescent="0.25">
      <c r="A139" t="s">
        <v>147</v>
      </c>
      <c r="B139"/>
      <c r="C139" s="2" t="str">
        <f t="shared" si="0"/>
        <v>Above All (A)</v>
      </c>
      <c r="D139" s="2"/>
      <c r="E139" s="2" t="str">
        <f t="shared" si="1"/>
        <v>Above All</v>
      </c>
      <c r="F139" t="s">
        <v>399</v>
      </c>
      <c r="G139" s="2" t="s">
        <v>8</v>
      </c>
      <c r="H139" s="2" t="s">
        <v>8</v>
      </c>
      <c r="I139" s="4">
        <v>62</v>
      </c>
      <c r="J139" s="6" t="s">
        <v>11</v>
      </c>
      <c r="K139" s="10">
        <v>2672885</v>
      </c>
      <c r="L139" s="4">
        <v>1999</v>
      </c>
      <c r="M139" s="11" t="s">
        <v>104</v>
      </c>
      <c r="N139" s="4" t="s">
        <v>602</v>
      </c>
      <c r="O139">
        <v>3</v>
      </c>
      <c r="P139" s="4">
        <v>2</v>
      </c>
      <c r="Q139" s="4">
        <v>1</v>
      </c>
      <c r="R139" s="4">
        <v>1</v>
      </c>
      <c r="S139" s="4" t="s">
        <v>601</v>
      </c>
      <c r="T139">
        <v>25</v>
      </c>
      <c r="U139">
        <v>13</v>
      </c>
    </row>
    <row r="140" spans="1:23" hidden="1" x14ac:dyDescent="0.25">
      <c r="A140" t="s">
        <v>23</v>
      </c>
      <c r="B140"/>
      <c r="C140" s="2" t="str">
        <f t="shared" si="0"/>
        <v>All Glory Be To Christ (E)</v>
      </c>
      <c r="D140" s="2"/>
      <c r="E140" s="2" t="str">
        <f t="shared" si="1"/>
        <v>All Glory Be To Christ</v>
      </c>
      <c r="F140" t="s">
        <v>400</v>
      </c>
      <c r="G140" s="2" t="s">
        <v>12</v>
      </c>
      <c r="H140" s="2" t="s">
        <v>12</v>
      </c>
      <c r="I140" s="4">
        <v>94</v>
      </c>
      <c r="J140" s="4" t="s">
        <v>11</v>
      </c>
      <c r="K140" s="10">
        <v>7008232</v>
      </c>
      <c r="L140" s="4">
        <v>2012</v>
      </c>
      <c r="M140" s="11" t="s">
        <v>189</v>
      </c>
      <c r="N140" s="4" t="s">
        <v>7</v>
      </c>
      <c r="O140">
        <v>4</v>
      </c>
      <c r="P140" s="4">
        <v>3</v>
      </c>
      <c r="Q140" s="4">
        <v>2</v>
      </c>
      <c r="R140" s="4">
        <v>2</v>
      </c>
      <c r="S140" s="4" t="s">
        <v>601</v>
      </c>
      <c r="T140">
        <v>13</v>
      </c>
      <c r="U140">
        <v>7</v>
      </c>
      <c r="W140" s="4" t="s">
        <v>666</v>
      </c>
    </row>
    <row r="141" spans="1:23" hidden="1" x14ac:dyDescent="0.25">
      <c r="A141" t="s">
        <v>22</v>
      </c>
      <c r="B141"/>
      <c r="C141" s="2" t="str">
        <f t="shared" si="0"/>
        <v>All Heaven Declares (A)</v>
      </c>
      <c r="D141" s="2"/>
      <c r="E141" s="2" t="str">
        <f t="shared" si="1"/>
        <v>All Heaven Declares</v>
      </c>
      <c r="F141" t="s">
        <v>9</v>
      </c>
      <c r="G141" s="2" t="s">
        <v>8</v>
      </c>
      <c r="H141" s="2" t="s">
        <v>8</v>
      </c>
      <c r="I141" s="4">
        <v>120</v>
      </c>
      <c r="J141" s="4" t="s">
        <v>11</v>
      </c>
      <c r="K141" s="7">
        <v>120556</v>
      </c>
      <c r="L141" s="4">
        <v>1987</v>
      </c>
      <c r="M141" s="4" t="s">
        <v>16</v>
      </c>
      <c r="N141" s="4" t="s">
        <v>602</v>
      </c>
      <c r="O141">
        <v>5</v>
      </c>
      <c r="P141" s="4">
        <v>1</v>
      </c>
      <c r="Q141" s="4">
        <v>1</v>
      </c>
      <c r="R141" s="4">
        <v>1</v>
      </c>
      <c r="S141" s="4" t="s">
        <v>601</v>
      </c>
      <c r="T141">
        <v>20</v>
      </c>
      <c r="U141">
        <v>10</v>
      </c>
    </row>
    <row r="142" spans="1:23" hidden="1" x14ac:dyDescent="0.25">
      <c r="A142" t="s">
        <v>148</v>
      </c>
      <c r="B142"/>
      <c r="C142" s="2" t="str">
        <f t="shared" si="0"/>
        <v>All The Poor And Powerless (A)</v>
      </c>
      <c r="D142" s="2"/>
      <c r="E142" s="2" t="str">
        <f t="shared" si="1"/>
        <v>All The Poor And Powerless</v>
      </c>
      <c r="F142" t="s">
        <v>401</v>
      </c>
      <c r="G142" s="2" t="s">
        <v>8</v>
      </c>
      <c r="H142" s="2" t="s">
        <v>8</v>
      </c>
      <c r="I142" s="4">
        <v>76</v>
      </c>
      <c r="J142" s="6" t="s">
        <v>11</v>
      </c>
      <c r="K142" s="10">
        <v>5881130</v>
      </c>
      <c r="L142" s="4">
        <v>2011</v>
      </c>
      <c r="M142" s="11" t="s">
        <v>174</v>
      </c>
      <c r="N142" s="4" t="s">
        <v>7</v>
      </c>
      <c r="O142">
        <v>6</v>
      </c>
      <c r="P142" s="4">
        <v>4</v>
      </c>
      <c r="Q142" s="4">
        <v>2</v>
      </c>
      <c r="R142" s="4">
        <v>2</v>
      </c>
      <c r="S142" s="4" t="s">
        <v>601</v>
      </c>
      <c r="T142">
        <v>5</v>
      </c>
      <c r="U142">
        <v>3</v>
      </c>
    </row>
    <row r="143" spans="1:23" hidden="1" x14ac:dyDescent="0.25">
      <c r="A143" t="s">
        <v>26</v>
      </c>
      <c r="B143"/>
      <c r="C143" s="2" t="str">
        <f t="shared" si="0"/>
        <v>All To Us (G)</v>
      </c>
      <c r="D143" s="2"/>
      <c r="E143" s="2" t="str">
        <f t="shared" si="1"/>
        <v>All To Us</v>
      </c>
      <c r="F143" t="s">
        <v>402</v>
      </c>
      <c r="G143" s="2" t="s">
        <v>132</v>
      </c>
      <c r="H143" s="2" t="s">
        <v>17</v>
      </c>
      <c r="I143" s="4">
        <v>62</v>
      </c>
      <c r="J143" s="4" t="s">
        <v>11</v>
      </c>
      <c r="K143" s="7">
        <v>5869860</v>
      </c>
      <c r="L143" s="4">
        <v>2010</v>
      </c>
      <c r="M143" s="4" t="s">
        <v>15</v>
      </c>
      <c r="N143" s="4" t="s">
        <v>7</v>
      </c>
      <c r="O143">
        <v>7</v>
      </c>
      <c r="P143" s="4">
        <v>4</v>
      </c>
      <c r="Q143" s="4">
        <v>2</v>
      </c>
      <c r="R143" s="4">
        <v>2</v>
      </c>
      <c r="S143" s="4" t="s">
        <v>601</v>
      </c>
      <c r="T143">
        <v>9</v>
      </c>
      <c r="U143">
        <v>5</v>
      </c>
    </row>
    <row r="144" spans="1:23" hidden="1" x14ac:dyDescent="0.25">
      <c r="A144" t="s">
        <v>337</v>
      </c>
      <c r="B144"/>
      <c r="C144" s="2" t="str">
        <f t="shared" si="0"/>
        <v>Amazing Grace (G)</v>
      </c>
      <c r="D144" s="2"/>
      <c r="E144" s="2" t="str">
        <f t="shared" si="1"/>
        <v>Amazing Grace</v>
      </c>
      <c r="F144" t="s">
        <v>403</v>
      </c>
      <c r="G144" s="2" t="s">
        <v>132</v>
      </c>
      <c r="H144" s="2" t="s">
        <v>132</v>
      </c>
      <c r="I144" s="4">
        <v>90</v>
      </c>
      <c r="J144" s="6" t="s">
        <v>18</v>
      </c>
      <c r="K144" s="4">
        <v>22025</v>
      </c>
      <c r="L144" s="4">
        <v>1779</v>
      </c>
      <c r="M144" s="11" t="s">
        <v>112</v>
      </c>
      <c r="N144" s="4" t="s">
        <v>328</v>
      </c>
      <c r="O144">
        <v>9</v>
      </c>
      <c r="P144" s="4">
        <v>1</v>
      </c>
      <c r="Q144" s="4">
        <v>2</v>
      </c>
      <c r="R144" s="4">
        <v>2</v>
      </c>
      <c r="S144" s="4" t="s">
        <v>601</v>
      </c>
      <c r="T144">
        <v>24</v>
      </c>
      <c r="U144">
        <v>12</v>
      </c>
    </row>
    <row r="145" spans="1:23" hidden="1" x14ac:dyDescent="0.25">
      <c r="A145" t="s">
        <v>337</v>
      </c>
      <c r="B145" t="s">
        <v>555</v>
      </c>
      <c r="C145" s="2" t="str">
        <f t="shared" si="0"/>
        <v>Amazing Grace (My Chains Are Gone) (F)</v>
      </c>
      <c r="D145" s="2"/>
      <c r="E145" s="2" t="str">
        <f t="shared" si="1"/>
        <v>Amazing Grace (My Chains Are Gone)</v>
      </c>
      <c r="F145" t="s">
        <v>404</v>
      </c>
      <c r="G145" s="2" t="s">
        <v>146</v>
      </c>
      <c r="H145" s="2" t="s">
        <v>146</v>
      </c>
      <c r="I145" s="4">
        <v>60</v>
      </c>
      <c r="J145" s="4" t="s">
        <v>11</v>
      </c>
      <c r="K145" s="10">
        <v>4768151</v>
      </c>
      <c r="L145" s="4">
        <v>2006</v>
      </c>
      <c r="M145" s="11" t="s">
        <v>15</v>
      </c>
      <c r="N145" s="4" t="s">
        <v>7</v>
      </c>
      <c r="O145">
        <v>8</v>
      </c>
      <c r="P145" s="4">
        <v>3</v>
      </c>
      <c r="Q145" s="4">
        <v>2</v>
      </c>
      <c r="R145" s="4">
        <v>2</v>
      </c>
      <c r="S145" s="4" t="s">
        <v>601</v>
      </c>
      <c r="T145">
        <v>17</v>
      </c>
      <c r="U145">
        <v>9</v>
      </c>
    </row>
    <row r="146" spans="1:23" hidden="1" x14ac:dyDescent="0.25">
      <c r="A146" t="s">
        <v>209</v>
      </c>
      <c r="B146"/>
      <c r="C146" s="2" t="str">
        <f t="shared" si="0"/>
        <v>Ancient Words (E)</v>
      </c>
      <c r="D146" s="2"/>
      <c r="E146" s="2" t="str">
        <f t="shared" si="1"/>
        <v>Ancient Words</v>
      </c>
      <c r="F146" t="s">
        <v>405</v>
      </c>
      <c r="G146" s="2" t="s">
        <v>12</v>
      </c>
      <c r="H146" s="2" t="s">
        <v>12</v>
      </c>
      <c r="I146" s="4">
        <v>63</v>
      </c>
      <c r="J146" s="6" t="s">
        <v>18</v>
      </c>
      <c r="K146" s="4">
        <v>2986399</v>
      </c>
      <c r="L146" s="4">
        <v>2001</v>
      </c>
      <c r="M146" s="4" t="s">
        <v>104</v>
      </c>
      <c r="N146" s="4" t="s">
        <v>7</v>
      </c>
      <c r="O146">
        <v>10</v>
      </c>
      <c r="P146" s="4">
        <v>3</v>
      </c>
      <c r="Q146" s="4">
        <v>2</v>
      </c>
      <c r="R146" s="4">
        <v>2</v>
      </c>
      <c r="S146" s="4" t="s">
        <v>601</v>
      </c>
      <c r="T146">
        <v>21</v>
      </c>
      <c r="U146">
        <v>11</v>
      </c>
      <c r="W146" s="4" t="s">
        <v>666</v>
      </c>
    </row>
    <row r="147" spans="1:23" hidden="1" x14ac:dyDescent="0.25">
      <c r="A147" t="s">
        <v>338</v>
      </c>
      <c r="B147" t="s">
        <v>556</v>
      </c>
      <c r="C147" s="2" t="str">
        <f t="shared" si="0"/>
        <v>And Can It Be (Amazing Love) (G)</v>
      </c>
      <c r="D147" s="2"/>
      <c r="E147" s="2" t="str">
        <f t="shared" si="1"/>
        <v>And Can It Be (Amazing Love)</v>
      </c>
      <c r="F147" t="s">
        <v>406</v>
      </c>
      <c r="G147" s="2" t="s">
        <v>132</v>
      </c>
      <c r="H147" s="2" t="s">
        <v>132</v>
      </c>
      <c r="I147" s="4">
        <v>110</v>
      </c>
      <c r="J147" s="6" t="s">
        <v>11</v>
      </c>
      <c r="K147" s="4">
        <v>25280</v>
      </c>
      <c r="L147" s="4">
        <v>1738</v>
      </c>
      <c r="M147" s="11" t="s">
        <v>112</v>
      </c>
      <c r="N147" s="4" t="s">
        <v>328</v>
      </c>
      <c r="O147">
        <v>11</v>
      </c>
      <c r="P147" s="4">
        <v>2</v>
      </c>
      <c r="Q147" s="4">
        <v>3</v>
      </c>
      <c r="R147" s="4">
        <v>3</v>
      </c>
      <c r="S147" s="4" t="s">
        <v>601</v>
      </c>
      <c r="T147">
        <v>27</v>
      </c>
      <c r="U147">
        <v>14</v>
      </c>
    </row>
    <row r="148" spans="1:23" hidden="1" x14ac:dyDescent="0.25">
      <c r="A148" t="s">
        <v>149</v>
      </c>
      <c r="B148"/>
      <c r="C148" s="2" t="str">
        <f t="shared" si="0"/>
        <v>Another In The Fire (C)</v>
      </c>
      <c r="D148" s="2"/>
      <c r="E148" s="2" t="str">
        <f t="shared" si="1"/>
        <v>Another In The Fire</v>
      </c>
      <c r="F148" t="s">
        <v>407</v>
      </c>
      <c r="G148" s="2" t="s">
        <v>133</v>
      </c>
      <c r="H148" s="2" t="s">
        <v>133</v>
      </c>
      <c r="I148" s="4">
        <v>67</v>
      </c>
      <c r="J148" s="6" t="s">
        <v>11</v>
      </c>
      <c r="K148" s="10">
        <v>7124907</v>
      </c>
      <c r="L148" s="4">
        <v>2018</v>
      </c>
      <c r="M148" s="11" t="s">
        <v>87</v>
      </c>
      <c r="N148" s="4" t="s">
        <v>7</v>
      </c>
      <c r="O148">
        <v>12</v>
      </c>
      <c r="P148" s="4">
        <v>6</v>
      </c>
      <c r="Q148" s="4">
        <v>3</v>
      </c>
      <c r="R148" s="4">
        <v>3</v>
      </c>
      <c r="S148" s="4" t="s">
        <v>601</v>
      </c>
      <c r="T148">
        <v>29</v>
      </c>
      <c r="U148">
        <v>15</v>
      </c>
      <c r="V148" s="4" t="s">
        <v>668</v>
      </c>
    </row>
    <row r="149" spans="1:23" hidden="1" x14ac:dyDescent="0.25">
      <c r="A149" t="s">
        <v>369</v>
      </c>
      <c r="B149"/>
      <c r="C149" s="2" t="str">
        <f t="shared" si="0"/>
        <v>Are You Washed In The Blood (G)</v>
      </c>
      <c r="D149" s="2"/>
      <c r="E149" s="2" t="str">
        <f t="shared" si="1"/>
        <v>Are You Washed In The Blood</v>
      </c>
      <c r="F149" t="s">
        <v>408</v>
      </c>
      <c r="G149" s="2" t="s">
        <v>132</v>
      </c>
      <c r="H149" s="2" t="s">
        <v>17</v>
      </c>
      <c r="I149" s="4">
        <v>96</v>
      </c>
      <c r="J149" s="6" t="s">
        <v>11</v>
      </c>
      <c r="K149" s="4">
        <v>21105</v>
      </c>
      <c r="L149" s="4">
        <v>1878</v>
      </c>
      <c r="M149" s="11" t="s">
        <v>112</v>
      </c>
      <c r="N149" s="4" t="s">
        <v>328</v>
      </c>
      <c r="O149">
        <v>13</v>
      </c>
      <c r="P149" s="4">
        <v>1</v>
      </c>
      <c r="Q149" s="4">
        <v>2</v>
      </c>
      <c r="R149" s="4">
        <v>2</v>
      </c>
      <c r="S149" s="4" t="s">
        <v>601</v>
      </c>
      <c r="T149">
        <v>64</v>
      </c>
      <c r="U149">
        <v>32</v>
      </c>
    </row>
    <row r="150" spans="1:23" hidden="1" x14ac:dyDescent="0.25">
      <c r="A150" t="s">
        <v>311</v>
      </c>
      <c r="B150"/>
      <c r="C150" s="2" t="str">
        <f t="shared" si="0"/>
        <v>As The Deer (D)</v>
      </c>
      <c r="D150" s="2"/>
      <c r="E150" s="2" t="str">
        <f t="shared" si="1"/>
        <v>As The Deer</v>
      </c>
      <c r="F150" t="s">
        <v>409</v>
      </c>
      <c r="G150" s="2" t="s">
        <v>122</v>
      </c>
      <c r="H150" s="2" t="s">
        <v>122</v>
      </c>
      <c r="I150" s="4">
        <v>74</v>
      </c>
      <c r="J150" s="6" t="s">
        <v>11</v>
      </c>
      <c r="K150" s="4">
        <v>1431</v>
      </c>
      <c r="L150" s="4">
        <v>1984</v>
      </c>
      <c r="M150" s="11" t="s">
        <v>396</v>
      </c>
      <c r="N150" s="4" t="s">
        <v>602</v>
      </c>
      <c r="O150">
        <v>14</v>
      </c>
      <c r="P150" s="4">
        <v>1</v>
      </c>
      <c r="Q150" s="4">
        <v>1</v>
      </c>
      <c r="R150" s="4">
        <v>1</v>
      </c>
      <c r="S150" s="4" t="s">
        <v>601</v>
      </c>
      <c r="T150">
        <v>72</v>
      </c>
      <c r="U150">
        <v>36</v>
      </c>
    </row>
    <row r="151" spans="1:23" hidden="1" x14ac:dyDescent="0.25">
      <c r="A151" t="s">
        <v>25</v>
      </c>
      <c r="B151"/>
      <c r="C151" s="2" t="str">
        <f t="shared" si="0"/>
        <v>At The Cross (D)</v>
      </c>
      <c r="D151" s="2"/>
      <c r="E151" s="2" t="str">
        <f t="shared" si="1"/>
        <v>At The Cross</v>
      </c>
      <c r="F151" t="s">
        <v>410</v>
      </c>
      <c r="G151" s="2" t="s">
        <v>122</v>
      </c>
      <c r="H151" s="2" t="s">
        <v>198</v>
      </c>
      <c r="I151" s="4">
        <v>82</v>
      </c>
      <c r="J151" s="6" t="s">
        <v>11</v>
      </c>
      <c r="K151" s="4">
        <v>29499</v>
      </c>
      <c r="L151" s="4">
        <v>1707</v>
      </c>
      <c r="M151" s="11" t="s">
        <v>112</v>
      </c>
      <c r="N151" s="4" t="s">
        <v>328</v>
      </c>
      <c r="O151">
        <v>16</v>
      </c>
      <c r="P151" s="4">
        <v>1</v>
      </c>
      <c r="Q151" s="4">
        <v>2</v>
      </c>
      <c r="R151" s="4">
        <v>2</v>
      </c>
      <c r="S151" s="4" t="s">
        <v>601</v>
      </c>
      <c r="T151">
        <v>80</v>
      </c>
      <c r="U151">
        <v>40</v>
      </c>
    </row>
    <row r="152" spans="1:23" hidden="1" x14ac:dyDescent="0.25">
      <c r="A152" t="s">
        <v>25</v>
      </c>
      <c r="B152" t="s">
        <v>557</v>
      </c>
      <c r="C152" s="2" t="str">
        <f t="shared" si="0"/>
        <v>At The Cross (Love Ran Red) (G)</v>
      </c>
      <c r="D152" s="2"/>
      <c r="E152" s="2" t="str">
        <f t="shared" si="1"/>
        <v>At The Cross (Love Ran Red)</v>
      </c>
      <c r="F152" t="s">
        <v>411</v>
      </c>
      <c r="G152" s="2" t="s">
        <v>132</v>
      </c>
      <c r="H152" s="2" t="s">
        <v>132</v>
      </c>
      <c r="I152" s="4">
        <v>72</v>
      </c>
      <c r="J152" s="4" t="s">
        <v>11</v>
      </c>
      <c r="K152" s="7">
        <v>7017786</v>
      </c>
      <c r="L152" s="4">
        <v>2014</v>
      </c>
      <c r="M152" s="4" t="s">
        <v>14</v>
      </c>
      <c r="N152" s="4" t="s">
        <v>7</v>
      </c>
      <c r="O152">
        <v>15</v>
      </c>
      <c r="P152" s="4">
        <v>5</v>
      </c>
      <c r="Q152" s="4">
        <v>2</v>
      </c>
      <c r="R152" s="4">
        <v>2</v>
      </c>
      <c r="S152" s="4" t="s">
        <v>601</v>
      </c>
      <c r="T152">
        <v>37</v>
      </c>
      <c r="U152">
        <v>19</v>
      </c>
    </row>
    <row r="153" spans="1:23" hidden="1" x14ac:dyDescent="0.25">
      <c r="A153" t="s">
        <v>319</v>
      </c>
      <c r="B153"/>
      <c r="C153" s="2" t="str">
        <f t="shared" si="0"/>
        <v>Be Enthroned (C)</v>
      </c>
      <c r="D153" s="2" t="s">
        <v>136</v>
      </c>
      <c r="E153" s="2" t="str">
        <f t="shared" si="1"/>
        <v>Be Enthroned</v>
      </c>
      <c r="F153" t="s">
        <v>412</v>
      </c>
      <c r="G153" s="2" t="s">
        <v>133</v>
      </c>
      <c r="H153" s="2" t="s">
        <v>141</v>
      </c>
      <c r="I153" s="4">
        <v>70</v>
      </c>
      <c r="J153" s="6" t="s">
        <v>11</v>
      </c>
      <c r="K153" s="4">
        <v>7054178</v>
      </c>
      <c r="L153" s="4">
        <v>2015</v>
      </c>
      <c r="M153" s="4" t="s">
        <v>114</v>
      </c>
      <c r="N153" s="4" t="s">
        <v>7</v>
      </c>
      <c r="O153">
        <v>17</v>
      </c>
      <c r="P153" s="4">
        <v>5</v>
      </c>
      <c r="Q153" s="4">
        <v>2</v>
      </c>
      <c r="R153" s="4">
        <v>2</v>
      </c>
      <c r="S153" s="4" t="s">
        <v>601</v>
      </c>
      <c r="T153">
        <v>45</v>
      </c>
      <c r="U153">
        <v>23</v>
      </c>
    </row>
    <row r="154" spans="1:23" hidden="1" x14ac:dyDescent="0.25">
      <c r="A154" t="s">
        <v>339</v>
      </c>
      <c r="B154"/>
      <c r="C154" s="2" t="str">
        <f t="shared" si="0"/>
        <v>Be Thou My Vision (D)</v>
      </c>
      <c r="D154" s="2"/>
      <c r="E154" s="2" t="str">
        <f t="shared" si="1"/>
        <v>Be Thou My Vision</v>
      </c>
      <c r="F154" t="s">
        <v>413</v>
      </c>
      <c r="G154" s="2" t="s">
        <v>122</v>
      </c>
      <c r="H154" s="2" t="s">
        <v>198</v>
      </c>
      <c r="J154" s="6" t="s">
        <v>18</v>
      </c>
      <c r="K154" s="4">
        <v>30639</v>
      </c>
      <c r="L154" s="4">
        <v>1912</v>
      </c>
      <c r="M154" s="11" t="s">
        <v>112</v>
      </c>
      <c r="N154" s="4" t="s">
        <v>328</v>
      </c>
      <c r="O154">
        <v>18</v>
      </c>
      <c r="P154" s="4">
        <v>1</v>
      </c>
      <c r="Q154" s="4">
        <v>2</v>
      </c>
      <c r="R154" s="4">
        <v>2</v>
      </c>
      <c r="S154" s="4" t="s">
        <v>601</v>
      </c>
      <c r="T154">
        <v>84</v>
      </c>
      <c r="U154">
        <v>42</v>
      </c>
    </row>
    <row r="155" spans="1:23" hidden="1" x14ac:dyDescent="0.25">
      <c r="A155" t="s">
        <v>211</v>
      </c>
      <c r="B155"/>
      <c r="C155" s="2" t="str">
        <f t="shared" si="0"/>
        <v>Beautiful One (D)</v>
      </c>
      <c r="D155" s="2"/>
      <c r="E155" s="2" t="str">
        <f t="shared" si="1"/>
        <v>Beautiful One</v>
      </c>
      <c r="F155" t="s">
        <v>414</v>
      </c>
      <c r="G155" s="2" t="s">
        <v>122</v>
      </c>
      <c r="H155" s="2" t="s">
        <v>122</v>
      </c>
      <c r="I155" s="4">
        <v>122</v>
      </c>
      <c r="J155" s="6" t="s">
        <v>11</v>
      </c>
      <c r="K155" s="4">
        <v>3915912</v>
      </c>
      <c r="L155" s="4">
        <v>2002</v>
      </c>
      <c r="M155" s="4" t="s">
        <v>16</v>
      </c>
      <c r="N155" s="4" t="s">
        <v>7</v>
      </c>
      <c r="O155">
        <v>19</v>
      </c>
      <c r="P155" s="4">
        <v>3</v>
      </c>
      <c r="Q155" s="4">
        <v>1</v>
      </c>
      <c r="R155" s="4">
        <v>1</v>
      </c>
      <c r="S155" s="4" t="s">
        <v>601</v>
      </c>
      <c r="T155">
        <v>42</v>
      </c>
      <c r="U155">
        <v>21</v>
      </c>
    </row>
    <row r="156" spans="1:23" hidden="1" x14ac:dyDescent="0.25">
      <c r="A156" t="s">
        <v>313</v>
      </c>
      <c r="B156"/>
      <c r="C156" s="2" t="str">
        <f t="shared" si="0"/>
        <v>Because He Lives (G)</v>
      </c>
      <c r="D156" s="2"/>
      <c r="E156" s="2" t="str">
        <f t="shared" si="1"/>
        <v>Because He Lives</v>
      </c>
      <c r="F156" t="s">
        <v>415</v>
      </c>
      <c r="G156" s="2" t="s">
        <v>132</v>
      </c>
      <c r="H156" s="2" t="s">
        <v>17</v>
      </c>
      <c r="I156" s="4">
        <v>96</v>
      </c>
      <c r="J156" s="6" t="s">
        <v>11</v>
      </c>
      <c r="K156" s="4">
        <v>16880</v>
      </c>
      <c r="L156" s="4">
        <v>1971</v>
      </c>
      <c r="M156" s="4" t="s">
        <v>314</v>
      </c>
      <c r="N156" s="4" t="s">
        <v>602</v>
      </c>
      <c r="O156">
        <v>20</v>
      </c>
      <c r="P156" s="4">
        <v>2</v>
      </c>
      <c r="Q156" s="4">
        <v>1</v>
      </c>
      <c r="R156" s="4">
        <v>1</v>
      </c>
      <c r="S156" s="4" t="s">
        <v>601</v>
      </c>
      <c r="T156">
        <v>35</v>
      </c>
      <c r="U156">
        <v>18</v>
      </c>
    </row>
    <row r="157" spans="1:23" hidden="1" x14ac:dyDescent="0.25">
      <c r="A157" t="s">
        <v>27</v>
      </c>
      <c r="B157"/>
      <c r="C157" s="2" t="str">
        <f t="shared" si="0"/>
        <v>Before The Throne Of God Above (D)</v>
      </c>
      <c r="D157" s="2"/>
      <c r="E157" s="2" t="str">
        <f t="shared" si="1"/>
        <v>Before The Throne Of God Above</v>
      </c>
      <c r="F157" t="s">
        <v>416</v>
      </c>
      <c r="G157" s="2" t="s">
        <v>122</v>
      </c>
      <c r="H157" s="2" t="s">
        <v>122</v>
      </c>
      <c r="I157" s="4">
        <v>76</v>
      </c>
      <c r="J157" s="4" t="s">
        <v>18</v>
      </c>
      <c r="K157" s="7">
        <v>2306412</v>
      </c>
      <c r="L157" s="4">
        <v>1997</v>
      </c>
      <c r="M157" s="4" t="s">
        <v>19</v>
      </c>
      <c r="N157" s="4" t="s">
        <v>602</v>
      </c>
      <c r="O157">
        <v>21</v>
      </c>
      <c r="P157" s="4">
        <v>2</v>
      </c>
      <c r="Q157" s="4">
        <v>3</v>
      </c>
      <c r="R157" s="4">
        <v>3</v>
      </c>
      <c r="S157" s="4" t="s">
        <v>601</v>
      </c>
      <c r="T157">
        <v>53</v>
      </c>
      <c r="U157">
        <v>27</v>
      </c>
    </row>
    <row r="158" spans="1:23" hidden="1" x14ac:dyDescent="0.25">
      <c r="A158" t="s">
        <v>29</v>
      </c>
      <c r="B158"/>
      <c r="C158" s="2" t="str">
        <f t="shared" si="0"/>
        <v>Behold Our God (C)</v>
      </c>
      <c r="D158" s="2"/>
      <c r="E158" s="2" t="str">
        <f t="shared" si="1"/>
        <v>Behold Our God</v>
      </c>
      <c r="F158" t="s">
        <v>417</v>
      </c>
      <c r="G158" s="2" t="s">
        <v>133</v>
      </c>
      <c r="H158" s="2" t="s">
        <v>133</v>
      </c>
      <c r="I158" s="4">
        <v>73</v>
      </c>
      <c r="J158" s="4" t="s">
        <v>11</v>
      </c>
      <c r="K158" s="7">
        <v>5937510</v>
      </c>
      <c r="L158" s="4">
        <v>2011</v>
      </c>
      <c r="M158" s="4" t="s">
        <v>21</v>
      </c>
      <c r="N158" s="4" t="s">
        <v>7</v>
      </c>
      <c r="O158">
        <v>22</v>
      </c>
      <c r="P158" s="4">
        <v>2</v>
      </c>
      <c r="Q158" s="4">
        <v>2</v>
      </c>
      <c r="R158" s="4">
        <v>2</v>
      </c>
      <c r="S158" s="4" t="s">
        <v>601</v>
      </c>
      <c r="T158">
        <v>55</v>
      </c>
      <c r="U158">
        <v>28</v>
      </c>
    </row>
    <row r="159" spans="1:23" hidden="1" x14ac:dyDescent="0.25">
      <c r="A159" t="s">
        <v>28</v>
      </c>
      <c r="B159"/>
      <c r="C159" s="2" t="str">
        <f t="shared" si="0"/>
        <v>Behold The Lord (G)</v>
      </c>
      <c r="D159" s="2"/>
      <c r="E159" s="2" t="str">
        <f t="shared" si="1"/>
        <v>Behold The Lord</v>
      </c>
      <c r="F159" t="s">
        <v>20</v>
      </c>
      <c r="G159" s="2" t="s">
        <v>132</v>
      </c>
      <c r="H159" s="2" t="s">
        <v>132</v>
      </c>
      <c r="I159" s="4">
        <v>49</v>
      </c>
      <c r="J159" s="4" t="s">
        <v>11</v>
      </c>
      <c r="K159" s="7">
        <v>1101763</v>
      </c>
      <c r="L159" s="4">
        <v>1991</v>
      </c>
      <c r="M159" s="4" t="s">
        <v>16</v>
      </c>
      <c r="N159" s="4" t="s">
        <v>602</v>
      </c>
      <c r="O159">
        <v>23</v>
      </c>
      <c r="P159" s="4">
        <v>1</v>
      </c>
      <c r="Q159" s="4">
        <v>2</v>
      </c>
      <c r="R159" s="4" t="s">
        <v>551</v>
      </c>
      <c r="S159" s="4" t="s">
        <v>601</v>
      </c>
      <c r="T159">
        <v>88</v>
      </c>
      <c r="U159">
        <v>44</v>
      </c>
    </row>
    <row r="160" spans="1:23" hidden="1" x14ac:dyDescent="0.25">
      <c r="A160" t="s">
        <v>30</v>
      </c>
      <c r="B160"/>
      <c r="C160" s="2" t="str">
        <f t="shared" si="0"/>
        <v>Better Is One Day (E)</v>
      </c>
      <c r="D160" s="2"/>
      <c r="E160" s="2" t="str">
        <f t="shared" si="1"/>
        <v>Better Is One Day</v>
      </c>
      <c r="F160" t="s">
        <v>418</v>
      </c>
      <c r="G160" s="2" t="s">
        <v>12</v>
      </c>
      <c r="H160" s="2" t="s">
        <v>12</v>
      </c>
      <c r="I160" s="4">
        <v>77</v>
      </c>
      <c r="J160" s="4" t="s">
        <v>11</v>
      </c>
      <c r="K160" s="8">
        <v>1097451</v>
      </c>
      <c r="L160" s="4">
        <v>1995</v>
      </c>
      <c r="M160" s="11" t="s">
        <v>16</v>
      </c>
      <c r="N160" s="4" t="s">
        <v>602</v>
      </c>
      <c r="O160">
        <v>24</v>
      </c>
      <c r="P160" s="4">
        <v>3</v>
      </c>
      <c r="Q160" s="4">
        <v>2</v>
      </c>
      <c r="R160" s="4">
        <v>2</v>
      </c>
      <c r="S160" s="4" t="s">
        <v>601</v>
      </c>
      <c r="T160">
        <v>50</v>
      </c>
      <c r="U160">
        <v>25</v>
      </c>
      <c r="W160" s="4" t="s">
        <v>666</v>
      </c>
    </row>
    <row r="161" spans="1:23" hidden="1" x14ac:dyDescent="0.25">
      <c r="A161" t="s">
        <v>340</v>
      </c>
      <c r="B161"/>
      <c r="C161" s="2" t="str">
        <f t="shared" si="0"/>
        <v>Blessed Assurance (D)</v>
      </c>
      <c r="D161" s="2"/>
      <c r="E161" s="2" t="str">
        <f t="shared" si="1"/>
        <v>Blessed Assurance</v>
      </c>
      <c r="F161" t="s">
        <v>419</v>
      </c>
      <c r="G161" s="2" t="s">
        <v>122</v>
      </c>
      <c r="H161" s="2" t="s">
        <v>122</v>
      </c>
      <c r="I161" s="4">
        <v>66</v>
      </c>
      <c r="J161" s="6" t="s">
        <v>361</v>
      </c>
      <c r="K161" s="4">
        <v>22324</v>
      </c>
      <c r="L161" s="4">
        <v>1873</v>
      </c>
      <c r="M161" s="11" t="s">
        <v>112</v>
      </c>
      <c r="N161" s="4" t="s">
        <v>328</v>
      </c>
      <c r="O161">
        <v>25</v>
      </c>
      <c r="P161" s="4">
        <v>1</v>
      </c>
      <c r="Q161" s="4">
        <v>1</v>
      </c>
      <c r="R161" s="4">
        <v>2</v>
      </c>
      <c r="S161" s="4" t="s">
        <v>601</v>
      </c>
      <c r="T161">
        <v>96</v>
      </c>
      <c r="U161">
        <v>48</v>
      </c>
    </row>
    <row r="162" spans="1:23" hidden="1" x14ac:dyDescent="0.25">
      <c r="A162" t="s">
        <v>31</v>
      </c>
      <c r="B162"/>
      <c r="C162" s="2" t="str">
        <f t="shared" si="0"/>
        <v>Blessed Be Your Name (B)</v>
      </c>
      <c r="D162" s="2"/>
      <c r="E162" s="2" t="str">
        <f t="shared" si="1"/>
        <v>Blessed Be Your Name</v>
      </c>
      <c r="F162" t="s">
        <v>420</v>
      </c>
      <c r="G162" s="2" t="s">
        <v>136</v>
      </c>
      <c r="H162" s="2" t="s">
        <v>136</v>
      </c>
      <c r="I162" s="4">
        <v>116</v>
      </c>
      <c r="J162" s="4" t="s">
        <v>11</v>
      </c>
      <c r="K162" s="8">
        <v>3798438</v>
      </c>
      <c r="L162" s="4">
        <v>2002</v>
      </c>
      <c r="M162" s="11" t="s">
        <v>16</v>
      </c>
      <c r="N162" s="4" t="s">
        <v>7</v>
      </c>
      <c r="O162">
        <v>26</v>
      </c>
      <c r="P162" s="4">
        <v>2</v>
      </c>
      <c r="Q162" s="4">
        <v>2</v>
      </c>
      <c r="R162" s="4">
        <v>2</v>
      </c>
      <c r="S162" s="4" t="s">
        <v>601</v>
      </c>
      <c r="T162">
        <v>57</v>
      </c>
      <c r="U162">
        <v>29</v>
      </c>
      <c r="W162" s="4" t="s">
        <v>667</v>
      </c>
    </row>
    <row r="163" spans="1:23" hidden="1" x14ac:dyDescent="0.25">
      <c r="A163" t="s">
        <v>150</v>
      </c>
      <c r="B163"/>
      <c r="C163" s="2" t="str">
        <f t="shared" si="0"/>
        <v>Break Every Chain (F)</v>
      </c>
      <c r="D163" s="2"/>
      <c r="E163" s="2" t="str">
        <f t="shared" si="1"/>
        <v>Break Every Chain</v>
      </c>
      <c r="F163" t="s">
        <v>421</v>
      </c>
      <c r="G163" s="2" t="s">
        <v>146</v>
      </c>
      <c r="H163" s="2" t="s">
        <v>168</v>
      </c>
      <c r="I163" s="4">
        <v>67</v>
      </c>
      <c r="J163" s="6" t="s">
        <v>11</v>
      </c>
      <c r="K163" s="10">
        <v>5910977</v>
      </c>
      <c r="L163" s="4">
        <v>2009</v>
      </c>
      <c r="M163" s="11" t="s">
        <v>109</v>
      </c>
      <c r="N163" s="4" t="s">
        <v>7</v>
      </c>
      <c r="O163">
        <v>27</v>
      </c>
      <c r="P163" s="4">
        <v>4</v>
      </c>
      <c r="Q163" s="4">
        <v>2</v>
      </c>
      <c r="R163" s="4">
        <v>2</v>
      </c>
      <c r="S163" s="4" t="s">
        <v>601</v>
      </c>
      <c r="T163">
        <v>65</v>
      </c>
      <c r="U163">
        <v>33</v>
      </c>
    </row>
    <row r="164" spans="1:23" hidden="1" x14ac:dyDescent="0.25">
      <c r="A164" t="s">
        <v>582</v>
      </c>
      <c r="B164" t="s">
        <v>337</v>
      </c>
      <c r="C164" s="2" t="str">
        <f t="shared" si="0"/>
        <v>Broken Vessels (Amazing Grace) (G)</v>
      </c>
      <c r="D164" s="2"/>
      <c r="E164" s="2" t="str">
        <f t="shared" si="1"/>
        <v>Broken Vessels (Amazing Grace)</v>
      </c>
      <c r="F164" t="s">
        <v>422</v>
      </c>
      <c r="G164" s="2" t="s">
        <v>132</v>
      </c>
      <c r="H164" s="2" t="s">
        <v>132</v>
      </c>
      <c r="I164" s="4">
        <v>70</v>
      </c>
      <c r="J164" s="4" t="s">
        <v>11</v>
      </c>
      <c r="K164" s="8">
        <v>7019974</v>
      </c>
      <c r="L164" s="4">
        <v>2014</v>
      </c>
      <c r="M164" s="11" t="s">
        <v>87</v>
      </c>
      <c r="N164" s="4" t="s">
        <v>7</v>
      </c>
      <c r="O164">
        <v>28</v>
      </c>
      <c r="P164" s="4">
        <v>3</v>
      </c>
      <c r="Q164" s="4">
        <v>2</v>
      </c>
      <c r="R164" s="4">
        <v>2</v>
      </c>
      <c r="S164" s="4" t="s">
        <v>601</v>
      </c>
      <c r="T164">
        <v>61</v>
      </c>
      <c r="U164">
        <v>31</v>
      </c>
    </row>
    <row r="165" spans="1:23" hidden="1" x14ac:dyDescent="0.25">
      <c r="A165" t="s">
        <v>32</v>
      </c>
      <c r="B165"/>
      <c r="C165" s="2" t="str">
        <f t="shared" si="0"/>
        <v>Build My Life (G)</v>
      </c>
      <c r="D165" s="2"/>
      <c r="E165" s="2" t="str">
        <f t="shared" si="1"/>
        <v>Build My Life</v>
      </c>
      <c r="F165" t="s">
        <v>423</v>
      </c>
      <c r="G165" s="2" t="s">
        <v>132</v>
      </c>
      <c r="H165" s="2" t="s">
        <v>132</v>
      </c>
      <c r="I165" s="4">
        <v>70</v>
      </c>
      <c r="J165" s="4" t="s">
        <v>11</v>
      </c>
      <c r="K165" s="8">
        <v>7070345</v>
      </c>
      <c r="L165" s="4">
        <v>2016</v>
      </c>
      <c r="M165" s="11" t="s">
        <v>88</v>
      </c>
      <c r="N165" s="4" t="s">
        <v>7</v>
      </c>
      <c r="O165">
        <v>29</v>
      </c>
      <c r="P165" s="4">
        <v>2</v>
      </c>
      <c r="Q165" s="4">
        <v>2</v>
      </c>
      <c r="R165" s="4">
        <v>2</v>
      </c>
      <c r="S165" s="4" t="s">
        <v>601</v>
      </c>
      <c r="T165">
        <v>59</v>
      </c>
      <c r="U165">
        <v>30</v>
      </c>
    </row>
    <row r="166" spans="1:23" hidden="1" x14ac:dyDescent="0.25">
      <c r="A166" t="s">
        <v>151</v>
      </c>
      <c r="B166"/>
      <c r="C166" s="2" t="str">
        <f t="shared" si="0"/>
        <v>Build Your Kingdom Here (D)</v>
      </c>
      <c r="D166" s="2"/>
      <c r="E166" s="2" t="str">
        <f t="shared" si="1"/>
        <v>Build Your Kingdom Here</v>
      </c>
      <c r="F166" t="s">
        <v>424</v>
      </c>
      <c r="G166" s="2" t="s">
        <v>122</v>
      </c>
      <c r="H166" s="2" t="s">
        <v>122</v>
      </c>
      <c r="I166" s="4">
        <v>137</v>
      </c>
      <c r="J166" s="6" t="s">
        <v>11</v>
      </c>
      <c r="K166" s="10">
        <v>6186078</v>
      </c>
      <c r="L166" s="4">
        <v>2011</v>
      </c>
      <c r="M166" s="11" t="s">
        <v>16</v>
      </c>
      <c r="N166" s="4" t="s">
        <v>7</v>
      </c>
      <c r="O166">
        <v>30</v>
      </c>
      <c r="P166" s="4">
        <v>3</v>
      </c>
      <c r="Q166" s="4">
        <v>2</v>
      </c>
      <c r="R166" s="4">
        <v>2</v>
      </c>
      <c r="S166" s="4" t="s">
        <v>601</v>
      </c>
      <c r="T166">
        <v>69</v>
      </c>
      <c r="U166">
        <v>35</v>
      </c>
    </row>
    <row r="167" spans="1:23" hidden="1" x14ac:dyDescent="0.25">
      <c r="A167" t="s">
        <v>212</v>
      </c>
      <c r="B167"/>
      <c r="C167" s="2" t="str">
        <f t="shared" si="0"/>
        <v>Came To My Rescue (C)</v>
      </c>
      <c r="D167" s="2" t="s">
        <v>133</v>
      </c>
      <c r="E167" s="2" t="str">
        <f t="shared" si="1"/>
        <v>Came To My Rescue</v>
      </c>
      <c r="F167" t="s">
        <v>425</v>
      </c>
      <c r="G167" s="2" t="s">
        <v>133</v>
      </c>
      <c r="H167" s="2" t="s">
        <v>133</v>
      </c>
      <c r="I167" s="4">
        <v>83</v>
      </c>
      <c r="J167" s="6" t="s">
        <v>11</v>
      </c>
      <c r="K167" s="4">
        <v>4705190</v>
      </c>
      <c r="L167" s="4">
        <v>2005</v>
      </c>
      <c r="M167" s="4" t="s">
        <v>87</v>
      </c>
      <c r="N167" s="4" t="s">
        <v>7</v>
      </c>
      <c r="O167">
        <v>31</v>
      </c>
      <c r="P167" s="4">
        <v>3</v>
      </c>
      <c r="Q167" s="4">
        <v>1</v>
      </c>
      <c r="R167" s="4">
        <v>1</v>
      </c>
      <c r="S167" s="4" t="s">
        <v>601</v>
      </c>
      <c r="T167">
        <v>77</v>
      </c>
      <c r="U167">
        <v>39</v>
      </c>
    </row>
    <row r="168" spans="1:23" hidden="1" x14ac:dyDescent="0.25">
      <c r="A168" t="s">
        <v>33</v>
      </c>
      <c r="B168"/>
      <c r="C168" s="2" t="str">
        <f t="shared" si="0"/>
        <v>Christ Is Enough (B)</v>
      </c>
      <c r="D168" s="2"/>
      <c r="E168" s="2" t="str">
        <f t="shared" si="1"/>
        <v>Christ Is Enough</v>
      </c>
      <c r="F168" t="s">
        <v>426</v>
      </c>
      <c r="G168" s="2" t="s">
        <v>136</v>
      </c>
      <c r="H168" s="2" t="s">
        <v>136</v>
      </c>
      <c r="I168" s="4">
        <v>82</v>
      </c>
      <c r="J168" s="4" t="s">
        <v>11</v>
      </c>
      <c r="K168" s="8">
        <v>6514035</v>
      </c>
      <c r="L168" s="4">
        <v>2012</v>
      </c>
      <c r="M168" s="4" t="s">
        <v>89</v>
      </c>
      <c r="N168" s="4" t="s">
        <v>7</v>
      </c>
      <c r="O168">
        <v>32</v>
      </c>
      <c r="P168" s="4">
        <v>4</v>
      </c>
      <c r="Q168" s="4">
        <v>2</v>
      </c>
      <c r="R168" s="4">
        <v>2</v>
      </c>
      <c r="S168" s="4" t="s">
        <v>601</v>
      </c>
      <c r="T168">
        <v>73</v>
      </c>
      <c r="U168">
        <v>37</v>
      </c>
      <c r="W168" s="4" t="s">
        <v>667</v>
      </c>
    </row>
    <row r="169" spans="1:23" hidden="1" x14ac:dyDescent="0.25">
      <c r="A169" t="s">
        <v>34</v>
      </c>
      <c r="B169"/>
      <c r="C169" s="2" t="str">
        <f t="shared" ref="C169:C200" si="2">_xlfn.CONCAT(A169, IF(ISBLANK(B169),," ("),B169,IF(ISBLANK(B169),,")"), " (",G169,")")</f>
        <v>Christ The Lord Is Risen Today (C)</v>
      </c>
      <c r="D169" s="2"/>
      <c r="E169" s="2" t="str">
        <f t="shared" ref="E169:E200" si="3">_xlfn.CONCAT(A169, IF(ISBLANK(B169),," ("),B169,IF(ISBLANK(B169),,")"))</f>
        <v>Christ The Lord Is Risen Today</v>
      </c>
      <c r="F169" t="s">
        <v>406</v>
      </c>
      <c r="G169" s="2" t="s">
        <v>133</v>
      </c>
      <c r="H169" s="2" t="s">
        <v>133</v>
      </c>
      <c r="I169" s="4">
        <v>90</v>
      </c>
      <c r="J169" s="4" t="s">
        <v>11</v>
      </c>
      <c r="K169" s="8">
        <v>27965</v>
      </c>
      <c r="L169" s="4">
        <v>1739</v>
      </c>
      <c r="M169" s="11" t="s">
        <v>112</v>
      </c>
      <c r="N169" s="4" t="s">
        <v>328</v>
      </c>
      <c r="O169">
        <v>34</v>
      </c>
      <c r="P169" s="4">
        <v>1</v>
      </c>
      <c r="Q169" s="4">
        <v>2</v>
      </c>
      <c r="R169" s="4">
        <v>2</v>
      </c>
      <c r="S169" s="4" t="s">
        <v>601</v>
      </c>
      <c r="T169">
        <v>112</v>
      </c>
      <c r="U169">
        <v>56</v>
      </c>
    </row>
    <row r="170" spans="1:23" hidden="1" x14ac:dyDescent="0.25">
      <c r="A170" t="s">
        <v>34</v>
      </c>
      <c r="B170" t="s">
        <v>558</v>
      </c>
      <c r="C170" s="2" t="str">
        <f t="shared" si="2"/>
        <v>Christ The Lord Is Risen Today (He Is Not Dead) (C)</v>
      </c>
      <c r="D170" s="2"/>
      <c r="E170" s="2" t="str">
        <f t="shared" si="3"/>
        <v>Christ The Lord Is Risen Today (He Is Not Dead)</v>
      </c>
      <c r="F170" t="s">
        <v>427</v>
      </c>
      <c r="G170" s="2" t="s">
        <v>133</v>
      </c>
      <c r="H170" s="2" t="s">
        <v>133</v>
      </c>
      <c r="I170" s="4">
        <v>118</v>
      </c>
      <c r="J170" s="4" t="s">
        <v>11</v>
      </c>
      <c r="K170" s="8">
        <v>7019316</v>
      </c>
      <c r="L170" s="4">
        <v>2014</v>
      </c>
      <c r="M170" s="11" t="s">
        <v>90</v>
      </c>
      <c r="N170" s="4" t="s">
        <v>7</v>
      </c>
      <c r="O170">
        <v>33</v>
      </c>
      <c r="P170" s="4">
        <v>3</v>
      </c>
      <c r="Q170" s="4">
        <v>2</v>
      </c>
      <c r="R170" s="4">
        <v>2</v>
      </c>
      <c r="S170" s="4" t="s">
        <v>601</v>
      </c>
      <c r="T170">
        <v>81</v>
      </c>
      <c r="U170">
        <v>41</v>
      </c>
      <c r="V170" s="4" t="s">
        <v>669</v>
      </c>
    </row>
    <row r="171" spans="1:23" hidden="1" x14ac:dyDescent="0.25">
      <c r="A171" t="s">
        <v>213</v>
      </c>
      <c r="B171"/>
      <c r="C171" s="2" t="str">
        <f t="shared" si="2"/>
        <v>Come Now Is The Time To Worship (D)</v>
      </c>
      <c r="D171" s="2"/>
      <c r="E171" s="2" t="str">
        <f t="shared" si="3"/>
        <v>Come Now Is The Time To Worship</v>
      </c>
      <c r="F171" t="s">
        <v>428</v>
      </c>
      <c r="G171" s="2" t="s">
        <v>122</v>
      </c>
      <c r="H171" s="2" t="s">
        <v>122</v>
      </c>
      <c r="I171" s="4">
        <v>98</v>
      </c>
      <c r="J171" s="6" t="s">
        <v>11</v>
      </c>
      <c r="K171" s="10">
        <v>2430948</v>
      </c>
      <c r="L171" s="4">
        <v>1998</v>
      </c>
      <c r="M171" s="11" t="s">
        <v>292</v>
      </c>
      <c r="N171" s="4" t="s">
        <v>602</v>
      </c>
      <c r="O171">
        <v>35</v>
      </c>
      <c r="P171" s="4">
        <v>2</v>
      </c>
      <c r="Q171" s="4">
        <v>1</v>
      </c>
      <c r="R171" s="4">
        <v>1</v>
      </c>
      <c r="S171" s="4" t="s">
        <v>601</v>
      </c>
      <c r="T171">
        <v>201</v>
      </c>
      <c r="U171">
        <v>101</v>
      </c>
    </row>
    <row r="172" spans="1:23" hidden="1" x14ac:dyDescent="0.25">
      <c r="A172" t="s">
        <v>360</v>
      </c>
      <c r="B172"/>
      <c r="C172" s="2" t="str">
        <f t="shared" si="2"/>
        <v>Come Thou Fount (D)</v>
      </c>
      <c r="D172" s="2"/>
      <c r="E172" s="2" t="str">
        <f t="shared" si="3"/>
        <v>Come Thou Fount</v>
      </c>
      <c r="F172" t="s">
        <v>429</v>
      </c>
      <c r="G172" s="2" t="s">
        <v>122</v>
      </c>
      <c r="H172" s="2" t="s">
        <v>122</v>
      </c>
      <c r="I172" s="4">
        <v>80</v>
      </c>
      <c r="J172" s="6" t="s">
        <v>18</v>
      </c>
      <c r="K172" s="4">
        <v>108389</v>
      </c>
      <c r="L172" s="4">
        <v>1758</v>
      </c>
      <c r="M172" s="11" t="s">
        <v>112</v>
      </c>
      <c r="N172" s="4" t="s">
        <v>328</v>
      </c>
      <c r="O172">
        <v>36</v>
      </c>
      <c r="P172" s="4">
        <v>1</v>
      </c>
      <c r="Q172" s="4">
        <v>2</v>
      </c>
      <c r="R172" s="4">
        <v>2</v>
      </c>
      <c r="S172" s="4" t="s">
        <v>601</v>
      </c>
      <c r="T172">
        <v>120</v>
      </c>
      <c r="U172">
        <v>60</v>
      </c>
    </row>
    <row r="173" spans="1:23" hidden="1" x14ac:dyDescent="0.25">
      <c r="A173" t="s">
        <v>35</v>
      </c>
      <c r="B173"/>
      <c r="C173" s="2" t="str">
        <f t="shared" si="2"/>
        <v>Cornerstone (C)</v>
      </c>
      <c r="D173" s="2"/>
      <c r="E173" s="2" t="str">
        <f t="shared" si="3"/>
        <v>Cornerstone</v>
      </c>
      <c r="F173" t="s">
        <v>430</v>
      </c>
      <c r="G173" s="2" t="s">
        <v>133</v>
      </c>
      <c r="H173" s="2" t="s">
        <v>133</v>
      </c>
      <c r="I173" s="4">
        <v>71</v>
      </c>
      <c r="J173" s="4" t="s">
        <v>11</v>
      </c>
      <c r="K173" s="8">
        <v>6158927</v>
      </c>
      <c r="L173" s="4">
        <v>2011</v>
      </c>
      <c r="M173" s="11" t="s">
        <v>87</v>
      </c>
      <c r="N173" s="4" t="s">
        <v>7</v>
      </c>
      <c r="O173">
        <v>37</v>
      </c>
      <c r="P173" s="4">
        <v>3</v>
      </c>
      <c r="Q173" s="4">
        <v>2</v>
      </c>
      <c r="R173" s="4">
        <v>2</v>
      </c>
      <c r="S173" s="4" t="s">
        <v>601</v>
      </c>
      <c r="T173">
        <v>85</v>
      </c>
      <c r="U173">
        <v>43</v>
      </c>
    </row>
    <row r="174" spans="1:23" hidden="1" x14ac:dyDescent="0.25">
      <c r="A174" t="s">
        <v>583</v>
      </c>
      <c r="B174" t="s">
        <v>225</v>
      </c>
      <c r="C174" s="2" t="str">
        <f t="shared" si="2"/>
        <v>Crown Him (Majesty) (D)</v>
      </c>
      <c r="D174" s="2"/>
      <c r="E174" s="2" t="str">
        <f t="shared" si="3"/>
        <v>Crown Him (Majesty)</v>
      </c>
      <c r="F174" t="s">
        <v>411</v>
      </c>
      <c r="G174" s="2" t="s">
        <v>122</v>
      </c>
      <c r="H174" s="2" t="s">
        <v>301</v>
      </c>
      <c r="I174" s="4">
        <v>76</v>
      </c>
      <c r="J174" s="6" t="s">
        <v>11</v>
      </c>
      <c r="K174" s="10">
        <v>6463818</v>
      </c>
      <c r="L174" s="4">
        <v>2013</v>
      </c>
      <c r="M174" s="11" t="s">
        <v>167</v>
      </c>
      <c r="N174" s="4" t="s">
        <v>7</v>
      </c>
      <c r="O174">
        <v>38</v>
      </c>
      <c r="P174" s="4">
        <v>4</v>
      </c>
      <c r="Q174" s="4">
        <v>2</v>
      </c>
      <c r="R174" s="4">
        <v>2</v>
      </c>
      <c r="S174" s="4" t="s">
        <v>601</v>
      </c>
      <c r="T174">
        <v>89</v>
      </c>
      <c r="U174">
        <v>45</v>
      </c>
    </row>
    <row r="175" spans="1:23" hidden="1" x14ac:dyDescent="0.25">
      <c r="A175" t="s">
        <v>341</v>
      </c>
      <c r="B175"/>
      <c r="C175" s="2" t="str">
        <f t="shared" si="2"/>
        <v>Crown Him With Many Crowns (D)</v>
      </c>
      <c r="D175" s="2"/>
      <c r="E175" s="2" t="str">
        <f t="shared" si="3"/>
        <v>Crown Him With Many Crowns</v>
      </c>
      <c r="F175" t="s">
        <v>431</v>
      </c>
      <c r="G175" s="2" t="s">
        <v>122</v>
      </c>
      <c r="H175" s="2" t="s">
        <v>122</v>
      </c>
      <c r="I175" s="4">
        <v>92</v>
      </c>
      <c r="J175" s="6" t="s">
        <v>11</v>
      </c>
      <c r="K175" s="4">
        <v>23938</v>
      </c>
      <c r="L175" s="4">
        <v>1851</v>
      </c>
      <c r="M175" s="11" t="s">
        <v>112</v>
      </c>
      <c r="N175" s="4" t="s">
        <v>328</v>
      </c>
      <c r="O175">
        <v>39</v>
      </c>
      <c r="P175" s="4">
        <v>1</v>
      </c>
      <c r="Q175" s="4">
        <v>2</v>
      </c>
      <c r="R175" s="4">
        <v>2</v>
      </c>
      <c r="S175" s="4" t="s">
        <v>601</v>
      </c>
      <c r="T175">
        <v>128</v>
      </c>
      <c r="U175">
        <v>64</v>
      </c>
    </row>
    <row r="176" spans="1:23" hidden="1" x14ac:dyDescent="0.25">
      <c r="A176" t="s">
        <v>152</v>
      </c>
      <c r="B176"/>
      <c r="C176" s="2" t="str">
        <f t="shared" si="2"/>
        <v>Days Of Elijah (A)</v>
      </c>
      <c r="D176" s="2" t="s">
        <v>122</v>
      </c>
      <c r="E176" s="2" t="str">
        <f t="shared" si="3"/>
        <v>Days Of Elijah</v>
      </c>
      <c r="F176" t="s">
        <v>432</v>
      </c>
      <c r="G176" s="2" t="s">
        <v>8</v>
      </c>
      <c r="H176" s="2" t="s">
        <v>142</v>
      </c>
      <c r="I176" s="4">
        <v>95</v>
      </c>
      <c r="J176" s="6" t="s">
        <v>11</v>
      </c>
      <c r="K176" s="10">
        <v>1537904</v>
      </c>
      <c r="L176" s="4">
        <v>1996</v>
      </c>
      <c r="M176" s="11" t="s">
        <v>177</v>
      </c>
      <c r="N176" s="4" t="s">
        <v>602</v>
      </c>
      <c r="O176">
        <v>40</v>
      </c>
      <c r="P176" s="4">
        <v>3</v>
      </c>
      <c r="Q176" s="4">
        <v>2</v>
      </c>
      <c r="R176" s="4">
        <v>2</v>
      </c>
      <c r="S176" s="4" t="s">
        <v>601</v>
      </c>
      <c r="T176">
        <v>93</v>
      </c>
      <c r="U176">
        <v>47</v>
      </c>
    </row>
    <row r="177" spans="1:23" hidden="1" x14ac:dyDescent="0.25">
      <c r="A177" t="s">
        <v>242</v>
      </c>
      <c r="B177"/>
      <c r="C177" s="2" t="str">
        <f t="shared" si="2"/>
        <v>Death Was Arrested (B)</v>
      </c>
      <c r="D177" s="2"/>
      <c r="E177" s="2" t="str">
        <f t="shared" si="3"/>
        <v>Death Was Arrested</v>
      </c>
      <c r="F177" t="s">
        <v>433</v>
      </c>
      <c r="G177" s="2" t="s">
        <v>136</v>
      </c>
      <c r="H177" s="2" t="s">
        <v>136</v>
      </c>
      <c r="I177" s="4">
        <v>52</v>
      </c>
      <c r="J177" s="6" t="s">
        <v>94</v>
      </c>
      <c r="K177" s="4">
        <v>7046448</v>
      </c>
      <c r="L177" s="4">
        <v>2015</v>
      </c>
      <c r="M177" s="4" t="s">
        <v>321</v>
      </c>
      <c r="N177" s="4" t="s">
        <v>7</v>
      </c>
      <c r="O177">
        <v>41</v>
      </c>
      <c r="P177" s="4">
        <v>4</v>
      </c>
      <c r="Q177" s="4">
        <v>2</v>
      </c>
      <c r="R177" s="4">
        <v>2</v>
      </c>
      <c r="S177" s="4" t="s">
        <v>601</v>
      </c>
      <c r="T177">
        <v>97</v>
      </c>
      <c r="U177">
        <v>49</v>
      </c>
      <c r="V177" s="4" t="s">
        <v>669</v>
      </c>
      <c r="W177" s="4" t="s">
        <v>667</v>
      </c>
    </row>
    <row r="178" spans="1:23" hidden="1" x14ac:dyDescent="0.25">
      <c r="A178" t="s">
        <v>36</v>
      </c>
      <c r="B178"/>
      <c r="C178" s="2" t="str">
        <f t="shared" si="2"/>
        <v>Death Where Is Your Sting (C)</v>
      </c>
      <c r="D178" s="2"/>
      <c r="E178" s="2" t="str">
        <f t="shared" si="3"/>
        <v>Death Where Is Your Sting</v>
      </c>
      <c r="F178" t="s">
        <v>434</v>
      </c>
      <c r="G178" s="2" t="s">
        <v>133</v>
      </c>
      <c r="H178" s="2" t="s">
        <v>133</v>
      </c>
      <c r="I178" s="4">
        <v>79</v>
      </c>
      <c r="J178" s="6" t="s">
        <v>11</v>
      </c>
      <c r="K178" s="10">
        <v>7102440</v>
      </c>
      <c r="L178" s="4">
        <v>2017</v>
      </c>
      <c r="M178" s="11" t="s">
        <v>91</v>
      </c>
      <c r="N178" s="4" t="s">
        <v>7</v>
      </c>
      <c r="O178">
        <v>42</v>
      </c>
      <c r="P178" s="4">
        <v>3</v>
      </c>
      <c r="Q178" s="4">
        <v>2</v>
      </c>
      <c r="R178" s="4">
        <v>2</v>
      </c>
      <c r="S178" s="4" t="s">
        <v>601</v>
      </c>
      <c r="T178">
        <v>109</v>
      </c>
      <c r="U178">
        <v>55</v>
      </c>
    </row>
    <row r="179" spans="1:23" hidden="1" x14ac:dyDescent="0.25">
      <c r="A179" t="s">
        <v>37</v>
      </c>
      <c r="B179"/>
      <c r="C179" s="2" t="str">
        <f t="shared" si="2"/>
        <v>Do It Again (A)</v>
      </c>
      <c r="D179" s="2"/>
      <c r="E179" s="2" t="str">
        <f t="shared" si="3"/>
        <v>Do It Again</v>
      </c>
      <c r="F179" t="s">
        <v>435</v>
      </c>
      <c r="G179" s="2" t="s">
        <v>8</v>
      </c>
      <c r="H179" s="2" t="s">
        <v>142</v>
      </c>
      <c r="I179" s="4">
        <v>86</v>
      </c>
      <c r="J179" s="4" t="s">
        <v>11</v>
      </c>
      <c r="K179" s="8">
        <v>7067555</v>
      </c>
      <c r="L179" s="4">
        <v>2016</v>
      </c>
      <c r="M179" s="11" t="s">
        <v>92</v>
      </c>
      <c r="N179" s="4" t="s">
        <v>7</v>
      </c>
      <c r="O179">
        <v>43</v>
      </c>
      <c r="P179" s="4">
        <v>4</v>
      </c>
      <c r="Q179" s="4">
        <v>2</v>
      </c>
      <c r="R179" s="4">
        <v>2</v>
      </c>
      <c r="S179" s="4" t="s">
        <v>601</v>
      </c>
      <c r="T179">
        <v>101</v>
      </c>
      <c r="U179">
        <v>51</v>
      </c>
    </row>
    <row r="180" spans="1:23" hidden="1" x14ac:dyDescent="0.25">
      <c r="A180" t="s">
        <v>134</v>
      </c>
      <c r="B180"/>
      <c r="C180" s="2" t="str">
        <f t="shared" si="2"/>
        <v>Even So Come (G)</v>
      </c>
      <c r="D180" s="2" t="s">
        <v>12</v>
      </c>
      <c r="E180" s="2" t="str">
        <f t="shared" si="3"/>
        <v>Even So Come</v>
      </c>
      <c r="F180" t="s">
        <v>436</v>
      </c>
      <c r="G180" s="2" t="s">
        <v>132</v>
      </c>
      <c r="H180" s="2" t="s">
        <v>132</v>
      </c>
      <c r="I180" s="4">
        <v>163</v>
      </c>
      <c r="J180" s="6" t="s">
        <v>94</v>
      </c>
      <c r="K180" s="10">
        <v>7036288</v>
      </c>
      <c r="L180" s="4">
        <v>2015</v>
      </c>
      <c r="M180" s="11" t="s">
        <v>166</v>
      </c>
      <c r="N180" s="4" t="s">
        <v>7</v>
      </c>
      <c r="O180">
        <v>44</v>
      </c>
      <c r="P180" s="4">
        <v>4</v>
      </c>
      <c r="Q180" s="4">
        <v>3</v>
      </c>
      <c r="R180" s="4">
        <v>3</v>
      </c>
      <c r="S180" s="4" t="s">
        <v>601</v>
      </c>
      <c r="T180">
        <v>105</v>
      </c>
      <c r="U180">
        <v>53</v>
      </c>
    </row>
    <row r="181" spans="1:23" hidden="1" x14ac:dyDescent="0.25">
      <c r="A181" t="s">
        <v>153</v>
      </c>
      <c r="B181"/>
      <c r="C181" s="2" t="str">
        <f t="shared" si="2"/>
        <v>Ever Be (D)</v>
      </c>
      <c r="D181" s="2"/>
      <c r="E181" s="2" t="str">
        <f t="shared" si="3"/>
        <v>Ever Be</v>
      </c>
      <c r="F181" t="s">
        <v>437</v>
      </c>
      <c r="G181" s="2" t="s">
        <v>122</v>
      </c>
      <c r="H181" s="2" t="s">
        <v>122</v>
      </c>
      <c r="I181" s="4">
        <v>69</v>
      </c>
      <c r="J181" s="6" t="s">
        <v>11</v>
      </c>
      <c r="K181" s="10">
        <v>7030065</v>
      </c>
      <c r="L181" s="4">
        <v>2014</v>
      </c>
      <c r="M181" s="11" t="s">
        <v>114</v>
      </c>
      <c r="N181" s="4" t="s">
        <v>7</v>
      </c>
      <c r="O181">
        <v>45</v>
      </c>
      <c r="P181" s="4">
        <v>3</v>
      </c>
      <c r="Q181" s="4">
        <v>2</v>
      </c>
      <c r="R181" s="4">
        <v>2</v>
      </c>
      <c r="S181" s="4" t="s">
        <v>601</v>
      </c>
      <c r="T181">
        <v>117</v>
      </c>
      <c r="U181">
        <v>59</v>
      </c>
    </row>
    <row r="182" spans="1:23" hidden="1" x14ac:dyDescent="0.25">
      <c r="A182" t="s">
        <v>246</v>
      </c>
      <c r="B182"/>
      <c r="C182" s="2" t="str">
        <f t="shared" si="2"/>
        <v>Everlasting God (A)</v>
      </c>
      <c r="D182" s="2"/>
      <c r="E182" s="2" t="str">
        <f t="shared" si="3"/>
        <v>Everlasting God</v>
      </c>
      <c r="F182" t="s">
        <v>438</v>
      </c>
      <c r="G182" s="2" t="s">
        <v>8</v>
      </c>
      <c r="H182" s="2" t="s">
        <v>142</v>
      </c>
      <c r="I182" s="4">
        <v>100</v>
      </c>
      <c r="J182" s="6" t="s">
        <v>11</v>
      </c>
      <c r="K182" s="4">
        <v>4556538</v>
      </c>
      <c r="L182" s="4">
        <v>2005</v>
      </c>
      <c r="M182" s="4" t="s">
        <v>16</v>
      </c>
      <c r="N182" s="4" t="s">
        <v>7</v>
      </c>
      <c r="O182">
        <v>46</v>
      </c>
      <c r="P182" s="4">
        <v>3</v>
      </c>
      <c r="Q182" s="4">
        <v>1</v>
      </c>
      <c r="R182" s="4">
        <v>1</v>
      </c>
      <c r="S182" s="4" t="s">
        <v>601</v>
      </c>
      <c r="T182">
        <v>125</v>
      </c>
      <c r="U182">
        <v>63</v>
      </c>
    </row>
    <row r="183" spans="1:23" hidden="1" x14ac:dyDescent="0.25">
      <c r="A183" t="s">
        <v>38</v>
      </c>
      <c r="B183"/>
      <c r="C183" s="2" t="str">
        <f t="shared" si="2"/>
        <v>Faithful (F)</v>
      </c>
      <c r="D183" s="2" t="s">
        <v>146</v>
      </c>
      <c r="E183" s="2" t="str">
        <f t="shared" si="3"/>
        <v>Faithful</v>
      </c>
      <c r="F183" t="s">
        <v>439</v>
      </c>
      <c r="G183" s="2" t="s">
        <v>146</v>
      </c>
      <c r="H183" s="2" t="s">
        <v>197</v>
      </c>
      <c r="I183" s="4">
        <v>66</v>
      </c>
      <c r="J183" s="4" t="s">
        <v>11</v>
      </c>
      <c r="K183" s="7">
        <v>5869877</v>
      </c>
      <c r="L183" s="4">
        <v>2010</v>
      </c>
      <c r="M183" s="4" t="s">
        <v>15</v>
      </c>
      <c r="N183" s="4" t="s">
        <v>7</v>
      </c>
      <c r="O183">
        <v>47</v>
      </c>
      <c r="P183" s="4">
        <v>4</v>
      </c>
      <c r="Q183" s="4">
        <v>2</v>
      </c>
      <c r="R183" s="4" t="s">
        <v>551</v>
      </c>
      <c r="S183" s="4" t="s">
        <v>601</v>
      </c>
      <c r="T183">
        <v>113</v>
      </c>
      <c r="U183">
        <v>57</v>
      </c>
    </row>
    <row r="184" spans="1:23" hidden="1" x14ac:dyDescent="0.25">
      <c r="A184" t="s">
        <v>39</v>
      </c>
      <c r="B184"/>
      <c r="C184" s="2" t="str">
        <f t="shared" si="2"/>
        <v>Forever (A)</v>
      </c>
      <c r="D184" s="2"/>
      <c r="E184" s="2" t="str">
        <f t="shared" si="3"/>
        <v>Forever</v>
      </c>
      <c r="F184" t="s">
        <v>440</v>
      </c>
      <c r="G184" s="2" t="s">
        <v>8</v>
      </c>
      <c r="H184" s="2" t="s">
        <v>8</v>
      </c>
      <c r="I184" s="4">
        <v>120</v>
      </c>
      <c r="J184" s="6" t="s">
        <v>11</v>
      </c>
      <c r="K184" s="10">
        <v>3148428</v>
      </c>
      <c r="L184" s="4">
        <v>2001</v>
      </c>
      <c r="M184" s="11" t="s">
        <v>15</v>
      </c>
      <c r="N184" s="4" t="s">
        <v>7</v>
      </c>
      <c r="O184">
        <v>49</v>
      </c>
      <c r="P184" s="4">
        <v>2</v>
      </c>
      <c r="Q184" s="4">
        <v>2</v>
      </c>
      <c r="R184" s="4">
        <v>2</v>
      </c>
      <c r="S184" s="4" t="s">
        <v>601</v>
      </c>
      <c r="T184">
        <v>203</v>
      </c>
      <c r="U184">
        <v>102</v>
      </c>
    </row>
    <row r="185" spans="1:23" hidden="1" x14ac:dyDescent="0.25">
      <c r="A185" t="s">
        <v>39</v>
      </c>
      <c r="B185" t="s">
        <v>559</v>
      </c>
      <c r="C185" s="2" t="str">
        <f t="shared" si="2"/>
        <v>Forever (We Sing Hallelujah) (A)</v>
      </c>
      <c r="D185" s="2"/>
      <c r="E185" s="2" t="str">
        <f t="shared" si="3"/>
        <v>Forever (We Sing Hallelujah)</v>
      </c>
      <c r="F185" t="s">
        <v>441</v>
      </c>
      <c r="G185" s="2" t="s">
        <v>8</v>
      </c>
      <c r="H185" s="2" t="s">
        <v>8</v>
      </c>
      <c r="I185" s="4">
        <v>73</v>
      </c>
      <c r="J185" s="4" t="s">
        <v>11</v>
      </c>
      <c r="K185" s="8">
        <v>7001228</v>
      </c>
      <c r="L185" s="4">
        <v>2013</v>
      </c>
      <c r="M185" s="11" t="s">
        <v>93</v>
      </c>
      <c r="N185" s="4" t="s">
        <v>7</v>
      </c>
      <c r="O185">
        <v>48</v>
      </c>
      <c r="P185" s="4">
        <v>3</v>
      </c>
      <c r="Q185" s="4">
        <v>2</v>
      </c>
      <c r="R185" s="4">
        <v>2</v>
      </c>
      <c r="S185" s="4" t="s">
        <v>601</v>
      </c>
      <c r="T185">
        <v>141</v>
      </c>
      <c r="U185">
        <v>71</v>
      </c>
    </row>
    <row r="186" spans="1:23" hidden="1" x14ac:dyDescent="0.25">
      <c r="A186" t="s">
        <v>135</v>
      </c>
      <c r="B186"/>
      <c r="C186" s="2" t="str">
        <f t="shared" si="2"/>
        <v>Forgiven (B)</v>
      </c>
      <c r="D186" s="2"/>
      <c r="E186" s="2" t="str">
        <f t="shared" si="3"/>
        <v>Forgiven</v>
      </c>
      <c r="F186" t="s">
        <v>442</v>
      </c>
      <c r="G186" s="2" t="s">
        <v>136</v>
      </c>
      <c r="H186" s="2" t="s">
        <v>136</v>
      </c>
      <c r="I186" s="4">
        <v>76</v>
      </c>
      <c r="J186" s="6" t="s">
        <v>11</v>
      </c>
      <c r="K186" s="10">
        <v>7068806</v>
      </c>
      <c r="L186" s="4">
        <v>2016</v>
      </c>
      <c r="M186" s="11" t="s">
        <v>167</v>
      </c>
      <c r="N186" s="4" t="s">
        <v>7</v>
      </c>
      <c r="O186">
        <v>50</v>
      </c>
      <c r="P186" s="4">
        <v>4</v>
      </c>
      <c r="Q186" s="4">
        <v>2</v>
      </c>
      <c r="R186" s="4">
        <v>2</v>
      </c>
      <c r="S186" s="4" t="s">
        <v>601</v>
      </c>
      <c r="T186">
        <v>121</v>
      </c>
      <c r="U186">
        <v>61</v>
      </c>
      <c r="W186" s="4" t="s">
        <v>667</v>
      </c>
    </row>
    <row r="187" spans="1:23" hidden="1" x14ac:dyDescent="0.25">
      <c r="A187" t="s">
        <v>214</v>
      </c>
      <c r="B187"/>
      <c r="C187" s="2" t="str">
        <f t="shared" si="2"/>
        <v>From The Inside Out (C)</v>
      </c>
      <c r="D187" s="2"/>
      <c r="E187" s="2" t="str">
        <f t="shared" si="3"/>
        <v>From The Inside Out</v>
      </c>
      <c r="F187" t="s">
        <v>443</v>
      </c>
      <c r="G187" s="2" t="s">
        <v>133</v>
      </c>
      <c r="H187" s="2" t="s">
        <v>133</v>
      </c>
      <c r="I187" s="4">
        <v>76</v>
      </c>
      <c r="J187" s="6" t="s">
        <v>11</v>
      </c>
      <c r="K187" s="10">
        <v>4705176</v>
      </c>
      <c r="L187" s="4">
        <v>2005</v>
      </c>
      <c r="M187" s="4" t="s">
        <v>87</v>
      </c>
      <c r="N187" s="4" t="s">
        <v>7</v>
      </c>
      <c r="O187">
        <v>51</v>
      </c>
      <c r="P187" s="4">
        <v>3</v>
      </c>
      <c r="Q187" s="4">
        <v>2</v>
      </c>
      <c r="R187" s="4">
        <v>2</v>
      </c>
      <c r="S187" s="4" t="s">
        <v>601</v>
      </c>
      <c r="T187">
        <v>149</v>
      </c>
      <c r="U187">
        <v>75</v>
      </c>
    </row>
    <row r="188" spans="1:23" hidden="1" x14ac:dyDescent="0.25">
      <c r="A188" t="s">
        <v>154</v>
      </c>
      <c r="B188"/>
      <c r="C188" s="2" t="str">
        <f t="shared" si="2"/>
        <v>Glorious Day (D)</v>
      </c>
      <c r="D188" s="2"/>
      <c r="E188" s="2" t="str">
        <f t="shared" si="3"/>
        <v>Glorious Day</v>
      </c>
      <c r="F188" t="s">
        <v>444</v>
      </c>
      <c r="G188" s="2" t="s">
        <v>122</v>
      </c>
      <c r="H188" s="2" t="s">
        <v>122</v>
      </c>
      <c r="I188" s="4">
        <v>110</v>
      </c>
      <c r="J188" s="6" t="s">
        <v>11</v>
      </c>
      <c r="K188" s="10">
        <v>7081388</v>
      </c>
      <c r="L188" s="4">
        <v>2017</v>
      </c>
      <c r="M188" s="11" t="s">
        <v>179</v>
      </c>
      <c r="N188" s="4" t="s">
        <v>7</v>
      </c>
      <c r="O188">
        <v>53</v>
      </c>
      <c r="P188" s="4">
        <v>3</v>
      </c>
      <c r="Q188" s="4">
        <v>2</v>
      </c>
      <c r="R188" s="4">
        <v>2</v>
      </c>
      <c r="S188" s="4" t="s">
        <v>601</v>
      </c>
      <c r="T188">
        <v>153</v>
      </c>
      <c r="U188">
        <v>77</v>
      </c>
    </row>
    <row r="189" spans="1:23" hidden="1" x14ac:dyDescent="0.25">
      <c r="A189" t="s">
        <v>154</v>
      </c>
      <c r="B189" t="s">
        <v>560</v>
      </c>
      <c r="C189" s="2" t="str">
        <f t="shared" si="2"/>
        <v>Glorious Day (Living He Loved Me) (B)</v>
      </c>
      <c r="D189" s="2" t="s">
        <v>132</v>
      </c>
      <c r="E189" s="2" t="str">
        <f t="shared" si="3"/>
        <v>Glorious Day (Living He Loved Me)</v>
      </c>
      <c r="F189" t="s">
        <v>445</v>
      </c>
      <c r="G189" s="2" t="s">
        <v>136</v>
      </c>
      <c r="H189" s="2" t="s">
        <v>136</v>
      </c>
      <c r="I189" s="4">
        <v>120</v>
      </c>
      <c r="J189" s="6" t="s">
        <v>11</v>
      </c>
      <c r="K189" s="10">
        <v>5638022</v>
      </c>
      <c r="L189" s="4">
        <v>2009</v>
      </c>
      <c r="M189" s="11" t="s">
        <v>178</v>
      </c>
      <c r="N189" s="4" t="s">
        <v>7</v>
      </c>
      <c r="O189">
        <v>52</v>
      </c>
      <c r="P189" s="4">
        <v>4</v>
      </c>
      <c r="Q189" s="4">
        <v>2</v>
      </c>
      <c r="R189" s="4">
        <v>2</v>
      </c>
      <c r="S189" s="4" t="s">
        <v>601</v>
      </c>
      <c r="T189">
        <v>129</v>
      </c>
      <c r="U189">
        <v>65</v>
      </c>
      <c r="W189" s="4" t="s">
        <v>667</v>
      </c>
    </row>
    <row r="190" spans="1:23" hidden="1" x14ac:dyDescent="0.25">
      <c r="A190" t="s">
        <v>215</v>
      </c>
      <c r="B190"/>
      <c r="C190" s="2" t="str">
        <f t="shared" si="2"/>
        <v>God Of This City (C)</v>
      </c>
      <c r="D190" s="2"/>
      <c r="E190" s="2" t="str">
        <f t="shared" si="3"/>
        <v>God Of This City</v>
      </c>
      <c r="F190" t="s">
        <v>446</v>
      </c>
      <c r="G190" s="2" t="s">
        <v>133</v>
      </c>
      <c r="H190" s="2" t="s">
        <v>133</v>
      </c>
      <c r="I190" s="4">
        <v>80</v>
      </c>
      <c r="J190" s="6" t="s">
        <v>11</v>
      </c>
      <c r="K190" s="10">
        <v>5037070</v>
      </c>
      <c r="L190" s="4">
        <v>2006</v>
      </c>
      <c r="M190" s="11" t="s">
        <v>15</v>
      </c>
      <c r="N190" s="4" t="s">
        <v>7</v>
      </c>
      <c r="O190">
        <v>54</v>
      </c>
      <c r="P190" s="4">
        <v>4</v>
      </c>
      <c r="Q190" s="4">
        <v>2</v>
      </c>
      <c r="R190" s="4">
        <v>2</v>
      </c>
      <c r="S190" s="4" t="s">
        <v>601</v>
      </c>
      <c r="T190">
        <v>133</v>
      </c>
      <c r="U190">
        <v>67</v>
      </c>
    </row>
    <row r="191" spans="1:23" hidden="1" x14ac:dyDescent="0.25">
      <c r="A191" t="s">
        <v>216</v>
      </c>
      <c r="B191"/>
      <c r="C191" s="2" t="str">
        <f t="shared" si="2"/>
        <v>God Of Wonders (G)</v>
      </c>
      <c r="D191" s="2"/>
      <c r="E191" s="2" t="str">
        <f t="shared" si="3"/>
        <v>God Of Wonders</v>
      </c>
      <c r="F191" t="s">
        <v>447</v>
      </c>
      <c r="G191" s="2" t="s">
        <v>132</v>
      </c>
      <c r="H191" s="2" t="s">
        <v>294</v>
      </c>
      <c r="I191" s="4">
        <v>82</v>
      </c>
      <c r="J191" s="6" t="s">
        <v>11</v>
      </c>
      <c r="K191" s="10">
        <v>3118757</v>
      </c>
      <c r="L191" s="4">
        <v>2000</v>
      </c>
      <c r="M191" s="11" t="s">
        <v>293</v>
      </c>
      <c r="N191" s="4" t="s">
        <v>7</v>
      </c>
      <c r="O191">
        <v>55</v>
      </c>
      <c r="P191" s="4">
        <v>4</v>
      </c>
      <c r="Q191" s="4">
        <v>2</v>
      </c>
      <c r="R191" s="4">
        <v>2</v>
      </c>
      <c r="S191" s="4" t="s">
        <v>601</v>
      </c>
      <c r="T191">
        <v>137</v>
      </c>
      <c r="U191">
        <v>69</v>
      </c>
    </row>
    <row r="192" spans="1:23" hidden="1" x14ac:dyDescent="0.25">
      <c r="A192" t="s">
        <v>155</v>
      </c>
      <c r="B192"/>
      <c r="C192" s="2" t="str">
        <f t="shared" si="2"/>
        <v>Good Good Father (A)</v>
      </c>
      <c r="D192" s="2"/>
      <c r="E192" s="2" t="str">
        <f t="shared" si="3"/>
        <v>Good Good Father</v>
      </c>
      <c r="F192" t="s">
        <v>448</v>
      </c>
      <c r="G192" s="2" t="s">
        <v>8</v>
      </c>
      <c r="H192" s="2" t="s">
        <v>8</v>
      </c>
      <c r="I192" s="4">
        <v>48</v>
      </c>
      <c r="J192" s="6" t="s">
        <v>94</v>
      </c>
      <c r="K192" s="10">
        <v>7036612</v>
      </c>
      <c r="L192" s="4">
        <v>2014</v>
      </c>
      <c r="M192" s="4" t="s">
        <v>180</v>
      </c>
      <c r="N192" s="4" t="s">
        <v>7</v>
      </c>
      <c r="O192">
        <v>56</v>
      </c>
      <c r="P192" s="4">
        <v>3</v>
      </c>
      <c r="Q192" s="4">
        <v>2</v>
      </c>
      <c r="R192" s="4">
        <v>2</v>
      </c>
      <c r="S192" s="4" t="s">
        <v>601</v>
      </c>
      <c r="T192">
        <v>157</v>
      </c>
      <c r="U192">
        <v>79</v>
      </c>
    </row>
    <row r="193" spans="1:23" hidden="1" x14ac:dyDescent="0.25">
      <c r="A193" t="s">
        <v>308</v>
      </c>
      <c r="B193"/>
      <c r="C193" s="2" t="str">
        <f t="shared" si="2"/>
        <v>Gracefully Broken (A)</v>
      </c>
      <c r="D193" s="2"/>
      <c r="E193" s="2" t="str">
        <f t="shared" si="3"/>
        <v>Gracefully Broken</v>
      </c>
      <c r="F193" t="s">
        <v>449</v>
      </c>
      <c r="G193" s="2" t="s">
        <v>8</v>
      </c>
      <c r="H193" s="2" t="s">
        <v>8</v>
      </c>
      <c r="I193" s="4">
        <v>88</v>
      </c>
      <c r="J193" s="6" t="s">
        <v>11</v>
      </c>
      <c r="K193" s="4">
        <v>7091509</v>
      </c>
      <c r="L193" s="4">
        <v>2017</v>
      </c>
      <c r="M193" s="4" t="s">
        <v>109</v>
      </c>
      <c r="N193" s="4" t="s">
        <v>7</v>
      </c>
      <c r="O193">
        <v>57</v>
      </c>
      <c r="P193" s="4">
        <v>4</v>
      </c>
      <c r="Q193" s="4">
        <v>2</v>
      </c>
      <c r="R193" s="4">
        <v>2</v>
      </c>
      <c r="S193" s="4" t="s">
        <v>601</v>
      </c>
      <c r="T193">
        <v>145</v>
      </c>
      <c r="U193">
        <v>73</v>
      </c>
      <c r="V193" s="4" t="s">
        <v>669</v>
      </c>
    </row>
    <row r="194" spans="1:23" hidden="1" x14ac:dyDescent="0.25">
      <c r="A194" t="s">
        <v>40</v>
      </c>
      <c r="B194"/>
      <c r="C194" s="2" t="str">
        <f t="shared" si="2"/>
        <v>Great Are You Lord (A)</v>
      </c>
      <c r="D194" s="2"/>
      <c r="E194" s="2" t="str">
        <f t="shared" si="3"/>
        <v>Great Are You Lord</v>
      </c>
      <c r="F194" t="s">
        <v>450</v>
      </c>
      <c r="G194" s="2" t="s">
        <v>8</v>
      </c>
      <c r="H194" s="2" t="s">
        <v>8</v>
      </c>
      <c r="I194" s="4">
        <v>144</v>
      </c>
      <c r="J194" s="5" t="s">
        <v>94</v>
      </c>
      <c r="K194" s="8">
        <v>6460220</v>
      </c>
      <c r="L194" s="4">
        <v>2012</v>
      </c>
      <c r="M194" s="11" t="s">
        <v>95</v>
      </c>
      <c r="N194" s="4" t="s">
        <v>7</v>
      </c>
      <c r="O194">
        <v>58</v>
      </c>
      <c r="P194" s="4">
        <v>2</v>
      </c>
      <c r="Q194" s="4">
        <v>1</v>
      </c>
      <c r="R194" s="4">
        <v>1</v>
      </c>
      <c r="S194" s="4" t="s">
        <v>601</v>
      </c>
      <c r="T194">
        <v>210</v>
      </c>
      <c r="U194">
        <v>105</v>
      </c>
    </row>
    <row r="195" spans="1:23" hidden="1" x14ac:dyDescent="0.25">
      <c r="A195" t="s">
        <v>217</v>
      </c>
      <c r="B195"/>
      <c r="C195" s="2" t="str">
        <f t="shared" si="2"/>
        <v>Great I Am (D)</v>
      </c>
      <c r="D195" s="2"/>
      <c r="E195" s="2" t="str">
        <f t="shared" si="3"/>
        <v>Great I Am</v>
      </c>
      <c r="F195" t="s">
        <v>451</v>
      </c>
      <c r="G195" s="2" t="s">
        <v>122</v>
      </c>
      <c r="H195" s="2" t="s">
        <v>122</v>
      </c>
      <c r="I195" s="4">
        <v>80</v>
      </c>
      <c r="J195" s="6" t="s">
        <v>11</v>
      </c>
      <c r="K195" s="10">
        <v>5881491</v>
      </c>
      <c r="L195" s="4">
        <v>2011</v>
      </c>
      <c r="M195" s="11" t="s">
        <v>117</v>
      </c>
      <c r="N195" s="4" t="s">
        <v>7</v>
      </c>
      <c r="O195">
        <v>59</v>
      </c>
      <c r="P195" s="4">
        <v>3</v>
      </c>
      <c r="Q195" s="4">
        <v>2</v>
      </c>
      <c r="R195" s="4">
        <v>2</v>
      </c>
      <c r="S195" s="4" t="s">
        <v>601</v>
      </c>
      <c r="T195">
        <v>161</v>
      </c>
      <c r="U195">
        <v>81</v>
      </c>
    </row>
    <row r="196" spans="1:23" hidden="1" x14ac:dyDescent="0.25">
      <c r="A196" t="s">
        <v>352</v>
      </c>
      <c r="B196"/>
      <c r="C196" s="2" t="str">
        <f t="shared" si="2"/>
        <v>Great Is Thy Faithfulness (D)</v>
      </c>
      <c r="D196" s="2"/>
      <c r="E196" s="2" t="str">
        <f t="shared" si="3"/>
        <v>Great Is Thy Faithfulness</v>
      </c>
      <c r="F196" t="s">
        <v>452</v>
      </c>
      <c r="G196" s="2" t="s">
        <v>122</v>
      </c>
      <c r="H196" s="2" t="s">
        <v>122</v>
      </c>
      <c r="I196" s="4">
        <v>75</v>
      </c>
      <c r="J196" s="6" t="s">
        <v>18</v>
      </c>
      <c r="K196" s="4">
        <v>18723</v>
      </c>
      <c r="L196" s="4">
        <v>1923</v>
      </c>
      <c r="M196" s="11" t="s">
        <v>112</v>
      </c>
      <c r="N196" s="4" t="s">
        <v>328</v>
      </c>
      <c r="O196">
        <v>61</v>
      </c>
      <c r="P196" s="4">
        <v>2</v>
      </c>
      <c r="Q196" s="4">
        <v>1</v>
      </c>
      <c r="R196" s="4">
        <v>1</v>
      </c>
      <c r="S196" s="4" t="s">
        <v>601</v>
      </c>
      <c r="T196">
        <v>233</v>
      </c>
      <c r="U196">
        <v>83</v>
      </c>
    </row>
    <row r="197" spans="1:23" hidden="1" x14ac:dyDescent="0.25">
      <c r="A197" t="s">
        <v>352</v>
      </c>
      <c r="B197" t="s">
        <v>561</v>
      </c>
      <c r="C197" s="2" t="str">
        <f t="shared" si="2"/>
        <v>Great Is Thy Faithfulness (Beginning To End) (C)</v>
      </c>
      <c r="D197" s="2"/>
      <c r="E197" s="2" t="str">
        <f t="shared" si="3"/>
        <v>Great Is Thy Faithfulness (Beginning To End)</v>
      </c>
      <c r="F197" t="s">
        <v>453</v>
      </c>
      <c r="G197" s="2" t="s">
        <v>133</v>
      </c>
      <c r="H197" s="2" t="s">
        <v>133</v>
      </c>
      <c r="I197" s="4">
        <v>100</v>
      </c>
      <c r="J197" s="6" t="s">
        <v>18</v>
      </c>
      <c r="K197" s="4">
        <v>7109317</v>
      </c>
      <c r="L197" s="4">
        <v>2018</v>
      </c>
      <c r="M197" s="11" t="s">
        <v>375</v>
      </c>
      <c r="N197" s="4" t="s">
        <v>7</v>
      </c>
      <c r="O197">
        <v>60</v>
      </c>
      <c r="P197" s="4">
        <v>3</v>
      </c>
      <c r="Q197" s="4">
        <v>2</v>
      </c>
      <c r="R197" s="4">
        <v>2</v>
      </c>
      <c r="S197" s="4" t="s">
        <v>601</v>
      </c>
      <c r="T197">
        <v>165</v>
      </c>
      <c r="U197">
        <v>117</v>
      </c>
    </row>
    <row r="198" spans="1:23" hidden="1" x14ac:dyDescent="0.25">
      <c r="A198" t="s">
        <v>41</v>
      </c>
      <c r="B198"/>
      <c r="C198" s="2" t="str">
        <f t="shared" si="2"/>
        <v>Hallelujah For The Cross (D)</v>
      </c>
      <c r="D198" s="2"/>
      <c r="E198" s="2" t="str">
        <f t="shared" si="3"/>
        <v>Hallelujah For The Cross</v>
      </c>
      <c r="F198" t="s">
        <v>454</v>
      </c>
      <c r="G198" s="2" t="s">
        <v>122</v>
      </c>
      <c r="H198" s="2" t="s">
        <v>122</v>
      </c>
      <c r="I198" s="4">
        <v>75</v>
      </c>
      <c r="J198" s="4" t="s">
        <v>11</v>
      </c>
      <c r="K198" s="8">
        <v>7107551</v>
      </c>
      <c r="L198" s="4">
        <v>2018</v>
      </c>
      <c r="M198" s="11" t="s">
        <v>97</v>
      </c>
      <c r="N198" s="4" t="s">
        <v>7</v>
      </c>
      <c r="O198">
        <v>63</v>
      </c>
      <c r="P198" s="4">
        <v>5</v>
      </c>
      <c r="Q198" s="4">
        <v>2</v>
      </c>
      <c r="R198" s="4">
        <v>2</v>
      </c>
      <c r="S198" s="4" t="s">
        <v>601</v>
      </c>
      <c r="T198">
        <v>205</v>
      </c>
      <c r="U198">
        <v>103</v>
      </c>
      <c r="V198" s="4" t="s">
        <v>669</v>
      </c>
    </row>
    <row r="199" spans="1:23" hidden="1" x14ac:dyDescent="0.25">
      <c r="A199" t="s">
        <v>41</v>
      </c>
      <c r="B199" t="s">
        <v>562</v>
      </c>
      <c r="C199" s="2" t="str">
        <f t="shared" si="2"/>
        <v>Hallelujah For The Cross (Up To The Hill) (A)</v>
      </c>
      <c r="D199" s="2" t="s">
        <v>604</v>
      </c>
      <c r="E199" s="2" t="str">
        <f t="shared" si="3"/>
        <v>Hallelujah For The Cross (Up To The Hill)</v>
      </c>
      <c r="F199" t="s">
        <v>455</v>
      </c>
      <c r="G199" s="2" t="s">
        <v>8</v>
      </c>
      <c r="H199" s="2" t="s">
        <v>142</v>
      </c>
      <c r="I199" s="4">
        <v>115</v>
      </c>
      <c r="J199" s="4" t="s">
        <v>11</v>
      </c>
      <c r="K199" s="8">
        <v>6550556</v>
      </c>
      <c r="L199" s="4">
        <v>2012</v>
      </c>
      <c r="M199" s="11" t="s">
        <v>96</v>
      </c>
      <c r="N199" s="4" t="s">
        <v>7</v>
      </c>
      <c r="O199">
        <v>62</v>
      </c>
      <c r="P199" s="4">
        <v>3</v>
      </c>
      <c r="Q199" s="4">
        <v>2</v>
      </c>
      <c r="R199" s="4">
        <v>2</v>
      </c>
      <c r="S199" s="4" t="s">
        <v>601</v>
      </c>
      <c r="T199">
        <v>169</v>
      </c>
      <c r="U199">
        <v>85</v>
      </c>
      <c r="V199" s="4" t="s">
        <v>669</v>
      </c>
    </row>
    <row r="200" spans="1:23" hidden="1" x14ac:dyDescent="0.25">
      <c r="A200" t="s">
        <v>42</v>
      </c>
      <c r="B200"/>
      <c r="C200" s="2" t="str">
        <f t="shared" si="2"/>
        <v>He Reigns (G)</v>
      </c>
      <c r="D200" s="2"/>
      <c r="E200" s="2" t="str">
        <f t="shared" si="3"/>
        <v>He Reigns</v>
      </c>
      <c r="F200" t="s">
        <v>456</v>
      </c>
      <c r="G200" s="2" t="s">
        <v>132</v>
      </c>
      <c r="H200" s="2" t="s">
        <v>132</v>
      </c>
      <c r="I200" s="4">
        <v>94</v>
      </c>
      <c r="J200" s="4" t="s">
        <v>11</v>
      </c>
      <c r="K200" s="8">
        <v>4026635</v>
      </c>
      <c r="L200" s="4">
        <v>2003</v>
      </c>
      <c r="M200" s="11" t="s">
        <v>98</v>
      </c>
      <c r="N200" s="4" t="s">
        <v>7</v>
      </c>
      <c r="O200">
        <v>64</v>
      </c>
      <c r="P200" s="4">
        <v>3</v>
      </c>
      <c r="Q200" s="4">
        <v>2</v>
      </c>
      <c r="R200" s="4">
        <v>2</v>
      </c>
      <c r="S200" s="4" t="s">
        <v>601</v>
      </c>
      <c r="T200">
        <v>173</v>
      </c>
      <c r="U200">
        <v>87</v>
      </c>
    </row>
    <row r="201" spans="1:23" hidden="1" x14ac:dyDescent="0.25">
      <c r="A201" t="s">
        <v>43</v>
      </c>
      <c r="B201"/>
      <c r="C201" s="2" t="str">
        <f t="shared" ref="C201:C232" si="4">_xlfn.CONCAT(A201, IF(ISBLANK(B201),," ("),B201,IF(ISBLANK(B201),,")"), " (",G201,")")</f>
        <v>Healer (B)</v>
      </c>
      <c r="D201" s="2"/>
      <c r="E201" s="2" t="str">
        <f t="shared" ref="E201:E232" si="5">_xlfn.CONCAT(A201, IF(ISBLANK(B201),," ("),B201,IF(ISBLANK(B201),,")"))</f>
        <v>Healer</v>
      </c>
      <c r="F201" t="s">
        <v>457</v>
      </c>
      <c r="G201" s="2" t="s">
        <v>136</v>
      </c>
      <c r="H201" s="2" t="s">
        <v>136</v>
      </c>
      <c r="I201" s="4">
        <v>80</v>
      </c>
      <c r="J201" s="4" t="s">
        <v>11</v>
      </c>
      <c r="K201" s="8">
        <v>4873981</v>
      </c>
      <c r="L201" s="4">
        <v>2007</v>
      </c>
      <c r="M201" s="11" t="s">
        <v>100</v>
      </c>
      <c r="N201" s="4" t="s">
        <v>7</v>
      </c>
      <c r="O201">
        <v>65</v>
      </c>
      <c r="P201" s="4">
        <v>4</v>
      </c>
      <c r="Q201" s="4">
        <v>2</v>
      </c>
      <c r="R201" s="4">
        <v>2</v>
      </c>
      <c r="S201" s="4" t="s">
        <v>601</v>
      </c>
      <c r="T201">
        <v>177</v>
      </c>
      <c r="U201">
        <v>89</v>
      </c>
      <c r="W201" s="4" t="s">
        <v>667</v>
      </c>
    </row>
    <row r="202" spans="1:23" hidden="1" x14ac:dyDescent="0.25">
      <c r="A202" t="s">
        <v>44</v>
      </c>
      <c r="B202"/>
      <c r="C202" s="2" t="str">
        <f t="shared" si="4"/>
        <v>Heart Of Worship, The (D)</v>
      </c>
      <c r="D202" s="2"/>
      <c r="E202" s="2" t="str">
        <f t="shared" si="5"/>
        <v>Heart Of Worship, The</v>
      </c>
      <c r="F202" t="s">
        <v>418</v>
      </c>
      <c r="G202" s="2" t="s">
        <v>122</v>
      </c>
      <c r="H202" s="2" t="s">
        <v>122</v>
      </c>
      <c r="I202" s="4">
        <v>70</v>
      </c>
      <c r="J202" s="4" t="s">
        <v>11</v>
      </c>
      <c r="K202" s="8">
        <v>2296522</v>
      </c>
      <c r="L202" s="4">
        <v>1999</v>
      </c>
      <c r="M202" s="11" t="s">
        <v>16</v>
      </c>
      <c r="N202" s="4" t="s">
        <v>602</v>
      </c>
      <c r="O202">
        <v>66</v>
      </c>
      <c r="P202" s="4">
        <v>2</v>
      </c>
      <c r="Q202" s="4">
        <v>1</v>
      </c>
      <c r="R202" s="4">
        <v>1</v>
      </c>
      <c r="S202" s="4" t="s">
        <v>601</v>
      </c>
      <c r="T202">
        <v>235</v>
      </c>
      <c r="U202">
        <v>118</v>
      </c>
    </row>
    <row r="203" spans="1:23" hidden="1" x14ac:dyDescent="0.25">
      <c r="A203" t="s">
        <v>45</v>
      </c>
      <c r="B203"/>
      <c r="C203" s="2" t="str">
        <f t="shared" si="4"/>
        <v>Here Again (C)</v>
      </c>
      <c r="D203" s="2"/>
      <c r="E203" s="2" t="str">
        <f t="shared" si="5"/>
        <v>Here Again</v>
      </c>
      <c r="F203" t="s">
        <v>458</v>
      </c>
      <c r="G203" s="2" t="s">
        <v>133</v>
      </c>
      <c r="H203" s="2" t="s">
        <v>133</v>
      </c>
      <c r="I203" s="4">
        <v>68</v>
      </c>
      <c r="J203" s="4" t="s">
        <v>11</v>
      </c>
      <c r="K203" s="8">
        <v>7111925</v>
      </c>
      <c r="L203" s="4">
        <v>2018</v>
      </c>
      <c r="M203" s="11" t="s">
        <v>101</v>
      </c>
      <c r="N203" s="4" t="s">
        <v>7</v>
      </c>
      <c r="O203">
        <v>67</v>
      </c>
      <c r="P203" s="4">
        <v>3</v>
      </c>
      <c r="Q203" s="4">
        <v>2</v>
      </c>
      <c r="R203" s="4">
        <v>2</v>
      </c>
      <c r="S203" s="4" t="s">
        <v>601</v>
      </c>
      <c r="T203">
        <v>181</v>
      </c>
      <c r="U203">
        <v>91</v>
      </c>
    </row>
    <row r="204" spans="1:23" hidden="1" x14ac:dyDescent="0.25">
      <c r="A204" t="s">
        <v>137</v>
      </c>
      <c r="B204"/>
      <c r="C204" s="2" t="str">
        <f t="shared" si="4"/>
        <v>Here For You (G)</v>
      </c>
      <c r="D204" s="2"/>
      <c r="E204" s="2" t="str">
        <f t="shared" si="5"/>
        <v>Here For You</v>
      </c>
      <c r="F204" t="s">
        <v>459</v>
      </c>
      <c r="G204" s="2" t="s">
        <v>132</v>
      </c>
      <c r="H204" s="2" t="s">
        <v>17</v>
      </c>
      <c r="I204" s="4">
        <v>85</v>
      </c>
      <c r="J204" s="6" t="s">
        <v>11</v>
      </c>
      <c r="K204" s="10">
        <v>5925649</v>
      </c>
      <c r="L204" s="4">
        <v>2011</v>
      </c>
      <c r="M204" s="11" t="s">
        <v>169</v>
      </c>
      <c r="N204" s="4" t="s">
        <v>7</v>
      </c>
      <c r="O204">
        <v>68</v>
      </c>
      <c r="P204" s="4">
        <v>3</v>
      </c>
      <c r="Q204" s="4">
        <v>2</v>
      </c>
      <c r="R204" s="4">
        <v>2</v>
      </c>
      <c r="S204" s="4" t="s">
        <v>601</v>
      </c>
      <c r="T204">
        <v>185</v>
      </c>
      <c r="U204">
        <v>93</v>
      </c>
    </row>
    <row r="205" spans="1:23" hidden="1" x14ac:dyDescent="0.25">
      <c r="A205" t="s">
        <v>46</v>
      </c>
      <c r="B205"/>
      <c r="C205" s="2" t="str">
        <f t="shared" si="4"/>
        <v>Here I Am To Worship (E)</v>
      </c>
      <c r="D205" s="2"/>
      <c r="E205" s="2" t="str">
        <f t="shared" si="5"/>
        <v>Here I Am To Worship</v>
      </c>
      <c r="F205" t="s">
        <v>414</v>
      </c>
      <c r="G205" s="2" t="s">
        <v>12</v>
      </c>
      <c r="H205" s="2" t="s">
        <v>12</v>
      </c>
      <c r="I205" s="4">
        <v>75</v>
      </c>
      <c r="J205" s="4" t="s">
        <v>11</v>
      </c>
      <c r="K205" s="8">
        <v>3266032</v>
      </c>
      <c r="L205" s="4">
        <v>2000</v>
      </c>
      <c r="M205" s="11" t="s">
        <v>16</v>
      </c>
      <c r="N205" s="4" t="s">
        <v>7</v>
      </c>
      <c r="O205">
        <v>69</v>
      </c>
      <c r="P205" s="4">
        <v>2</v>
      </c>
      <c r="Q205" s="4">
        <v>1</v>
      </c>
      <c r="R205" s="4">
        <v>1</v>
      </c>
      <c r="S205" s="4" t="s">
        <v>601</v>
      </c>
      <c r="T205">
        <v>257</v>
      </c>
      <c r="U205">
        <v>129</v>
      </c>
      <c r="W205" s="4" t="s">
        <v>666</v>
      </c>
    </row>
    <row r="206" spans="1:23" hidden="1" x14ac:dyDescent="0.25">
      <c r="A206" t="s">
        <v>47</v>
      </c>
      <c r="B206"/>
      <c r="C206" s="2" t="str">
        <f t="shared" si="4"/>
        <v>Here Is Love (G)</v>
      </c>
      <c r="D206" s="2"/>
      <c r="E206" s="2" t="str">
        <f t="shared" si="5"/>
        <v>Here Is Love</v>
      </c>
      <c r="F206" t="s">
        <v>460</v>
      </c>
      <c r="G206" s="2" t="s">
        <v>132</v>
      </c>
      <c r="H206" s="2" t="s">
        <v>132</v>
      </c>
      <c r="I206" s="4">
        <v>80</v>
      </c>
      <c r="J206" s="6" t="s">
        <v>18</v>
      </c>
      <c r="K206" s="8">
        <v>3287884</v>
      </c>
      <c r="L206" s="4">
        <v>2004</v>
      </c>
      <c r="M206" s="11" t="s">
        <v>16</v>
      </c>
      <c r="N206" s="4" t="s">
        <v>7</v>
      </c>
      <c r="O206">
        <v>70</v>
      </c>
      <c r="P206" s="4">
        <v>3</v>
      </c>
      <c r="Q206" s="4">
        <v>2</v>
      </c>
      <c r="R206" s="4">
        <v>2</v>
      </c>
      <c r="S206" s="4" t="s">
        <v>601</v>
      </c>
      <c r="T206">
        <v>189</v>
      </c>
      <c r="U206">
        <v>95</v>
      </c>
    </row>
    <row r="207" spans="1:23" hidden="1" x14ac:dyDescent="0.25">
      <c r="A207" t="s">
        <v>584</v>
      </c>
      <c r="B207" t="s">
        <v>563</v>
      </c>
      <c r="C207" s="2" t="str">
        <f t="shared" si="4"/>
        <v>Holy (Wedding Day) (A)</v>
      </c>
      <c r="D207" s="2"/>
      <c r="E207" s="2" t="str">
        <f t="shared" si="5"/>
        <v>Holy (Wedding Day)</v>
      </c>
      <c r="F207" t="s">
        <v>461</v>
      </c>
      <c r="G207" s="2" t="s">
        <v>8</v>
      </c>
      <c r="H207" s="2" t="s">
        <v>142</v>
      </c>
      <c r="I207" s="4">
        <v>57</v>
      </c>
      <c r="J207" s="6" t="s">
        <v>11</v>
      </c>
      <c r="K207" s="4">
        <v>6129798</v>
      </c>
      <c r="L207" s="4">
        <v>2011</v>
      </c>
      <c r="M207" s="4" t="s">
        <v>16</v>
      </c>
      <c r="N207" s="4" t="s">
        <v>7</v>
      </c>
      <c r="O207">
        <v>71</v>
      </c>
      <c r="P207" s="4">
        <v>3</v>
      </c>
      <c r="Q207" s="4">
        <v>2</v>
      </c>
      <c r="R207" s="4" t="s">
        <v>551</v>
      </c>
      <c r="S207" s="4" t="s">
        <v>601</v>
      </c>
      <c r="T207">
        <v>193</v>
      </c>
      <c r="U207">
        <v>97</v>
      </c>
      <c r="V207" s="4" t="s">
        <v>669</v>
      </c>
    </row>
    <row r="208" spans="1:23" hidden="1" x14ac:dyDescent="0.25">
      <c r="A208" t="s">
        <v>383</v>
      </c>
      <c r="B208"/>
      <c r="C208" s="2" t="str">
        <f t="shared" si="4"/>
        <v>Holy Holy Holy (D)</v>
      </c>
      <c r="D208" s="2"/>
      <c r="E208" s="2" t="str">
        <f t="shared" si="5"/>
        <v>Holy Holy Holy</v>
      </c>
      <c r="F208" t="s">
        <v>462</v>
      </c>
      <c r="G208" s="4" t="s">
        <v>122</v>
      </c>
      <c r="H208" s="4" t="s">
        <v>122</v>
      </c>
      <c r="J208" s="6" t="s">
        <v>11</v>
      </c>
      <c r="K208" s="4">
        <v>1156</v>
      </c>
      <c r="L208" s="4">
        <v>1826</v>
      </c>
      <c r="M208" s="4" t="s">
        <v>112</v>
      </c>
      <c r="N208" s="4" t="s">
        <v>328</v>
      </c>
      <c r="O208">
        <v>72</v>
      </c>
      <c r="P208" s="4">
        <v>1</v>
      </c>
      <c r="Q208" s="4">
        <v>2</v>
      </c>
      <c r="R208" s="4">
        <v>2</v>
      </c>
      <c r="S208" s="4" t="s">
        <v>601</v>
      </c>
      <c r="T208">
        <v>184</v>
      </c>
      <c r="U208">
        <v>92</v>
      </c>
    </row>
    <row r="209" spans="1:23" hidden="1" x14ac:dyDescent="0.25">
      <c r="A209" t="s">
        <v>219</v>
      </c>
      <c r="B209"/>
      <c r="C209" s="2" t="str">
        <f t="shared" si="4"/>
        <v>Hosanna (G)</v>
      </c>
      <c r="D209" s="2"/>
      <c r="E209" s="2" t="str">
        <f t="shared" si="5"/>
        <v>Hosanna</v>
      </c>
      <c r="F209" t="s">
        <v>463</v>
      </c>
      <c r="G209" s="2" t="s">
        <v>132</v>
      </c>
      <c r="H209" s="2" t="s">
        <v>132</v>
      </c>
      <c r="I209" s="4">
        <v>120</v>
      </c>
      <c r="J209" s="6" t="s">
        <v>11</v>
      </c>
      <c r="K209" s="4">
        <v>21545</v>
      </c>
      <c r="L209" s="4">
        <v>1985</v>
      </c>
      <c r="M209" s="11" t="s">
        <v>295</v>
      </c>
      <c r="N209" s="4" t="s">
        <v>602</v>
      </c>
      <c r="O209">
        <v>75</v>
      </c>
      <c r="P209" s="4">
        <v>1</v>
      </c>
      <c r="Q209" s="4">
        <v>1</v>
      </c>
      <c r="R209" s="4">
        <v>1</v>
      </c>
      <c r="S209" s="4" t="s">
        <v>601</v>
      </c>
      <c r="T209">
        <v>188</v>
      </c>
      <c r="U209">
        <v>94</v>
      </c>
    </row>
    <row r="210" spans="1:23" hidden="1" x14ac:dyDescent="0.25">
      <c r="A210" t="s">
        <v>219</v>
      </c>
      <c r="B210" t="s">
        <v>564</v>
      </c>
      <c r="C210" s="2" t="str">
        <f t="shared" si="4"/>
        <v>Hosanna (I See The King Of Glory) (E)</v>
      </c>
      <c r="D210" s="2"/>
      <c r="E210" s="2" t="str">
        <f t="shared" si="5"/>
        <v>Hosanna (I See The King Of Glory)</v>
      </c>
      <c r="F210" t="s">
        <v>464</v>
      </c>
      <c r="G210" s="2" t="s">
        <v>12</v>
      </c>
      <c r="H210" s="2" t="s">
        <v>12</v>
      </c>
      <c r="I210" s="4">
        <v>75</v>
      </c>
      <c r="J210" s="6" t="s">
        <v>11</v>
      </c>
      <c r="K210" s="10">
        <v>4785835</v>
      </c>
      <c r="L210" s="4">
        <v>2006</v>
      </c>
      <c r="M210" s="4" t="s">
        <v>87</v>
      </c>
      <c r="N210" s="4" t="s">
        <v>7</v>
      </c>
      <c r="O210">
        <v>73</v>
      </c>
      <c r="P210" s="4">
        <v>3</v>
      </c>
      <c r="Q210" s="4">
        <v>2</v>
      </c>
      <c r="R210" s="4">
        <v>2</v>
      </c>
      <c r="S210" s="4" t="s">
        <v>601</v>
      </c>
      <c r="T210">
        <v>197</v>
      </c>
      <c r="U210">
        <v>99</v>
      </c>
      <c r="W210" s="4" t="s">
        <v>666</v>
      </c>
    </row>
    <row r="211" spans="1:23" hidden="1" x14ac:dyDescent="0.25">
      <c r="A211" t="s">
        <v>219</v>
      </c>
      <c r="B211" t="s">
        <v>565</v>
      </c>
      <c r="C211" s="2" t="str">
        <f t="shared" si="4"/>
        <v>Hosanna (Praise Is Rising) (G)</v>
      </c>
      <c r="D211" s="2"/>
      <c r="E211" s="2" t="str">
        <f t="shared" si="5"/>
        <v>Hosanna (Praise Is Rising)</v>
      </c>
      <c r="F211" t="s">
        <v>465</v>
      </c>
      <c r="G211" s="2" t="s">
        <v>132</v>
      </c>
      <c r="H211" s="2" t="s">
        <v>132</v>
      </c>
      <c r="I211" s="4">
        <v>114</v>
      </c>
      <c r="J211" s="6" t="s">
        <v>11</v>
      </c>
      <c r="K211" s="10">
        <v>4662491</v>
      </c>
      <c r="L211" s="4">
        <v>2006</v>
      </c>
      <c r="M211" s="11" t="s">
        <v>16</v>
      </c>
      <c r="N211" s="4" t="s">
        <v>7</v>
      </c>
      <c r="O211">
        <v>74</v>
      </c>
      <c r="P211" s="4">
        <v>4</v>
      </c>
      <c r="Q211" s="4">
        <v>2</v>
      </c>
      <c r="R211" s="4">
        <v>2</v>
      </c>
      <c r="S211" s="4" t="s">
        <v>601</v>
      </c>
      <c r="T211">
        <v>213</v>
      </c>
      <c r="U211">
        <v>107</v>
      </c>
    </row>
    <row r="212" spans="1:23" hidden="1" x14ac:dyDescent="0.25">
      <c r="A212" t="s">
        <v>49</v>
      </c>
      <c r="B212"/>
      <c r="C212" s="2" t="str">
        <f t="shared" si="4"/>
        <v>How Deep The Father's Love For Us (D)</v>
      </c>
      <c r="D212" s="2"/>
      <c r="E212" s="2" t="str">
        <f t="shared" si="5"/>
        <v>How Deep The Father's Love For Us</v>
      </c>
      <c r="F212" t="s">
        <v>466</v>
      </c>
      <c r="G212" s="2" t="s">
        <v>122</v>
      </c>
      <c r="H212" s="2" t="s">
        <v>122</v>
      </c>
      <c r="I212" s="4">
        <v>54</v>
      </c>
      <c r="J212" s="4" t="s">
        <v>11</v>
      </c>
      <c r="K212" s="8">
        <v>1558110</v>
      </c>
      <c r="L212" s="4">
        <v>1995</v>
      </c>
      <c r="M212" s="11" t="s">
        <v>16</v>
      </c>
      <c r="N212" s="4" t="s">
        <v>602</v>
      </c>
      <c r="O212">
        <v>76</v>
      </c>
      <c r="P212" s="4">
        <v>1</v>
      </c>
      <c r="Q212" s="4">
        <v>2</v>
      </c>
      <c r="R212" s="4">
        <v>2</v>
      </c>
      <c r="S212" s="4" t="s">
        <v>601</v>
      </c>
      <c r="T212">
        <v>192</v>
      </c>
      <c r="U212">
        <v>96</v>
      </c>
    </row>
    <row r="213" spans="1:23" hidden="1" x14ac:dyDescent="0.25">
      <c r="A213" t="s">
        <v>385</v>
      </c>
      <c r="B213"/>
      <c r="C213" s="2" t="str">
        <f t="shared" si="4"/>
        <v>How Firm A Foundation (G)</v>
      </c>
      <c r="D213" s="2"/>
      <c r="E213" s="2" t="str">
        <f t="shared" si="5"/>
        <v>How Firm A Foundation</v>
      </c>
      <c r="F213" t="s">
        <v>386</v>
      </c>
      <c r="G213" s="4" t="s">
        <v>132</v>
      </c>
      <c r="H213" s="4" t="s">
        <v>17</v>
      </c>
      <c r="I213" s="4">
        <v>64</v>
      </c>
      <c r="J213" s="6" t="s">
        <v>184</v>
      </c>
      <c r="K213" s="4">
        <v>107816</v>
      </c>
      <c r="L213" s="4">
        <v>1787</v>
      </c>
      <c r="M213" s="4" t="s">
        <v>112</v>
      </c>
      <c r="N213" s="4" t="s">
        <v>328</v>
      </c>
      <c r="O213">
        <v>77</v>
      </c>
      <c r="P213" s="4">
        <v>1</v>
      </c>
      <c r="Q213" s="4">
        <v>2</v>
      </c>
      <c r="R213" s="4">
        <v>2</v>
      </c>
      <c r="S213" s="4" t="s">
        <v>601</v>
      </c>
      <c r="T213">
        <v>196</v>
      </c>
      <c r="U213">
        <v>98</v>
      </c>
    </row>
    <row r="214" spans="1:23" hidden="1" x14ac:dyDescent="0.25">
      <c r="A214" t="s">
        <v>50</v>
      </c>
      <c r="B214"/>
      <c r="C214" s="2" t="str">
        <f t="shared" si="4"/>
        <v>How Great Is Our God (C)</v>
      </c>
      <c r="D214" s="2"/>
      <c r="E214" s="2" t="str">
        <f t="shared" si="5"/>
        <v>How Great Is Our God</v>
      </c>
      <c r="F214" t="s">
        <v>411</v>
      </c>
      <c r="G214" s="2" t="s">
        <v>133</v>
      </c>
      <c r="H214" s="2" t="s">
        <v>133</v>
      </c>
      <c r="I214" s="4">
        <v>76</v>
      </c>
      <c r="J214" s="4" t="s">
        <v>11</v>
      </c>
      <c r="K214" s="8">
        <v>4348399</v>
      </c>
      <c r="L214" s="4">
        <v>2004</v>
      </c>
      <c r="M214" s="4" t="s">
        <v>15</v>
      </c>
      <c r="N214" s="4" t="s">
        <v>7</v>
      </c>
      <c r="O214">
        <v>78</v>
      </c>
      <c r="P214" s="4">
        <v>2</v>
      </c>
      <c r="Q214" s="4">
        <v>1</v>
      </c>
      <c r="R214" s="4">
        <v>1</v>
      </c>
      <c r="S214" s="4" t="s">
        <v>601</v>
      </c>
      <c r="T214">
        <v>259</v>
      </c>
      <c r="U214">
        <v>130</v>
      </c>
    </row>
    <row r="215" spans="1:23" hidden="1" x14ac:dyDescent="0.25">
      <c r="A215" t="s">
        <v>51</v>
      </c>
      <c r="B215"/>
      <c r="C215" s="2" t="str">
        <f t="shared" si="4"/>
        <v>How Great Thou Art (B)</v>
      </c>
      <c r="D215" s="2"/>
      <c r="E215" s="2" t="str">
        <f t="shared" si="5"/>
        <v>How Great Thou Art</v>
      </c>
      <c r="F215" t="s">
        <v>467</v>
      </c>
      <c r="G215" s="2" t="s">
        <v>136</v>
      </c>
      <c r="H215" s="2" t="s">
        <v>142</v>
      </c>
      <c r="I215" s="4">
        <v>48</v>
      </c>
      <c r="J215" s="4" t="s">
        <v>11</v>
      </c>
      <c r="K215" s="8">
        <v>14181</v>
      </c>
      <c r="L215" s="4">
        <v>1953</v>
      </c>
      <c r="M215" s="4" t="s">
        <v>106</v>
      </c>
      <c r="N215" s="4" t="s">
        <v>328</v>
      </c>
      <c r="O215">
        <v>79</v>
      </c>
      <c r="P215" s="4">
        <v>2</v>
      </c>
      <c r="Q215" s="4">
        <v>2</v>
      </c>
      <c r="R215" s="4">
        <v>2</v>
      </c>
      <c r="S215" s="4" t="s">
        <v>601</v>
      </c>
      <c r="T215">
        <v>269</v>
      </c>
      <c r="U215">
        <v>135</v>
      </c>
      <c r="W215" s="4" t="s">
        <v>667</v>
      </c>
    </row>
    <row r="216" spans="1:23" hidden="1" x14ac:dyDescent="0.25">
      <c r="A216" t="s">
        <v>220</v>
      </c>
      <c r="B216"/>
      <c r="C216" s="2" t="str">
        <f t="shared" si="4"/>
        <v>I Can Only Imagine (D)</v>
      </c>
      <c r="D216" s="2" t="s">
        <v>605</v>
      </c>
      <c r="E216" s="2" t="str">
        <f t="shared" si="5"/>
        <v>I Can Only Imagine</v>
      </c>
      <c r="F216" t="s">
        <v>468</v>
      </c>
      <c r="G216" s="2" t="s">
        <v>122</v>
      </c>
      <c r="H216" s="2" t="s">
        <v>122</v>
      </c>
      <c r="I216" s="4">
        <v>80</v>
      </c>
      <c r="J216" s="6" t="s">
        <v>11</v>
      </c>
      <c r="K216" s="10">
        <v>2978857</v>
      </c>
      <c r="L216" s="4">
        <v>2002</v>
      </c>
      <c r="M216" s="11" t="s">
        <v>296</v>
      </c>
      <c r="N216" s="4" t="s">
        <v>7</v>
      </c>
      <c r="O216">
        <v>80</v>
      </c>
      <c r="P216" s="4">
        <v>4</v>
      </c>
      <c r="Q216" s="4">
        <v>2</v>
      </c>
      <c r="R216" s="4">
        <v>2</v>
      </c>
      <c r="S216" s="4" t="s">
        <v>601</v>
      </c>
      <c r="T216">
        <v>217</v>
      </c>
      <c r="U216">
        <v>109</v>
      </c>
    </row>
    <row r="217" spans="1:23" hidden="1" x14ac:dyDescent="0.25">
      <c r="A217" t="s">
        <v>382</v>
      </c>
      <c r="B217"/>
      <c r="C217" s="2" t="str">
        <f t="shared" si="4"/>
        <v>I Know Whom I Have Believed (C)</v>
      </c>
      <c r="D217" s="2"/>
      <c r="E217" s="2" t="str">
        <f t="shared" si="5"/>
        <v>I Know Whom I Have Believed</v>
      </c>
      <c r="F217" t="s">
        <v>469</v>
      </c>
      <c r="G217" s="4" t="s">
        <v>133</v>
      </c>
      <c r="H217" s="4" t="s">
        <v>141</v>
      </c>
      <c r="I217" s="4">
        <v>96</v>
      </c>
      <c r="J217" s="6" t="s">
        <v>11</v>
      </c>
      <c r="K217" s="4">
        <v>31762</v>
      </c>
      <c r="L217" s="4">
        <v>1883</v>
      </c>
      <c r="M217" s="4" t="s">
        <v>112</v>
      </c>
      <c r="N217" s="4" t="s">
        <v>328</v>
      </c>
      <c r="O217">
        <v>81</v>
      </c>
      <c r="P217" s="4">
        <v>1</v>
      </c>
      <c r="Q217" s="4">
        <v>2</v>
      </c>
      <c r="R217" s="4">
        <v>2</v>
      </c>
      <c r="S217" s="4" t="s">
        <v>601</v>
      </c>
      <c r="T217">
        <v>200</v>
      </c>
      <c r="U217">
        <v>100</v>
      </c>
    </row>
    <row r="218" spans="1:23" hidden="1" x14ac:dyDescent="0.25">
      <c r="A218" t="s">
        <v>256</v>
      </c>
      <c r="B218"/>
      <c r="C218" s="2" t="str">
        <f t="shared" si="4"/>
        <v>I Lift My Hands (B)</v>
      </c>
      <c r="D218" s="2"/>
      <c r="E218" s="2" t="str">
        <f t="shared" si="5"/>
        <v>I Lift My Hands</v>
      </c>
      <c r="F218" t="s">
        <v>470</v>
      </c>
      <c r="G218" s="2" t="s">
        <v>136</v>
      </c>
      <c r="H218" s="2" t="s">
        <v>136</v>
      </c>
      <c r="I218" s="4">
        <v>85</v>
      </c>
      <c r="J218" s="6" t="s">
        <v>11</v>
      </c>
      <c r="K218" s="4">
        <v>5869884</v>
      </c>
      <c r="L218" s="4">
        <v>2010</v>
      </c>
      <c r="M218" s="4" t="s">
        <v>15</v>
      </c>
      <c r="N218" s="4" t="s">
        <v>7</v>
      </c>
      <c r="O218">
        <v>82</v>
      </c>
      <c r="P218" s="4">
        <v>4</v>
      </c>
      <c r="Q218" s="4">
        <v>2</v>
      </c>
      <c r="R218" s="4">
        <v>2</v>
      </c>
      <c r="S218" s="4" t="s">
        <v>601</v>
      </c>
      <c r="T218">
        <v>221</v>
      </c>
      <c r="U218">
        <v>111</v>
      </c>
      <c r="W218" s="4" t="s">
        <v>667</v>
      </c>
    </row>
    <row r="219" spans="1:23" hidden="1" x14ac:dyDescent="0.25">
      <c r="A219" t="s">
        <v>52</v>
      </c>
      <c r="B219" t="s">
        <v>621</v>
      </c>
      <c r="C219" s="2" t="str">
        <f t="shared" si="4"/>
        <v>I Stand Amazed (My Savior's Love) (G)</v>
      </c>
      <c r="D219" s="2"/>
      <c r="E219" s="2" t="str">
        <f t="shared" si="5"/>
        <v>I Stand Amazed (My Savior's Love)</v>
      </c>
      <c r="F219" t="s">
        <v>620</v>
      </c>
      <c r="G219" s="2" t="s">
        <v>132</v>
      </c>
      <c r="H219" s="2" t="s">
        <v>17</v>
      </c>
      <c r="I219" s="4">
        <v>106</v>
      </c>
      <c r="J219" s="4" t="s">
        <v>11</v>
      </c>
      <c r="K219" s="8">
        <v>25297</v>
      </c>
      <c r="L219" s="4">
        <v>1905</v>
      </c>
      <c r="M219" s="4" t="s">
        <v>112</v>
      </c>
      <c r="N219" s="4" t="s">
        <v>328</v>
      </c>
      <c r="O219">
        <v>83</v>
      </c>
      <c r="P219" s="4">
        <v>1</v>
      </c>
      <c r="Q219" s="4">
        <v>2</v>
      </c>
      <c r="R219" s="4">
        <v>2</v>
      </c>
      <c r="S219" s="4" t="s">
        <v>601</v>
      </c>
      <c r="T219">
        <v>212</v>
      </c>
      <c r="U219">
        <v>106</v>
      </c>
    </row>
    <row r="220" spans="1:23" hidden="1" x14ac:dyDescent="0.25">
      <c r="A220" t="s">
        <v>309</v>
      </c>
      <c r="B220"/>
      <c r="C220" s="2" t="str">
        <f t="shared" si="4"/>
        <v>I Stand In Awe (A)</v>
      </c>
      <c r="D220" s="2"/>
      <c r="E220" s="2" t="str">
        <f t="shared" si="5"/>
        <v>I Stand In Awe</v>
      </c>
      <c r="F220" t="s">
        <v>471</v>
      </c>
      <c r="G220" s="2" t="s">
        <v>8</v>
      </c>
      <c r="H220" s="2" t="s">
        <v>8</v>
      </c>
      <c r="I220" s="4">
        <v>76</v>
      </c>
      <c r="J220" s="6" t="s">
        <v>11</v>
      </c>
      <c r="K220" s="4">
        <v>23914</v>
      </c>
      <c r="L220" s="4">
        <v>1987</v>
      </c>
      <c r="M220" s="4" t="s">
        <v>21</v>
      </c>
      <c r="N220" s="4" t="s">
        <v>602</v>
      </c>
      <c r="O220">
        <v>84</v>
      </c>
      <c r="P220" s="4">
        <v>2</v>
      </c>
      <c r="Q220" s="4">
        <v>2</v>
      </c>
      <c r="R220" s="4">
        <v>2</v>
      </c>
      <c r="S220" s="4" t="s">
        <v>601</v>
      </c>
      <c r="T220">
        <v>271</v>
      </c>
      <c r="U220">
        <v>136</v>
      </c>
    </row>
    <row r="221" spans="1:23" hidden="1" x14ac:dyDescent="0.25">
      <c r="A221" t="s">
        <v>342</v>
      </c>
      <c r="B221"/>
      <c r="C221" s="2" t="str">
        <f t="shared" si="4"/>
        <v>I Surrender All (D)</v>
      </c>
      <c r="D221" s="2"/>
      <c r="E221" s="2" t="str">
        <f t="shared" si="5"/>
        <v>I Surrender All</v>
      </c>
      <c r="F221" t="s">
        <v>472</v>
      </c>
      <c r="G221" s="2" t="s">
        <v>122</v>
      </c>
      <c r="H221" s="2" t="s">
        <v>122</v>
      </c>
      <c r="I221" s="4">
        <v>74</v>
      </c>
      <c r="J221" s="6" t="s">
        <v>11</v>
      </c>
      <c r="K221" s="4">
        <v>23189</v>
      </c>
      <c r="L221" s="4">
        <v>1896</v>
      </c>
      <c r="M221" s="11" t="s">
        <v>112</v>
      </c>
      <c r="N221" s="4" t="s">
        <v>328</v>
      </c>
      <c r="O221">
        <v>85</v>
      </c>
      <c r="P221" s="4">
        <v>1</v>
      </c>
      <c r="Q221" s="4">
        <v>2</v>
      </c>
      <c r="R221" s="4">
        <v>2</v>
      </c>
      <c r="S221" s="4" t="s">
        <v>601</v>
      </c>
      <c r="T221">
        <v>228</v>
      </c>
      <c r="U221">
        <v>114</v>
      </c>
    </row>
    <row r="222" spans="1:23" hidden="1" x14ac:dyDescent="0.25">
      <c r="A222" t="s">
        <v>53</v>
      </c>
      <c r="B222"/>
      <c r="C222" s="2" t="str">
        <f t="shared" si="4"/>
        <v>I Will Follow (A)</v>
      </c>
      <c r="D222" s="2"/>
      <c r="E222" s="2" t="str">
        <f t="shared" si="5"/>
        <v>I Will Follow</v>
      </c>
      <c r="F222" t="s">
        <v>436</v>
      </c>
      <c r="G222" s="2" t="s">
        <v>8</v>
      </c>
      <c r="H222" s="2" t="s">
        <v>142</v>
      </c>
      <c r="I222" s="4">
        <v>96</v>
      </c>
      <c r="J222" s="4" t="s">
        <v>11</v>
      </c>
      <c r="K222" s="8">
        <v>5806878</v>
      </c>
      <c r="L222" s="4">
        <v>2010</v>
      </c>
      <c r="M222" s="4" t="s">
        <v>107</v>
      </c>
      <c r="N222" s="4" t="s">
        <v>7</v>
      </c>
      <c r="O222">
        <v>86</v>
      </c>
      <c r="P222" s="4">
        <v>3</v>
      </c>
      <c r="Q222" s="4">
        <v>2</v>
      </c>
      <c r="R222" s="4">
        <v>2</v>
      </c>
      <c r="S222" s="4" t="s">
        <v>601</v>
      </c>
      <c r="T222">
        <v>225</v>
      </c>
      <c r="U222">
        <v>113</v>
      </c>
    </row>
    <row r="223" spans="1:23" hidden="1" x14ac:dyDescent="0.25">
      <c r="A223" t="s">
        <v>54</v>
      </c>
      <c r="B223"/>
      <c r="C223" s="2" t="str">
        <f t="shared" si="4"/>
        <v>I Will Rise (B)</v>
      </c>
      <c r="D223" s="2"/>
      <c r="E223" s="2" t="str">
        <f t="shared" si="5"/>
        <v>I Will Rise</v>
      </c>
      <c r="F223" t="s">
        <v>402</v>
      </c>
      <c r="G223" s="2" t="s">
        <v>136</v>
      </c>
      <c r="H223" s="2" t="s">
        <v>136</v>
      </c>
      <c r="I223" s="4">
        <v>82</v>
      </c>
      <c r="J223" s="4" t="s">
        <v>11</v>
      </c>
      <c r="K223" s="8">
        <v>5183450</v>
      </c>
      <c r="L223" s="4">
        <v>2008</v>
      </c>
      <c r="M223" s="4" t="s">
        <v>15</v>
      </c>
      <c r="N223" s="4" t="s">
        <v>7</v>
      </c>
      <c r="O223">
        <v>87</v>
      </c>
      <c r="P223" s="4">
        <v>4</v>
      </c>
      <c r="Q223" s="4">
        <v>2</v>
      </c>
      <c r="R223" s="4">
        <v>2</v>
      </c>
      <c r="S223" s="4" t="s">
        <v>601</v>
      </c>
      <c r="T223">
        <v>237</v>
      </c>
      <c r="U223">
        <v>119</v>
      </c>
      <c r="W223" s="4" t="s">
        <v>667</v>
      </c>
    </row>
    <row r="224" spans="1:23" hidden="1" x14ac:dyDescent="0.25">
      <c r="A224" t="s">
        <v>343</v>
      </c>
      <c r="B224"/>
      <c r="C224" s="2" t="str">
        <f t="shared" si="4"/>
        <v>I Will Sing Of My Redeemer (D)</v>
      </c>
      <c r="D224" s="2"/>
      <c r="E224" s="2" t="str">
        <f t="shared" si="5"/>
        <v>I Will Sing Of My Redeemer</v>
      </c>
      <c r="F224" t="s">
        <v>473</v>
      </c>
      <c r="G224" t="s">
        <v>122</v>
      </c>
      <c r="H224" t="s">
        <v>198</v>
      </c>
      <c r="I224" s="4">
        <v>66</v>
      </c>
      <c r="J224" s="6" t="s">
        <v>361</v>
      </c>
      <c r="K224" s="4">
        <v>7074703</v>
      </c>
      <c r="L224" s="4">
        <v>1876</v>
      </c>
      <c r="M224" s="4" t="s">
        <v>112</v>
      </c>
      <c r="N224" s="4" t="s">
        <v>328</v>
      </c>
      <c r="O224">
        <v>88</v>
      </c>
      <c r="P224" s="4">
        <v>3</v>
      </c>
      <c r="Q224" s="4">
        <v>2</v>
      </c>
      <c r="R224" s="4">
        <v>2</v>
      </c>
      <c r="S224" s="4" t="s">
        <v>601</v>
      </c>
      <c r="T224">
        <v>229</v>
      </c>
      <c r="U224">
        <v>115</v>
      </c>
    </row>
    <row r="225" spans="1:23" hidden="1" x14ac:dyDescent="0.25">
      <c r="A225" t="s">
        <v>358</v>
      </c>
      <c r="B225"/>
      <c r="C225" s="2" t="str">
        <f t="shared" si="4"/>
        <v>I Will Sing The Wondrous Story (F)</v>
      </c>
      <c r="D225" s="2"/>
      <c r="E225" s="2" t="str">
        <f t="shared" si="5"/>
        <v>I Will Sing The Wondrous Story</v>
      </c>
      <c r="F225" t="s">
        <v>474</v>
      </c>
      <c r="G225" t="s">
        <v>146</v>
      </c>
      <c r="H225" t="s">
        <v>146</v>
      </c>
      <c r="I225" s="4">
        <v>120</v>
      </c>
      <c r="J225" s="6" t="s">
        <v>18</v>
      </c>
      <c r="K225" s="4">
        <v>2328610</v>
      </c>
      <c r="L225" s="4">
        <v>1886</v>
      </c>
      <c r="M225" s="4" t="s">
        <v>112</v>
      </c>
      <c r="N225" s="4" t="s">
        <v>328</v>
      </c>
      <c r="O225">
        <v>89</v>
      </c>
      <c r="P225" s="4">
        <v>2</v>
      </c>
      <c r="Q225" s="4">
        <v>2</v>
      </c>
      <c r="R225" s="4">
        <v>2</v>
      </c>
      <c r="S225" s="4" t="s">
        <v>601</v>
      </c>
      <c r="T225">
        <v>285</v>
      </c>
      <c r="U225">
        <v>143</v>
      </c>
    </row>
    <row r="226" spans="1:23" hidden="1" x14ac:dyDescent="0.25">
      <c r="A226" t="s">
        <v>290</v>
      </c>
      <c r="B226"/>
      <c r="C226" s="2" t="str">
        <f t="shared" si="4"/>
        <v>I'll Fly Away (G)</v>
      </c>
      <c r="D226" s="2"/>
      <c r="E226" s="2" t="str">
        <f t="shared" si="5"/>
        <v>I'll Fly Away</v>
      </c>
      <c r="F226" t="s">
        <v>475</v>
      </c>
      <c r="G226" s="2" t="s">
        <v>132</v>
      </c>
      <c r="H226" s="2" t="s">
        <v>132</v>
      </c>
      <c r="I226" s="4">
        <v>120</v>
      </c>
      <c r="J226" s="6" t="s">
        <v>11</v>
      </c>
      <c r="K226" s="4">
        <v>26399</v>
      </c>
      <c r="L226" s="4">
        <v>1932</v>
      </c>
      <c r="M226" s="4" t="s">
        <v>291</v>
      </c>
      <c r="N226" s="4" t="s">
        <v>328</v>
      </c>
      <c r="O226">
        <v>90</v>
      </c>
      <c r="P226" s="4">
        <v>1</v>
      </c>
      <c r="Q226" s="4">
        <v>1</v>
      </c>
      <c r="R226" s="4">
        <v>1</v>
      </c>
      <c r="S226" s="4" t="s">
        <v>601</v>
      </c>
      <c r="T226">
        <v>244</v>
      </c>
      <c r="U226">
        <v>144</v>
      </c>
    </row>
    <row r="227" spans="1:23" hidden="1" x14ac:dyDescent="0.25">
      <c r="A227" t="s">
        <v>55</v>
      </c>
      <c r="B227"/>
      <c r="C227" s="2" t="str">
        <f t="shared" si="4"/>
        <v>In Christ Alone (D)</v>
      </c>
      <c r="D227" s="2"/>
      <c r="E227" s="2" t="str">
        <f t="shared" si="5"/>
        <v>In Christ Alone</v>
      </c>
      <c r="F227" t="s">
        <v>476</v>
      </c>
      <c r="G227" s="2" t="s">
        <v>122</v>
      </c>
      <c r="H227" s="2" t="s">
        <v>122</v>
      </c>
      <c r="I227" s="4">
        <v>60</v>
      </c>
      <c r="J227" s="6" t="s">
        <v>18</v>
      </c>
      <c r="K227" s="8">
        <v>3350395</v>
      </c>
      <c r="L227" s="4">
        <v>2001</v>
      </c>
      <c r="M227" s="4" t="s">
        <v>16</v>
      </c>
      <c r="N227" s="4" t="s">
        <v>7</v>
      </c>
      <c r="O227">
        <v>91</v>
      </c>
      <c r="P227" s="4">
        <v>2</v>
      </c>
      <c r="Q227" s="4">
        <v>2</v>
      </c>
      <c r="R227" s="4">
        <v>2</v>
      </c>
      <c r="S227" s="4" t="s">
        <v>601</v>
      </c>
      <c r="T227">
        <v>287</v>
      </c>
      <c r="U227">
        <v>121</v>
      </c>
    </row>
    <row r="228" spans="1:23" hidden="1" x14ac:dyDescent="0.25">
      <c r="A228" t="s">
        <v>221</v>
      </c>
      <c r="B228"/>
      <c r="C228" s="2" t="str">
        <f t="shared" si="4"/>
        <v>Indescribable (G)</v>
      </c>
      <c r="D228" s="2"/>
      <c r="E228" s="2" t="str">
        <f t="shared" si="5"/>
        <v>Indescribable</v>
      </c>
      <c r="F228" t="s">
        <v>477</v>
      </c>
      <c r="G228" s="2" t="s">
        <v>132</v>
      </c>
      <c r="H228" s="2" t="s">
        <v>142</v>
      </c>
      <c r="I228" s="4">
        <v>60</v>
      </c>
      <c r="J228" s="6" t="s">
        <v>94</v>
      </c>
      <c r="K228" s="10">
        <v>4403076</v>
      </c>
      <c r="L228" s="4">
        <v>2004</v>
      </c>
      <c r="M228" s="11" t="s">
        <v>297</v>
      </c>
      <c r="N228" s="4" t="s">
        <v>7</v>
      </c>
      <c r="O228">
        <v>92</v>
      </c>
      <c r="P228" s="4">
        <v>3</v>
      </c>
      <c r="Q228" s="4">
        <v>2</v>
      </c>
      <c r="R228" s="4">
        <v>2</v>
      </c>
      <c r="S228" s="4" t="s">
        <v>601</v>
      </c>
      <c r="T228">
        <v>241</v>
      </c>
      <c r="U228">
        <v>123</v>
      </c>
    </row>
    <row r="229" spans="1:23" hidden="1" x14ac:dyDescent="0.25">
      <c r="A229" t="s">
        <v>585</v>
      </c>
      <c r="B229" t="s">
        <v>566</v>
      </c>
      <c r="C229" s="2" t="str">
        <f t="shared" si="4"/>
        <v>It Is Well (Grander Earth) (G)</v>
      </c>
      <c r="D229" s="2"/>
      <c r="E229" s="2" t="str">
        <f t="shared" si="5"/>
        <v>It Is Well (Grander Earth)</v>
      </c>
      <c r="F229" t="s">
        <v>478</v>
      </c>
      <c r="G229" s="2" t="s">
        <v>132</v>
      </c>
      <c r="H229" s="2" t="s">
        <v>132</v>
      </c>
      <c r="I229" s="4">
        <v>65</v>
      </c>
      <c r="J229" s="4" t="s">
        <v>181</v>
      </c>
      <c r="K229" s="10">
        <v>7021972</v>
      </c>
      <c r="L229" s="4">
        <v>2013</v>
      </c>
      <c r="M229" s="4" t="s">
        <v>114</v>
      </c>
      <c r="N229" s="4" t="s">
        <v>7</v>
      </c>
      <c r="O229">
        <v>93</v>
      </c>
      <c r="P229" s="4">
        <v>3</v>
      </c>
      <c r="Q229" s="4">
        <v>2</v>
      </c>
      <c r="R229" s="4">
        <v>2</v>
      </c>
      <c r="S229" s="4" t="s">
        <v>601</v>
      </c>
      <c r="T229">
        <v>245</v>
      </c>
      <c r="U229">
        <v>116</v>
      </c>
    </row>
    <row r="230" spans="1:23" hidden="1" x14ac:dyDescent="0.25">
      <c r="A230" t="s">
        <v>344</v>
      </c>
      <c r="B230"/>
      <c r="C230" s="2" t="str">
        <f t="shared" si="4"/>
        <v>It Is Well With My Soul (C)</v>
      </c>
      <c r="D230" s="2"/>
      <c r="E230" s="2" t="str">
        <f t="shared" si="5"/>
        <v>It Is Well With My Soul</v>
      </c>
      <c r="F230" t="s">
        <v>479</v>
      </c>
      <c r="G230" s="2" t="s">
        <v>133</v>
      </c>
      <c r="H230" s="2" t="s">
        <v>133</v>
      </c>
      <c r="J230" s="6" t="s">
        <v>11</v>
      </c>
      <c r="K230" s="4">
        <v>25376</v>
      </c>
      <c r="L230" s="4">
        <v>1873</v>
      </c>
      <c r="M230" s="11" t="s">
        <v>112</v>
      </c>
      <c r="N230" s="4" t="s">
        <v>328</v>
      </c>
      <c r="O230">
        <v>94</v>
      </c>
      <c r="P230" s="4">
        <v>1</v>
      </c>
      <c r="Q230" s="4">
        <v>2</v>
      </c>
      <c r="R230" s="4">
        <v>2</v>
      </c>
      <c r="S230" s="4" t="s">
        <v>601</v>
      </c>
      <c r="T230">
        <v>232</v>
      </c>
      <c r="U230">
        <v>122</v>
      </c>
    </row>
    <row r="231" spans="1:23" hidden="1" x14ac:dyDescent="0.25">
      <c r="A231" t="s">
        <v>353</v>
      </c>
      <c r="B231"/>
      <c r="C231" s="2" t="str">
        <f t="shared" si="4"/>
        <v>Jesus I Am Resting (G)</v>
      </c>
      <c r="D231" s="2" t="s">
        <v>606</v>
      </c>
      <c r="E231" s="2" t="str">
        <f t="shared" si="5"/>
        <v>Jesus I Am Resting</v>
      </c>
      <c r="F231" t="s">
        <v>364</v>
      </c>
      <c r="G231" s="2" t="s">
        <v>132</v>
      </c>
      <c r="H231" s="2" t="s">
        <v>132</v>
      </c>
      <c r="J231" s="6" t="s">
        <v>11</v>
      </c>
      <c r="K231" s="4">
        <v>148576</v>
      </c>
      <c r="L231" s="4">
        <v>1876</v>
      </c>
      <c r="M231" s="11" t="s">
        <v>112</v>
      </c>
      <c r="N231" s="4" t="s">
        <v>328</v>
      </c>
      <c r="O231">
        <v>95</v>
      </c>
      <c r="P231" s="4">
        <v>2</v>
      </c>
      <c r="Q231" s="4">
        <v>2</v>
      </c>
      <c r="R231" s="4" t="s">
        <v>551</v>
      </c>
      <c r="S231" s="4" t="s">
        <v>601</v>
      </c>
      <c r="T231">
        <v>305</v>
      </c>
      <c r="U231">
        <v>153</v>
      </c>
    </row>
    <row r="232" spans="1:23" hidden="1" x14ac:dyDescent="0.25">
      <c r="A232" t="s">
        <v>196</v>
      </c>
      <c r="B232"/>
      <c r="C232" s="2" t="str">
        <f t="shared" si="4"/>
        <v>Jesus Is Alive (C)</v>
      </c>
      <c r="D232" s="2"/>
      <c r="E232" s="2" t="str">
        <f t="shared" si="5"/>
        <v>Jesus Is Alive</v>
      </c>
      <c r="F232" t="s">
        <v>480</v>
      </c>
      <c r="G232" s="2" t="s">
        <v>133</v>
      </c>
      <c r="H232" s="2" t="s">
        <v>133</v>
      </c>
      <c r="I232" s="4">
        <v>65</v>
      </c>
      <c r="J232" s="6" t="s">
        <v>94</v>
      </c>
      <c r="K232" s="10">
        <v>7121850</v>
      </c>
      <c r="L232" s="4">
        <v>2018</v>
      </c>
      <c r="M232" s="4" t="s">
        <v>119</v>
      </c>
      <c r="N232" s="4" t="s">
        <v>7</v>
      </c>
      <c r="O232">
        <v>96</v>
      </c>
      <c r="P232" s="4">
        <v>3</v>
      </c>
      <c r="Q232" s="4">
        <v>2</v>
      </c>
      <c r="R232" s="4">
        <v>2</v>
      </c>
      <c r="S232" s="4" t="s">
        <v>601</v>
      </c>
      <c r="T232">
        <v>249</v>
      </c>
      <c r="U232">
        <v>125</v>
      </c>
      <c r="V232" s="4" t="s">
        <v>668</v>
      </c>
    </row>
    <row r="233" spans="1:23" hidden="1" x14ac:dyDescent="0.25">
      <c r="A233" t="s">
        <v>138</v>
      </c>
      <c r="B233"/>
      <c r="C233" s="2" t="str">
        <f t="shared" ref="C233:C264" si="6">_xlfn.CONCAT(A233, IF(ISBLANK(B233),," ("),B233,IF(ISBLANK(B233),,")"), " (",G233,")")</f>
        <v>Jesus Messiah (B)</v>
      </c>
      <c r="D233" s="2"/>
      <c r="E233" s="2" t="str">
        <f t="shared" ref="E233:E264" si="7">_xlfn.CONCAT(A233, IF(ISBLANK(B233),," ("),B233,IF(ISBLANK(B233),,")"))</f>
        <v>Jesus Messiah</v>
      </c>
      <c r="F233" t="s">
        <v>481</v>
      </c>
      <c r="G233" s="2" t="s">
        <v>136</v>
      </c>
      <c r="H233" s="2" t="s">
        <v>136</v>
      </c>
      <c r="I233" s="4">
        <v>86</v>
      </c>
      <c r="J233" s="6" t="s">
        <v>11</v>
      </c>
      <c r="K233" s="10">
        <v>5183443</v>
      </c>
      <c r="L233" s="4">
        <v>2008</v>
      </c>
      <c r="M233" s="11" t="s">
        <v>15</v>
      </c>
      <c r="N233" s="4" t="s">
        <v>7</v>
      </c>
      <c r="O233">
        <v>97</v>
      </c>
      <c r="P233" s="4">
        <v>3</v>
      </c>
      <c r="Q233" s="4">
        <v>2</v>
      </c>
      <c r="R233" s="4">
        <v>2</v>
      </c>
      <c r="S233" s="4" t="s">
        <v>601</v>
      </c>
      <c r="T233">
        <v>253</v>
      </c>
      <c r="U233">
        <v>127</v>
      </c>
      <c r="W233" s="4" t="s">
        <v>667</v>
      </c>
    </row>
    <row r="234" spans="1:23" hidden="1" x14ac:dyDescent="0.25">
      <c r="A234" t="s">
        <v>57</v>
      </c>
      <c r="B234"/>
      <c r="C234" s="2" t="str">
        <f t="shared" si="6"/>
        <v>Jesus Paid It All (C)</v>
      </c>
      <c r="D234" s="2"/>
      <c r="E234" s="2" t="str">
        <f t="shared" si="7"/>
        <v>Jesus Paid It All</v>
      </c>
      <c r="F234" t="s">
        <v>482</v>
      </c>
      <c r="G234" s="2" t="s">
        <v>133</v>
      </c>
      <c r="H234" s="2" t="s">
        <v>141</v>
      </c>
      <c r="I234" s="4">
        <v>76</v>
      </c>
      <c r="J234" s="6" t="s">
        <v>18</v>
      </c>
      <c r="K234" s="4">
        <v>22331</v>
      </c>
      <c r="L234" s="4">
        <v>1865</v>
      </c>
      <c r="M234" s="11" t="s">
        <v>112</v>
      </c>
      <c r="N234" s="4" t="s">
        <v>328</v>
      </c>
      <c r="O234">
        <v>98</v>
      </c>
      <c r="P234" s="4">
        <v>1</v>
      </c>
      <c r="Q234" s="4">
        <v>2</v>
      </c>
      <c r="R234" s="4">
        <v>2</v>
      </c>
      <c r="S234" s="4" t="s">
        <v>601</v>
      </c>
      <c r="T234">
        <v>248</v>
      </c>
      <c r="U234">
        <v>124</v>
      </c>
    </row>
    <row r="235" spans="1:23" hidden="1" x14ac:dyDescent="0.25">
      <c r="A235" t="s">
        <v>379</v>
      </c>
      <c r="B235"/>
      <c r="C235" s="2" t="str">
        <f t="shared" si="6"/>
        <v>Jesus Son Of God (B)</v>
      </c>
      <c r="D235" s="2"/>
      <c r="E235" s="2" t="str">
        <f t="shared" si="7"/>
        <v>Jesus Son Of God</v>
      </c>
      <c r="F235" t="s">
        <v>436</v>
      </c>
      <c r="G235" s="2" t="s">
        <v>136</v>
      </c>
      <c r="H235" s="2" t="s">
        <v>136</v>
      </c>
      <c r="I235" s="4">
        <v>76</v>
      </c>
      <c r="J235" s="6" t="s">
        <v>11</v>
      </c>
      <c r="K235" s="4">
        <v>6223539</v>
      </c>
      <c r="L235" s="4">
        <v>2012</v>
      </c>
      <c r="M235" s="4" t="s">
        <v>166</v>
      </c>
      <c r="N235" s="4" t="s">
        <v>7</v>
      </c>
      <c r="O235">
        <v>99</v>
      </c>
      <c r="P235" s="4">
        <v>4</v>
      </c>
      <c r="Q235" s="4">
        <v>2</v>
      </c>
      <c r="R235" s="4">
        <v>2</v>
      </c>
      <c r="S235" s="4" t="s">
        <v>601</v>
      </c>
      <c r="T235">
        <v>261</v>
      </c>
      <c r="U235">
        <v>131</v>
      </c>
      <c r="W235" s="4" t="s">
        <v>667</v>
      </c>
    </row>
    <row r="236" spans="1:23" hidden="1" x14ac:dyDescent="0.25">
      <c r="A236" t="s">
        <v>191</v>
      </c>
      <c r="B236"/>
      <c r="C236" s="2" t="str">
        <f t="shared" si="6"/>
        <v>Just As I Am (C)</v>
      </c>
      <c r="D236" s="2"/>
      <c r="E236" s="2" t="str">
        <f t="shared" si="7"/>
        <v>Just As I Am</v>
      </c>
      <c r="F236" t="s">
        <v>483</v>
      </c>
      <c r="G236" s="2" t="s">
        <v>133</v>
      </c>
      <c r="H236" s="2" t="s">
        <v>141</v>
      </c>
      <c r="I236" s="4">
        <v>86</v>
      </c>
      <c r="J236" s="6" t="s">
        <v>365</v>
      </c>
      <c r="K236" s="4">
        <v>23206</v>
      </c>
      <c r="L236" s="4">
        <v>1835</v>
      </c>
      <c r="M236" s="11" t="s">
        <v>112</v>
      </c>
      <c r="N236" s="4" t="s">
        <v>328</v>
      </c>
      <c r="O236">
        <v>101</v>
      </c>
      <c r="P236" s="4">
        <v>1</v>
      </c>
      <c r="Q236" s="4">
        <v>2</v>
      </c>
      <c r="R236" s="4">
        <v>2</v>
      </c>
      <c r="S236" s="4" t="s">
        <v>601</v>
      </c>
      <c r="T236">
        <v>252</v>
      </c>
      <c r="U236">
        <v>126</v>
      </c>
    </row>
    <row r="237" spans="1:23" hidden="1" x14ac:dyDescent="0.25">
      <c r="A237" t="s">
        <v>191</v>
      </c>
      <c r="B237" t="s">
        <v>567</v>
      </c>
      <c r="C237" s="2" t="str">
        <f t="shared" si="6"/>
        <v>Just As I Am (I Come Broken) (A)</v>
      </c>
      <c r="D237" s="2"/>
      <c r="E237" s="2" t="str">
        <f t="shared" si="7"/>
        <v>Just As I Am (I Come Broken)</v>
      </c>
      <c r="F237" t="s">
        <v>484</v>
      </c>
      <c r="G237" s="2" t="s">
        <v>8</v>
      </c>
      <c r="H237" s="2" t="s">
        <v>8</v>
      </c>
      <c r="I237" s="4">
        <v>73</v>
      </c>
      <c r="J237" s="6" t="s">
        <v>18</v>
      </c>
      <c r="K237" s="8">
        <v>5635850</v>
      </c>
      <c r="L237" s="4">
        <v>2009</v>
      </c>
      <c r="M237" s="11" t="s">
        <v>192</v>
      </c>
      <c r="N237" s="4" t="s">
        <v>7</v>
      </c>
      <c r="O237">
        <v>100</v>
      </c>
      <c r="P237" s="4">
        <v>2</v>
      </c>
      <c r="Q237" s="4">
        <v>2</v>
      </c>
      <c r="R237" s="4">
        <v>2</v>
      </c>
      <c r="S237" s="4" t="s">
        <v>601</v>
      </c>
      <c r="T237">
        <v>307</v>
      </c>
      <c r="U237">
        <v>154</v>
      </c>
    </row>
    <row r="238" spans="1:23" hidden="1" x14ac:dyDescent="0.25">
      <c r="A238" t="s">
        <v>193</v>
      </c>
      <c r="B238"/>
      <c r="C238" s="2" t="str">
        <f t="shared" si="6"/>
        <v>King Of Kings (D)</v>
      </c>
      <c r="D238" s="2" t="s">
        <v>607</v>
      </c>
      <c r="E238" s="2" t="str">
        <f t="shared" si="7"/>
        <v>King Of Kings</v>
      </c>
      <c r="F238" t="s">
        <v>485</v>
      </c>
      <c r="G238" s="2" t="s">
        <v>122</v>
      </c>
      <c r="H238" s="2" t="s">
        <v>122</v>
      </c>
      <c r="I238" s="4">
        <v>68</v>
      </c>
      <c r="J238" s="6" t="s">
        <v>11</v>
      </c>
      <c r="K238" s="8">
        <v>7127647</v>
      </c>
      <c r="L238" s="4">
        <v>2019</v>
      </c>
      <c r="M238" s="11" t="s">
        <v>87</v>
      </c>
      <c r="N238" s="4" t="s">
        <v>7</v>
      </c>
      <c r="O238">
        <v>102</v>
      </c>
      <c r="P238" s="4">
        <v>3</v>
      </c>
      <c r="Q238" s="4">
        <v>2</v>
      </c>
      <c r="R238" s="4">
        <v>2</v>
      </c>
      <c r="S238" s="4" t="s">
        <v>601</v>
      </c>
      <c r="T238">
        <v>265</v>
      </c>
      <c r="U238">
        <v>133</v>
      </c>
    </row>
    <row r="239" spans="1:23" hidden="1" x14ac:dyDescent="0.25">
      <c r="A239" t="s">
        <v>125</v>
      </c>
      <c r="B239"/>
      <c r="C239" s="2" t="str">
        <f t="shared" si="6"/>
        <v>King Of My Heart (A)</v>
      </c>
      <c r="D239" s="2"/>
      <c r="E239" s="2" t="str">
        <f t="shared" si="7"/>
        <v>King Of My Heart</v>
      </c>
      <c r="F239" t="s">
        <v>486</v>
      </c>
      <c r="G239" s="2" t="s">
        <v>8</v>
      </c>
      <c r="H239" s="2" t="s">
        <v>142</v>
      </c>
      <c r="I239" s="4">
        <v>68</v>
      </c>
      <c r="J239" s="6" t="s">
        <v>11</v>
      </c>
      <c r="K239" s="10">
        <v>7046145</v>
      </c>
      <c r="L239" s="4">
        <v>2015</v>
      </c>
      <c r="M239" s="11" t="s">
        <v>164</v>
      </c>
      <c r="N239" s="4" t="s">
        <v>7</v>
      </c>
      <c r="O239">
        <v>103</v>
      </c>
      <c r="P239" s="4">
        <v>4</v>
      </c>
      <c r="Q239" s="4">
        <v>2</v>
      </c>
      <c r="R239" s="4">
        <v>2</v>
      </c>
      <c r="S239" s="4" t="s">
        <v>601</v>
      </c>
      <c r="T239">
        <v>273</v>
      </c>
      <c r="U239">
        <v>137</v>
      </c>
    </row>
    <row r="240" spans="1:23" hidden="1" x14ac:dyDescent="0.25">
      <c r="A240" t="s">
        <v>58</v>
      </c>
      <c r="B240" t="s">
        <v>568</v>
      </c>
      <c r="C240" s="2" t="str">
        <f t="shared" si="6"/>
        <v>Knowing You (All I Once Held Dear) (C)</v>
      </c>
      <c r="D240" s="2"/>
      <c r="E240" s="2" t="str">
        <f t="shared" si="7"/>
        <v>Knowing You (All I Once Held Dear)</v>
      </c>
      <c r="F240" t="s">
        <v>487</v>
      </c>
      <c r="G240" s="2" t="s">
        <v>133</v>
      </c>
      <c r="H240" s="2" t="s">
        <v>133</v>
      </c>
      <c r="I240" s="4">
        <v>54</v>
      </c>
      <c r="J240" s="4" t="s">
        <v>11</v>
      </c>
      <c r="K240" s="8">
        <v>1045238</v>
      </c>
      <c r="L240" s="4">
        <v>1993</v>
      </c>
      <c r="M240" s="11" t="s">
        <v>110</v>
      </c>
      <c r="N240" s="4" t="s">
        <v>602</v>
      </c>
      <c r="O240">
        <v>104</v>
      </c>
      <c r="P240" s="4">
        <v>2</v>
      </c>
      <c r="Q240" s="4">
        <v>2</v>
      </c>
      <c r="R240" s="4">
        <v>2</v>
      </c>
      <c r="S240" s="4" t="s">
        <v>601</v>
      </c>
      <c r="T240">
        <v>317</v>
      </c>
      <c r="U240">
        <v>159</v>
      </c>
    </row>
    <row r="241" spans="1:23" hidden="1" x14ac:dyDescent="0.25">
      <c r="A241" t="s">
        <v>222</v>
      </c>
      <c r="B241"/>
      <c r="C241" s="2" t="str">
        <f t="shared" si="6"/>
        <v>Lamb Of God (C)</v>
      </c>
      <c r="D241" s="2" t="s">
        <v>608</v>
      </c>
      <c r="E241" s="2" t="str">
        <f t="shared" si="7"/>
        <v>Lamb Of God</v>
      </c>
      <c r="F241" t="s">
        <v>488</v>
      </c>
      <c r="G241" s="2" t="s">
        <v>133</v>
      </c>
      <c r="H241" s="2" t="s">
        <v>133</v>
      </c>
      <c r="I241" s="4">
        <v>52</v>
      </c>
      <c r="J241" s="6" t="s">
        <v>18</v>
      </c>
      <c r="K241" s="4">
        <v>16787</v>
      </c>
      <c r="L241" s="4">
        <v>1985</v>
      </c>
      <c r="M241" s="4" t="s">
        <v>322</v>
      </c>
      <c r="N241" s="4" t="s">
        <v>602</v>
      </c>
      <c r="O241">
        <v>105</v>
      </c>
      <c r="P241" s="4">
        <v>2</v>
      </c>
      <c r="Q241" s="4">
        <v>2</v>
      </c>
      <c r="R241" s="4">
        <v>2</v>
      </c>
      <c r="S241" s="4" t="s">
        <v>601</v>
      </c>
      <c r="T241">
        <v>319</v>
      </c>
      <c r="U241">
        <v>160</v>
      </c>
    </row>
    <row r="242" spans="1:23" hidden="1" x14ac:dyDescent="0.25">
      <c r="A242" t="s">
        <v>223</v>
      </c>
      <c r="B242"/>
      <c r="C242" s="2" t="str">
        <f t="shared" si="6"/>
        <v>Lay Me Down (C)</v>
      </c>
      <c r="D242" s="2"/>
      <c r="E242" s="2" t="str">
        <f t="shared" si="7"/>
        <v>Lay Me Down</v>
      </c>
      <c r="F242" t="s">
        <v>436</v>
      </c>
      <c r="G242" s="2" t="s">
        <v>133</v>
      </c>
      <c r="H242" s="2" t="s">
        <v>133</v>
      </c>
      <c r="I242" s="4">
        <v>130</v>
      </c>
      <c r="J242" s="6" t="s">
        <v>11</v>
      </c>
      <c r="K242" s="10">
        <v>6223577</v>
      </c>
      <c r="L242" s="4">
        <v>2012</v>
      </c>
      <c r="M242" s="11" t="s">
        <v>113</v>
      </c>
      <c r="N242" s="4" t="s">
        <v>7</v>
      </c>
      <c r="O242">
        <v>106</v>
      </c>
      <c r="P242" s="4">
        <v>4</v>
      </c>
      <c r="Q242" s="4">
        <v>2</v>
      </c>
      <c r="R242" s="4">
        <v>2</v>
      </c>
      <c r="S242" s="4" t="s">
        <v>601</v>
      </c>
      <c r="T242">
        <v>289</v>
      </c>
      <c r="U242">
        <v>145</v>
      </c>
    </row>
    <row r="243" spans="1:23" hidden="1" x14ac:dyDescent="0.25">
      <c r="A243" t="s">
        <v>224</v>
      </c>
      <c r="B243" t="s">
        <v>569</v>
      </c>
      <c r="C243" s="2" t="str">
        <f t="shared" si="6"/>
        <v>Lead Me To The Cross (Quiet I Come) (D)</v>
      </c>
      <c r="D243" s="2"/>
      <c r="E243" s="2" t="str">
        <f t="shared" si="7"/>
        <v>Lead Me To The Cross (Quiet I Come)</v>
      </c>
      <c r="F243" t="s">
        <v>464</v>
      </c>
      <c r="G243" s="2" t="s">
        <v>122</v>
      </c>
      <c r="H243" s="2" t="s">
        <v>122</v>
      </c>
      <c r="I243" s="4">
        <v>75</v>
      </c>
      <c r="J243" s="6" t="s">
        <v>11</v>
      </c>
      <c r="K243" s="10">
        <v>4785828</v>
      </c>
      <c r="L243" s="4">
        <v>2006</v>
      </c>
      <c r="M243" s="4" t="s">
        <v>87</v>
      </c>
      <c r="N243" s="4" t="s">
        <v>7</v>
      </c>
      <c r="O243">
        <v>107</v>
      </c>
      <c r="P243" s="4">
        <v>3</v>
      </c>
      <c r="Q243" s="4">
        <v>2</v>
      </c>
      <c r="R243" s="4">
        <v>2</v>
      </c>
      <c r="S243" s="4" t="s">
        <v>601</v>
      </c>
      <c r="T243">
        <v>277</v>
      </c>
      <c r="U243">
        <v>139</v>
      </c>
    </row>
    <row r="244" spans="1:23" hidden="1" x14ac:dyDescent="0.25">
      <c r="A244" t="s">
        <v>345</v>
      </c>
      <c r="B244"/>
      <c r="C244" s="2" t="str">
        <f t="shared" si="6"/>
        <v>Like A River Glorious (F)</v>
      </c>
      <c r="D244" s="2"/>
      <c r="E244" s="2" t="str">
        <f t="shared" si="7"/>
        <v>Like A River Glorious</v>
      </c>
      <c r="F244" t="s">
        <v>368</v>
      </c>
      <c r="G244" s="2" t="s">
        <v>146</v>
      </c>
      <c r="H244" s="2" t="s">
        <v>146</v>
      </c>
      <c r="J244" s="6" t="s">
        <v>11</v>
      </c>
      <c r="K244" s="4">
        <v>33935</v>
      </c>
      <c r="L244" s="4">
        <v>1874</v>
      </c>
      <c r="M244" s="4" t="s">
        <v>112</v>
      </c>
      <c r="N244" s="4" t="s">
        <v>328</v>
      </c>
      <c r="O244">
        <v>108</v>
      </c>
      <c r="P244" s="4">
        <v>1</v>
      </c>
      <c r="Q244" s="4">
        <v>1</v>
      </c>
      <c r="R244" s="4" t="s">
        <v>551</v>
      </c>
      <c r="S244" s="4" t="s">
        <v>601</v>
      </c>
      <c r="T244">
        <v>268</v>
      </c>
      <c r="U244">
        <v>134</v>
      </c>
    </row>
    <row r="245" spans="1:23" hidden="1" x14ac:dyDescent="0.25">
      <c r="A245" t="s">
        <v>391</v>
      </c>
      <c r="B245"/>
      <c r="C245" s="2" t="str">
        <f t="shared" si="6"/>
        <v>Lion And The Lamb, The (B)</v>
      </c>
      <c r="D245" s="2"/>
      <c r="E245" s="2" t="str">
        <f t="shared" si="7"/>
        <v>Lion And The Lamb, The</v>
      </c>
      <c r="F245" t="s">
        <v>489</v>
      </c>
      <c r="G245" s="2" t="s">
        <v>136</v>
      </c>
      <c r="H245" s="2" t="s">
        <v>136</v>
      </c>
      <c r="I245" s="4">
        <v>90</v>
      </c>
      <c r="J245" s="6" t="s">
        <v>11</v>
      </c>
      <c r="K245" s="10">
        <v>7038281</v>
      </c>
      <c r="L245" s="4">
        <v>2015</v>
      </c>
      <c r="M245" s="11" t="s">
        <v>165</v>
      </c>
      <c r="N245" s="4" t="s">
        <v>7</v>
      </c>
      <c r="O245">
        <v>109</v>
      </c>
      <c r="P245" s="4">
        <v>3</v>
      </c>
      <c r="Q245" s="4">
        <v>2</v>
      </c>
      <c r="R245" s="4">
        <v>2</v>
      </c>
      <c r="S245" s="4" t="s">
        <v>601</v>
      </c>
      <c r="T245">
        <v>281</v>
      </c>
      <c r="U245">
        <v>141</v>
      </c>
      <c r="W245" s="4" t="s">
        <v>667</v>
      </c>
    </row>
    <row r="246" spans="1:23" hidden="1" x14ac:dyDescent="0.25">
      <c r="A246" t="s">
        <v>59</v>
      </c>
      <c r="B246"/>
      <c r="C246" s="2" t="str">
        <f t="shared" si="6"/>
        <v>Living Hope (D)</v>
      </c>
      <c r="D246" s="2"/>
      <c r="E246" s="2" t="str">
        <f t="shared" si="7"/>
        <v>Living Hope</v>
      </c>
      <c r="F246" t="s">
        <v>490</v>
      </c>
      <c r="G246" s="2" t="s">
        <v>122</v>
      </c>
      <c r="H246" s="2" t="s">
        <v>198</v>
      </c>
      <c r="I246" s="4">
        <v>72</v>
      </c>
      <c r="J246" s="4" t="s">
        <v>11</v>
      </c>
      <c r="K246" s="8">
        <v>7106807</v>
      </c>
      <c r="L246" s="4">
        <v>2017</v>
      </c>
      <c r="M246" s="11" t="s">
        <v>111</v>
      </c>
      <c r="N246" s="4" t="s">
        <v>7</v>
      </c>
      <c r="O246">
        <v>110</v>
      </c>
      <c r="P246" s="4">
        <v>4</v>
      </c>
      <c r="Q246" s="4">
        <v>2</v>
      </c>
      <c r="R246" s="4">
        <v>2</v>
      </c>
      <c r="S246" s="4" t="s">
        <v>601</v>
      </c>
      <c r="T246">
        <v>293</v>
      </c>
      <c r="U246">
        <v>147</v>
      </c>
    </row>
    <row r="247" spans="1:23" hidden="1" x14ac:dyDescent="0.25">
      <c r="A247" t="s">
        <v>380</v>
      </c>
      <c r="B247"/>
      <c r="C247" s="2" t="str">
        <f t="shared" si="6"/>
        <v>Lord I Lift Your Name On High (G)</v>
      </c>
      <c r="D247" s="2"/>
      <c r="E247" s="2" t="str">
        <f t="shared" si="7"/>
        <v>Lord I Lift Your Name On High</v>
      </c>
      <c r="F247" t="s">
        <v>491</v>
      </c>
      <c r="G247" s="2" t="s">
        <v>132</v>
      </c>
      <c r="H247" s="2" t="s">
        <v>132</v>
      </c>
      <c r="I247" s="4">
        <v>86</v>
      </c>
      <c r="J247" s="6" t="s">
        <v>11</v>
      </c>
      <c r="K247" s="4">
        <v>117947</v>
      </c>
      <c r="L247" s="4">
        <v>1989</v>
      </c>
      <c r="M247" s="11" t="s">
        <v>396</v>
      </c>
      <c r="N247" s="4" t="s">
        <v>602</v>
      </c>
      <c r="O247">
        <v>111</v>
      </c>
      <c r="P247" s="4">
        <v>1</v>
      </c>
      <c r="Q247" s="4">
        <v>1</v>
      </c>
      <c r="R247" s="4">
        <v>1</v>
      </c>
      <c r="S247" s="4" t="s">
        <v>601</v>
      </c>
      <c r="T247">
        <v>280</v>
      </c>
      <c r="U247">
        <v>140</v>
      </c>
    </row>
    <row r="248" spans="1:23" hidden="1" x14ac:dyDescent="0.25">
      <c r="A248" t="s">
        <v>60</v>
      </c>
      <c r="B248"/>
      <c r="C248" s="2" t="str">
        <f t="shared" si="6"/>
        <v>Lord I Need You (B)</v>
      </c>
      <c r="D248" s="2"/>
      <c r="E248" s="2" t="str">
        <f t="shared" si="7"/>
        <v>Lord I Need You</v>
      </c>
      <c r="F248" t="s">
        <v>492</v>
      </c>
      <c r="G248" s="2" t="s">
        <v>136</v>
      </c>
      <c r="H248" s="2" t="s">
        <v>136</v>
      </c>
      <c r="I248" s="4">
        <v>74</v>
      </c>
      <c r="J248" s="4" t="s">
        <v>11</v>
      </c>
      <c r="K248" s="8">
        <v>5925687</v>
      </c>
      <c r="L248" s="4">
        <v>2011</v>
      </c>
      <c r="M248" s="4" t="s">
        <v>15</v>
      </c>
      <c r="N248" s="4" t="s">
        <v>7</v>
      </c>
      <c r="O248">
        <v>112</v>
      </c>
      <c r="P248" s="4">
        <v>4</v>
      </c>
      <c r="Q248" s="4">
        <v>2</v>
      </c>
      <c r="R248" s="4">
        <v>2</v>
      </c>
      <c r="S248" s="4" t="s">
        <v>601</v>
      </c>
      <c r="T248">
        <v>297</v>
      </c>
      <c r="U248">
        <v>149</v>
      </c>
      <c r="W248" s="4" t="s">
        <v>667</v>
      </c>
    </row>
    <row r="249" spans="1:23" hidden="1" x14ac:dyDescent="0.25">
      <c r="A249" t="s">
        <v>392</v>
      </c>
      <c r="B249"/>
      <c r="C249" s="2" t="str">
        <f t="shared" si="6"/>
        <v>Lord Is My Salvation, The (A)</v>
      </c>
      <c r="D249" s="2"/>
      <c r="E249" s="2" t="str">
        <f t="shared" si="7"/>
        <v>Lord Is My Salvation, The</v>
      </c>
      <c r="F249" t="s">
        <v>493</v>
      </c>
      <c r="G249" s="2" t="s">
        <v>8</v>
      </c>
      <c r="H249" s="2" t="s">
        <v>8</v>
      </c>
      <c r="I249" s="4">
        <v>69</v>
      </c>
      <c r="J249" s="6" t="s">
        <v>11</v>
      </c>
      <c r="K249" s="4">
        <v>7063694</v>
      </c>
      <c r="L249" s="4">
        <v>2016</v>
      </c>
      <c r="M249" s="4" t="s">
        <v>180</v>
      </c>
      <c r="N249" s="4" t="s">
        <v>7</v>
      </c>
      <c r="O249">
        <v>113</v>
      </c>
      <c r="P249" s="4">
        <v>4</v>
      </c>
      <c r="Q249" s="4">
        <v>3</v>
      </c>
      <c r="R249" s="4">
        <v>3</v>
      </c>
      <c r="S249" s="4" t="s">
        <v>601</v>
      </c>
      <c r="T249">
        <v>301</v>
      </c>
      <c r="U249">
        <v>151</v>
      </c>
    </row>
    <row r="250" spans="1:23" hidden="1" x14ac:dyDescent="0.25">
      <c r="A250" t="s">
        <v>393</v>
      </c>
      <c r="B250"/>
      <c r="C250" s="2" t="str">
        <f t="shared" si="6"/>
        <v>Lord Our God, The (C)</v>
      </c>
      <c r="D250" s="2"/>
      <c r="E250" s="2" t="str">
        <f t="shared" si="7"/>
        <v>Lord Our God, The</v>
      </c>
      <c r="F250" t="s">
        <v>494</v>
      </c>
      <c r="G250" s="2" t="s">
        <v>133</v>
      </c>
      <c r="H250" s="2" t="s">
        <v>133</v>
      </c>
      <c r="I250" s="4">
        <v>72</v>
      </c>
      <c r="J250" s="6" t="s">
        <v>11</v>
      </c>
      <c r="K250" s="10">
        <v>6518055</v>
      </c>
      <c r="L250" s="4">
        <v>2013</v>
      </c>
      <c r="M250" s="11" t="s">
        <v>15</v>
      </c>
      <c r="N250" s="4" t="s">
        <v>7</v>
      </c>
      <c r="O250">
        <v>114</v>
      </c>
      <c r="P250" s="4">
        <v>2</v>
      </c>
      <c r="Q250" s="4">
        <v>2</v>
      </c>
      <c r="R250" s="4">
        <v>2</v>
      </c>
      <c r="S250" s="4" t="s">
        <v>601</v>
      </c>
      <c r="T250">
        <v>337</v>
      </c>
      <c r="U250">
        <v>169</v>
      </c>
    </row>
    <row r="251" spans="1:23" hidden="1" x14ac:dyDescent="0.25">
      <c r="A251" t="s">
        <v>61</v>
      </c>
      <c r="B251"/>
      <c r="C251" s="2" t="str">
        <f t="shared" si="6"/>
        <v>Love Of God, The (D)</v>
      </c>
      <c r="D251" s="2"/>
      <c r="E251" s="2" t="str">
        <f t="shared" si="7"/>
        <v>Love Of God, The</v>
      </c>
      <c r="F251" t="s">
        <v>495</v>
      </c>
      <c r="G251" s="2" t="s">
        <v>122</v>
      </c>
      <c r="H251" s="2" t="s">
        <v>122</v>
      </c>
      <c r="I251" s="4">
        <v>82</v>
      </c>
      <c r="J251" s="6" t="s">
        <v>18</v>
      </c>
      <c r="K251" s="8">
        <v>18448</v>
      </c>
      <c r="L251" s="4">
        <v>1917</v>
      </c>
      <c r="M251" s="11" t="s">
        <v>112</v>
      </c>
      <c r="N251" s="4" t="s">
        <v>328</v>
      </c>
      <c r="O251">
        <v>115</v>
      </c>
      <c r="P251" s="4">
        <v>2</v>
      </c>
      <c r="Q251" s="4">
        <v>2</v>
      </c>
      <c r="R251" s="4">
        <v>2</v>
      </c>
      <c r="S251" s="4" t="s">
        <v>601</v>
      </c>
      <c r="T251">
        <v>339</v>
      </c>
      <c r="U251">
        <v>170</v>
      </c>
    </row>
    <row r="252" spans="1:23" hidden="1" x14ac:dyDescent="0.25">
      <c r="A252" t="s">
        <v>225</v>
      </c>
      <c r="B252"/>
      <c r="C252" s="2" t="str">
        <f t="shared" si="6"/>
        <v>Majesty (A)</v>
      </c>
      <c r="D252" s="2"/>
      <c r="E252" s="2" t="str">
        <f t="shared" si="7"/>
        <v>Majesty</v>
      </c>
      <c r="F252" t="s">
        <v>496</v>
      </c>
      <c r="G252" s="2" t="s">
        <v>8</v>
      </c>
      <c r="H252" s="2" t="s">
        <v>142</v>
      </c>
      <c r="J252" s="6" t="s">
        <v>11</v>
      </c>
      <c r="K252" s="10">
        <v>1527</v>
      </c>
      <c r="L252" s="4">
        <v>1981</v>
      </c>
      <c r="M252" s="11" t="s">
        <v>108</v>
      </c>
      <c r="N252" s="4" t="s">
        <v>602</v>
      </c>
      <c r="O252">
        <v>117</v>
      </c>
      <c r="P252" s="4">
        <v>2</v>
      </c>
      <c r="Q252" s="4">
        <v>1</v>
      </c>
      <c r="R252" s="4">
        <v>1</v>
      </c>
      <c r="S252" s="4" t="s">
        <v>601</v>
      </c>
      <c r="T252">
        <v>353</v>
      </c>
      <c r="U252">
        <v>177</v>
      </c>
    </row>
    <row r="253" spans="1:23" hidden="1" x14ac:dyDescent="0.25">
      <c r="A253" t="s">
        <v>225</v>
      </c>
      <c r="B253" t="s">
        <v>570</v>
      </c>
      <c r="C253" s="2" t="str">
        <f t="shared" si="6"/>
        <v>Majesty (Here I Am) (A)</v>
      </c>
      <c r="D253" s="2" t="s">
        <v>609</v>
      </c>
      <c r="E253" s="2" t="str">
        <f t="shared" si="7"/>
        <v>Majesty (Here I Am)</v>
      </c>
      <c r="F253" t="s">
        <v>497</v>
      </c>
      <c r="G253" s="2" t="s">
        <v>8</v>
      </c>
      <c r="H253" s="2" t="s">
        <v>142</v>
      </c>
      <c r="I253" s="4">
        <v>68</v>
      </c>
      <c r="J253" s="6" t="s">
        <v>11</v>
      </c>
      <c r="K253" s="10">
        <v>4219071</v>
      </c>
      <c r="L253" s="4">
        <v>2004</v>
      </c>
      <c r="M253" s="11" t="s">
        <v>300</v>
      </c>
      <c r="N253" s="4" t="s">
        <v>7</v>
      </c>
      <c r="O253">
        <v>116</v>
      </c>
      <c r="P253" s="4">
        <v>2</v>
      </c>
      <c r="Q253" s="4">
        <v>2</v>
      </c>
      <c r="R253" s="4">
        <v>2</v>
      </c>
      <c r="S253" s="4" t="s">
        <v>601</v>
      </c>
      <c r="T253">
        <v>355</v>
      </c>
      <c r="U253">
        <v>178</v>
      </c>
    </row>
    <row r="254" spans="1:23" hidden="1" x14ac:dyDescent="0.25">
      <c r="A254" t="s">
        <v>62</v>
      </c>
      <c r="B254"/>
      <c r="C254" s="2" t="str">
        <f t="shared" si="6"/>
        <v>Man Of Sorrows (F)</v>
      </c>
      <c r="D254" s="2"/>
      <c r="E254" s="2" t="str">
        <f t="shared" si="7"/>
        <v>Man Of Sorrows</v>
      </c>
      <c r="F254" t="s">
        <v>498</v>
      </c>
      <c r="G254" s="2" t="s">
        <v>146</v>
      </c>
      <c r="H254" s="2" t="s">
        <v>146</v>
      </c>
      <c r="I254" s="4">
        <v>72</v>
      </c>
      <c r="J254" s="4" t="s">
        <v>11</v>
      </c>
      <c r="K254" s="8">
        <v>6476063</v>
      </c>
      <c r="L254" s="4">
        <v>2012</v>
      </c>
      <c r="M254" s="4" t="s">
        <v>87</v>
      </c>
      <c r="N254" s="4" t="s">
        <v>7</v>
      </c>
      <c r="O254">
        <v>118</v>
      </c>
      <c r="P254" s="4">
        <v>3</v>
      </c>
      <c r="Q254" s="4">
        <v>2</v>
      </c>
      <c r="R254" s="4">
        <v>2</v>
      </c>
      <c r="S254" s="4" t="s">
        <v>601</v>
      </c>
      <c r="T254">
        <v>309</v>
      </c>
      <c r="U254">
        <v>155</v>
      </c>
    </row>
    <row r="255" spans="1:23" hidden="1" x14ac:dyDescent="0.25">
      <c r="A255" t="s">
        <v>63</v>
      </c>
      <c r="B255"/>
      <c r="C255" s="2" t="str">
        <f t="shared" si="6"/>
        <v>Mercy (C)</v>
      </c>
      <c r="D255" s="2"/>
      <c r="E255" s="2" t="str">
        <f t="shared" si="7"/>
        <v>Mercy</v>
      </c>
      <c r="F255" t="s">
        <v>449</v>
      </c>
      <c r="G255" s="2" t="s">
        <v>133</v>
      </c>
      <c r="H255" s="2" t="s">
        <v>133</v>
      </c>
      <c r="I255" s="4">
        <v>73</v>
      </c>
      <c r="J255" s="4" t="s">
        <v>11</v>
      </c>
      <c r="K255" s="8">
        <v>7000689</v>
      </c>
      <c r="L255" s="4">
        <v>2013</v>
      </c>
      <c r="M255" s="11" t="s">
        <v>113</v>
      </c>
      <c r="N255" s="4" t="s">
        <v>7</v>
      </c>
      <c r="O255">
        <v>119</v>
      </c>
      <c r="P255" s="4">
        <v>3</v>
      </c>
      <c r="Q255" s="4">
        <v>2</v>
      </c>
      <c r="R255" s="4">
        <v>2</v>
      </c>
      <c r="S255" s="4" t="s">
        <v>601</v>
      </c>
      <c r="T255">
        <v>313</v>
      </c>
      <c r="U255">
        <v>157</v>
      </c>
    </row>
    <row r="256" spans="1:23" hidden="1" x14ac:dyDescent="0.25">
      <c r="A256" t="s">
        <v>64</v>
      </c>
      <c r="B256"/>
      <c r="C256" s="2" t="str">
        <f t="shared" si="6"/>
        <v>Mighty To Save (A)</v>
      </c>
      <c r="D256" s="2"/>
      <c r="E256" s="2" t="str">
        <f t="shared" si="7"/>
        <v>Mighty To Save</v>
      </c>
      <c r="F256" t="s">
        <v>499</v>
      </c>
      <c r="G256" s="2" t="s">
        <v>8</v>
      </c>
      <c r="H256" s="2" t="s">
        <v>8</v>
      </c>
      <c r="I256" s="4">
        <v>74</v>
      </c>
      <c r="J256" s="4" t="s">
        <v>11</v>
      </c>
      <c r="K256" s="8">
        <v>4591782</v>
      </c>
      <c r="L256" s="4">
        <v>2006</v>
      </c>
      <c r="M256" s="4" t="s">
        <v>87</v>
      </c>
      <c r="N256" s="4" t="s">
        <v>7</v>
      </c>
      <c r="O256">
        <v>120</v>
      </c>
      <c r="P256" s="4">
        <v>4</v>
      </c>
      <c r="Q256" s="4">
        <v>2</v>
      </c>
      <c r="R256" s="4">
        <v>2</v>
      </c>
      <c r="S256" s="4" t="s">
        <v>601</v>
      </c>
      <c r="T256">
        <v>321</v>
      </c>
      <c r="U256">
        <v>161</v>
      </c>
    </row>
    <row r="257" spans="1:23" hidden="1" x14ac:dyDescent="0.25">
      <c r="A257" t="s">
        <v>586</v>
      </c>
      <c r="B257" t="s">
        <v>571</v>
      </c>
      <c r="C257" s="2" t="str">
        <f t="shared" si="6"/>
        <v>Mine Eyes Have Seen The Glory (Battle Hymn) (G)</v>
      </c>
      <c r="D257" s="2"/>
      <c r="E257" s="2" t="str">
        <f t="shared" si="7"/>
        <v>Mine Eyes Have Seen The Glory (Battle Hymn)</v>
      </c>
      <c r="F257" t="s">
        <v>500</v>
      </c>
      <c r="G257" s="2" t="s">
        <v>132</v>
      </c>
      <c r="H257" s="2" t="s">
        <v>142</v>
      </c>
      <c r="I257" s="4">
        <v>90</v>
      </c>
      <c r="J257" s="4" t="s">
        <v>11</v>
      </c>
      <c r="K257" s="7">
        <v>24133</v>
      </c>
      <c r="L257" s="4">
        <v>1862</v>
      </c>
      <c r="M257" s="11" t="s">
        <v>112</v>
      </c>
      <c r="N257" s="4" t="s">
        <v>328</v>
      </c>
      <c r="O257">
        <v>121</v>
      </c>
      <c r="P257" s="4">
        <v>2</v>
      </c>
      <c r="Q257" s="4">
        <v>2</v>
      </c>
      <c r="R257" s="4">
        <v>2</v>
      </c>
      <c r="S257" s="4" t="s">
        <v>601</v>
      </c>
      <c r="T257">
        <v>373</v>
      </c>
      <c r="U257">
        <v>187</v>
      </c>
    </row>
    <row r="258" spans="1:23" hidden="1" x14ac:dyDescent="0.25">
      <c r="A258" t="s">
        <v>65</v>
      </c>
      <c r="B258"/>
      <c r="C258" s="2" t="str">
        <f t="shared" si="6"/>
        <v>Mountain (D)</v>
      </c>
      <c r="D258" s="2"/>
      <c r="E258" s="2" t="str">
        <f t="shared" si="7"/>
        <v>Mountain</v>
      </c>
      <c r="F258" t="s">
        <v>205</v>
      </c>
      <c r="G258" s="2" t="s">
        <v>122</v>
      </c>
      <c r="H258" s="2" t="s">
        <v>122</v>
      </c>
      <c r="I258" s="4">
        <v>76</v>
      </c>
      <c r="J258" s="6" t="s">
        <v>11</v>
      </c>
      <c r="K258" s="7">
        <v>6428853</v>
      </c>
      <c r="L258" s="4">
        <v>2012</v>
      </c>
      <c r="M258" s="4" t="s">
        <v>87</v>
      </c>
      <c r="N258" s="4" t="s">
        <v>7</v>
      </c>
      <c r="O258">
        <v>123</v>
      </c>
      <c r="P258" s="4">
        <v>4</v>
      </c>
      <c r="Q258" s="4">
        <v>2</v>
      </c>
      <c r="R258" s="4" t="s">
        <v>551</v>
      </c>
      <c r="S258" s="4" t="s">
        <v>601</v>
      </c>
      <c r="T258">
        <v>325</v>
      </c>
      <c r="U258">
        <v>163</v>
      </c>
    </row>
    <row r="259" spans="1:23" hidden="1" x14ac:dyDescent="0.25">
      <c r="A259" t="s">
        <v>65</v>
      </c>
      <c r="B259" t="s">
        <v>572</v>
      </c>
      <c r="C259" s="2" t="str">
        <f t="shared" si="6"/>
        <v>Mountain (You're Wonderful) (B)</v>
      </c>
      <c r="D259" s="2"/>
      <c r="E259" s="2" t="str">
        <f t="shared" si="7"/>
        <v>Mountain (You're Wonderful)</v>
      </c>
      <c r="F259" t="s">
        <v>501</v>
      </c>
      <c r="G259" s="2" t="s">
        <v>136</v>
      </c>
      <c r="H259" s="2" t="s">
        <v>136</v>
      </c>
      <c r="I259" s="4">
        <v>91</v>
      </c>
      <c r="J259" s="6" t="s">
        <v>11</v>
      </c>
      <c r="K259" s="8">
        <v>7065990</v>
      </c>
      <c r="L259" s="4">
        <v>2016</v>
      </c>
      <c r="M259" s="4" t="s">
        <v>111</v>
      </c>
      <c r="N259" s="4" t="s">
        <v>7</v>
      </c>
      <c r="O259">
        <v>122</v>
      </c>
      <c r="P259" s="4">
        <v>3</v>
      </c>
      <c r="Q259" s="4">
        <v>2</v>
      </c>
      <c r="R259" s="4">
        <v>2</v>
      </c>
      <c r="S259" s="4" t="s">
        <v>601</v>
      </c>
      <c r="T259">
        <v>329</v>
      </c>
      <c r="U259">
        <v>165</v>
      </c>
      <c r="W259" s="4" t="s">
        <v>667</v>
      </c>
    </row>
    <row r="260" spans="1:23" hidden="1" x14ac:dyDescent="0.25">
      <c r="A260" t="s">
        <v>139</v>
      </c>
      <c r="B260"/>
      <c r="C260" s="2" t="str">
        <f t="shared" si="6"/>
        <v>My Lighthouse (C)</v>
      </c>
      <c r="D260" s="2"/>
      <c r="E260" s="2" t="str">
        <f t="shared" si="7"/>
        <v>My Lighthouse</v>
      </c>
      <c r="F260" t="s">
        <v>424</v>
      </c>
      <c r="G260" s="2" t="s">
        <v>133</v>
      </c>
      <c r="H260" s="2" t="s">
        <v>133</v>
      </c>
      <c r="I260" s="4">
        <v>110</v>
      </c>
      <c r="J260" s="6" t="s">
        <v>11</v>
      </c>
      <c r="K260" s="10">
        <v>7002032</v>
      </c>
      <c r="L260" s="4">
        <v>2013</v>
      </c>
      <c r="M260" s="11" t="s">
        <v>16</v>
      </c>
      <c r="N260" s="4" t="s">
        <v>7</v>
      </c>
      <c r="O260">
        <v>124</v>
      </c>
      <c r="P260" s="4">
        <v>3</v>
      </c>
      <c r="Q260" s="4">
        <v>2</v>
      </c>
      <c r="R260" s="4">
        <v>2</v>
      </c>
      <c r="S260" s="4" t="s">
        <v>601</v>
      </c>
      <c r="T260">
        <v>333</v>
      </c>
      <c r="U260">
        <v>167</v>
      </c>
    </row>
    <row r="261" spans="1:23" hidden="1" x14ac:dyDescent="0.25">
      <c r="A261" t="s">
        <v>156</v>
      </c>
      <c r="B261"/>
      <c r="C261" s="2" t="str">
        <f t="shared" si="6"/>
        <v>My Redeemer Lives (E)</v>
      </c>
      <c r="D261" s="2"/>
      <c r="E261" s="2" t="str">
        <f t="shared" si="7"/>
        <v>My Redeemer Lives</v>
      </c>
      <c r="F261" t="s">
        <v>502</v>
      </c>
      <c r="G261" s="2" t="s">
        <v>12</v>
      </c>
      <c r="H261" s="2" t="s">
        <v>12</v>
      </c>
      <c r="I261" s="4">
        <v>138</v>
      </c>
      <c r="J261" s="6" t="s">
        <v>11</v>
      </c>
      <c r="K261" s="10">
        <v>2397964</v>
      </c>
      <c r="L261" s="4">
        <v>1998</v>
      </c>
      <c r="M261" s="4" t="s">
        <v>87</v>
      </c>
      <c r="N261" s="4" t="s">
        <v>602</v>
      </c>
      <c r="O261">
        <v>125</v>
      </c>
      <c r="P261" s="4">
        <v>2</v>
      </c>
      <c r="Q261" s="4">
        <v>2</v>
      </c>
      <c r="R261" s="4">
        <v>2</v>
      </c>
      <c r="S261" s="4" t="s">
        <v>601</v>
      </c>
      <c r="T261">
        <v>375</v>
      </c>
      <c r="U261">
        <v>188</v>
      </c>
      <c r="W261" s="4" t="s">
        <v>666</v>
      </c>
    </row>
    <row r="262" spans="1:23" hidden="1" x14ac:dyDescent="0.25">
      <c r="A262" t="s">
        <v>354</v>
      </c>
      <c r="B262"/>
      <c r="C262" s="2" t="str">
        <f t="shared" si="6"/>
        <v>Nearer My God To Thee (F)</v>
      </c>
      <c r="D262" s="2" t="s">
        <v>610</v>
      </c>
      <c r="E262" s="2" t="str">
        <f t="shared" si="7"/>
        <v>Nearer My God To Thee</v>
      </c>
      <c r="F262" t="s">
        <v>503</v>
      </c>
      <c r="G262" s="2" t="s">
        <v>146</v>
      </c>
      <c r="H262" s="2" t="s">
        <v>146</v>
      </c>
      <c r="I262" s="4">
        <v>100</v>
      </c>
      <c r="J262" s="6" t="s">
        <v>11</v>
      </c>
      <c r="K262" s="4">
        <v>78835</v>
      </c>
      <c r="L262" s="4">
        <v>1841</v>
      </c>
      <c r="M262" s="11" t="s">
        <v>112</v>
      </c>
      <c r="N262" s="4" t="s">
        <v>328</v>
      </c>
      <c r="O262">
        <v>126</v>
      </c>
      <c r="P262" s="4">
        <v>2</v>
      </c>
      <c r="Q262" s="4">
        <v>3</v>
      </c>
      <c r="R262" s="4">
        <v>3</v>
      </c>
      <c r="S262" s="4" t="s">
        <v>601</v>
      </c>
      <c r="T262">
        <v>377</v>
      </c>
      <c r="U262">
        <v>189</v>
      </c>
    </row>
    <row r="263" spans="1:23" hidden="1" x14ac:dyDescent="0.25">
      <c r="A263" t="s">
        <v>157</v>
      </c>
      <c r="B263"/>
      <c r="C263" s="2" t="str">
        <f t="shared" si="6"/>
        <v>New Wine (A)</v>
      </c>
      <c r="D263" s="2"/>
      <c r="E263" s="2" t="str">
        <f t="shared" si="7"/>
        <v>New Wine</v>
      </c>
      <c r="F263" t="s">
        <v>464</v>
      </c>
      <c r="G263" s="2" t="s">
        <v>8</v>
      </c>
      <c r="H263" s="2" t="s">
        <v>142</v>
      </c>
      <c r="I263" s="4">
        <v>77</v>
      </c>
      <c r="J263" s="6" t="s">
        <v>11</v>
      </c>
      <c r="K263" s="10">
        <v>7102397</v>
      </c>
      <c r="L263" s="4">
        <v>2017</v>
      </c>
      <c r="M263" s="4" t="s">
        <v>87</v>
      </c>
      <c r="N263" s="4" t="s">
        <v>7</v>
      </c>
      <c r="O263">
        <v>127</v>
      </c>
      <c r="P263" s="4">
        <v>4</v>
      </c>
      <c r="Q263" s="4">
        <v>2</v>
      </c>
      <c r="R263" s="4">
        <v>2</v>
      </c>
      <c r="S263" s="4" t="s">
        <v>601</v>
      </c>
      <c r="T263">
        <v>341</v>
      </c>
      <c r="U263">
        <v>171</v>
      </c>
    </row>
    <row r="264" spans="1:23" hidden="1" x14ac:dyDescent="0.25">
      <c r="A264" t="s">
        <v>66</v>
      </c>
      <c r="B264"/>
      <c r="C264" s="2" t="str">
        <f t="shared" si="6"/>
        <v>No Longer Slaves (A)</v>
      </c>
      <c r="D264" s="2"/>
      <c r="E264" s="2" t="str">
        <f t="shared" si="7"/>
        <v>No Longer Slaves</v>
      </c>
      <c r="F264" t="s">
        <v>504</v>
      </c>
      <c r="G264" s="2" t="s">
        <v>8</v>
      </c>
      <c r="H264" s="2" t="s">
        <v>142</v>
      </c>
      <c r="I264" s="4">
        <v>74</v>
      </c>
      <c r="J264" s="6" t="s">
        <v>11</v>
      </c>
      <c r="K264" s="8">
        <v>7030123</v>
      </c>
      <c r="L264" s="4">
        <v>2014</v>
      </c>
      <c r="M264" s="11" t="s">
        <v>114</v>
      </c>
      <c r="N264" s="4" t="s">
        <v>7</v>
      </c>
      <c r="O264">
        <v>128</v>
      </c>
      <c r="P264" s="4">
        <v>3</v>
      </c>
      <c r="Q264" s="4">
        <v>2</v>
      </c>
      <c r="R264" s="4">
        <v>2</v>
      </c>
      <c r="S264" s="4" t="s">
        <v>601</v>
      </c>
      <c r="T264">
        <v>345</v>
      </c>
      <c r="U264">
        <v>173</v>
      </c>
    </row>
    <row r="265" spans="1:23" hidden="1" x14ac:dyDescent="0.25">
      <c r="A265" t="s">
        <v>67</v>
      </c>
      <c r="B265"/>
      <c r="C265" s="2" t="str">
        <f t="shared" ref="C265:C296" si="8">_xlfn.CONCAT(A265, IF(ISBLANK(B265),," ("),B265,IF(ISBLANK(B265),,")"), " (",G265,")")</f>
        <v>O Church Arise (D)</v>
      </c>
      <c r="D265" s="2" t="s">
        <v>611</v>
      </c>
      <c r="E265" s="2" t="str">
        <f t="shared" ref="E265:E296" si="9">_xlfn.CONCAT(A265, IF(ISBLANK(B265),," ("),B265,IF(ISBLANK(B265),,")"))</f>
        <v>O Church Arise</v>
      </c>
      <c r="F265" t="s">
        <v>476</v>
      </c>
      <c r="G265" s="2" t="s">
        <v>122</v>
      </c>
      <c r="H265" s="2" t="s">
        <v>122</v>
      </c>
      <c r="I265" s="4">
        <v>58</v>
      </c>
      <c r="J265" s="6" t="s">
        <v>18</v>
      </c>
      <c r="K265" s="8">
        <v>4611992</v>
      </c>
      <c r="L265" s="4">
        <v>2005</v>
      </c>
      <c r="M265" s="4" t="s">
        <v>16</v>
      </c>
      <c r="N265" s="4" t="s">
        <v>7</v>
      </c>
      <c r="O265">
        <v>129</v>
      </c>
      <c r="P265" s="4">
        <v>2</v>
      </c>
      <c r="Q265" s="4">
        <v>2</v>
      </c>
      <c r="R265" s="4">
        <v>2</v>
      </c>
      <c r="S265" s="4" t="s">
        <v>601</v>
      </c>
      <c r="T265">
        <v>379</v>
      </c>
      <c r="U265">
        <v>190</v>
      </c>
    </row>
    <row r="266" spans="1:23" hidden="1" x14ac:dyDescent="0.25">
      <c r="A266" t="s">
        <v>68</v>
      </c>
      <c r="B266"/>
      <c r="C266" s="2" t="str">
        <f t="shared" si="8"/>
        <v>O Come To The Altar (B)</v>
      </c>
      <c r="D266" s="2"/>
      <c r="E266" s="2" t="str">
        <f t="shared" si="9"/>
        <v>O Come To The Altar</v>
      </c>
      <c r="F266" t="s">
        <v>505</v>
      </c>
      <c r="G266" s="2" t="s">
        <v>136</v>
      </c>
      <c r="H266" s="2" t="s">
        <v>136</v>
      </c>
      <c r="I266" s="4">
        <v>140</v>
      </c>
      <c r="J266" s="6" t="s">
        <v>94</v>
      </c>
      <c r="K266" s="8">
        <v>7051511</v>
      </c>
      <c r="L266" s="4">
        <v>2015</v>
      </c>
      <c r="M266" s="4" t="s">
        <v>101</v>
      </c>
      <c r="N266" s="4" t="s">
        <v>7</v>
      </c>
      <c r="O266">
        <v>130</v>
      </c>
      <c r="P266" s="4">
        <v>4</v>
      </c>
      <c r="Q266" s="4">
        <v>2</v>
      </c>
      <c r="R266" s="4">
        <v>2</v>
      </c>
      <c r="S266" s="4" t="s">
        <v>601</v>
      </c>
      <c r="T266">
        <v>357</v>
      </c>
      <c r="U266">
        <v>179</v>
      </c>
      <c r="W266" s="4" t="s">
        <v>667</v>
      </c>
    </row>
    <row r="267" spans="1:23" hidden="1" x14ac:dyDescent="0.25">
      <c r="A267" t="s">
        <v>69</v>
      </c>
      <c r="B267"/>
      <c r="C267" s="2" t="str">
        <f t="shared" si="8"/>
        <v>O Praise The Name (C)</v>
      </c>
      <c r="D267" s="2"/>
      <c r="E267" s="2" t="str">
        <f t="shared" si="9"/>
        <v>O Praise The Name</v>
      </c>
      <c r="F267" t="s">
        <v>506</v>
      </c>
      <c r="G267" s="2" t="s">
        <v>133</v>
      </c>
      <c r="H267" s="2" t="s">
        <v>133</v>
      </c>
      <c r="I267" s="4">
        <v>72</v>
      </c>
      <c r="J267" s="6" t="s">
        <v>11</v>
      </c>
      <c r="K267" s="8">
        <v>7037787</v>
      </c>
      <c r="L267" s="4">
        <v>2015</v>
      </c>
      <c r="M267" s="4" t="s">
        <v>87</v>
      </c>
      <c r="N267" s="4" t="s">
        <v>7</v>
      </c>
      <c r="O267">
        <v>131</v>
      </c>
      <c r="P267" s="4">
        <v>3</v>
      </c>
      <c r="Q267" s="4">
        <v>2</v>
      </c>
      <c r="R267" s="4">
        <v>2</v>
      </c>
      <c r="S267" s="4" t="s">
        <v>601</v>
      </c>
      <c r="T267">
        <v>349</v>
      </c>
      <c r="U267">
        <v>175</v>
      </c>
    </row>
    <row r="268" spans="1:23" hidden="1" x14ac:dyDescent="0.25">
      <c r="A268" t="s">
        <v>355</v>
      </c>
      <c r="B268"/>
      <c r="C268" s="2" t="str">
        <f t="shared" si="8"/>
        <v>O The Deep Deep Love Of Jesus (Em)</v>
      </c>
      <c r="D268" s="2"/>
      <c r="E268" s="2" t="str">
        <f t="shared" si="9"/>
        <v>O The Deep Deep Love Of Jesus</v>
      </c>
      <c r="F268" t="s">
        <v>507</v>
      </c>
      <c r="G268" s="2" t="s">
        <v>366</v>
      </c>
      <c r="H268" s="2" t="s">
        <v>366</v>
      </c>
      <c r="I268" s="4">
        <v>72</v>
      </c>
      <c r="J268" s="6" t="s">
        <v>11</v>
      </c>
      <c r="K268" s="4">
        <v>137178</v>
      </c>
      <c r="L268" s="4">
        <v>1875</v>
      </c>
      <c r="M268" s="11" t="s">
        <v>112</v>
      </c>
      <c r="N268" s="4" t="s">
        <v>328</v>
      </c>
      <c r="O268">
        <v>132</v>
      </c>
      <c r="P268" s="4">
        <v>2</v>
      </c>
      <c r="Q268" s="4">
        <v>2</v>
      </c>
      <c r="R268" s="4">
        <v>2</v>
      </c>
      <c r="S268" s="4" t="s">
        <v>601</v>
      </c>
      <c r="T268">
        <v>381</v>
      </c>
      <c r="U268">
        <v>191</v>
      </c>
    </row>
    <row r="269" spans="1:23" hidden="1" x14ac:dyDescent="0.25">
      <c r="A269" t="s">
        <v>70</v>
      </c>
      <c r="B269" t="s">
        <v>573</v>
      </c>
      <c r="C269" s="2" t="str">
        <f t="shared" si="8"/>
        <v>Oceans (Where Feet May Fail) (D)</v>
      </c>
      <c r="D269" s="2"/>
      <c r="E269" s="2" t="str">
        <f t="shared" si="9"/>
        <v>Oceans (Where Feet May Fail)</v>
      </c>
      <c r="F269" t="s">
        <v>508</v>
      </c>
      <c r="G269" s="2" t="s">
        <v>122</v>
      </c>
      <c r="H269" s="2" t="s">
        <v>122</v>
      </c>
      <c r="I269" s="4">
        <v>60</v>
      </c>
      <c r="J269" s="6" t="s">
        <v>11</v>
      </c>
      <c r="K269" s="8">
        <v>6428767</v>
      </c>
      <c r="L269" s="4">
        <v>2012</v>
      </c>
      <c r="M269" s="4" t="s">
        <v>87</v>
      </c>
      <c r="N269" s="4" t="s">
        <v>7</v>
      </c>
      <c r="O269">
        <v>133</v>
      </c>
      <c r="P269" s="4">
        <v>4</v>
      </c>
      <c r="Q269" s="4">
        <v>3</v>
      </c>
      <c r="R269" s="4">
        <v>3</v>
      </c>
      <c r="S269" s="4" t="s">
        <v>601</v>
      </c>
      <c r="T269">
        <v>361</v>
      </c>
      <c r="U269">
        <v>181</v>
      </c>
    </row>
    <row r="270" spans="1:23" hidden="1" x14ac:dyDescent="0.25">
      <c r="A270" t="s">
        <v>306</v>
      </c>
      <c r="B270"/>
      <c r="C270" s="2" t="str">
        <f t="shared" si="8"/>
        <v>Oh What Love (D)</v>
      </c>
      <c r="D270" s="2"/>
      <c r="E270" s="2" t="str">
        <f t="shared" si="9"/>
        <v>Oh What Love</v>
      </c>
      <c r="F270" t="s">
        <v>461</v>
      </c>
      <c r="G270" s="2" t="s">
        <v>122</v>
      </c>
      <c r="H270" s="2" t="s">
        <v>122</v>
      </c>
      <c r="I270" s="4">
        <v>70</v>
      </c>
      <c r="J270" s="6" t="s">
        <v>11</v>
      </c>
      <c r="K270" s="4">
        <v>7044259</v>
      </c>
      <c r="L270" s="4">
        <v>2015</v>
      </c>
      <c r="M270" s="4" t="s">
        <v>16</v>
      </c>
      <c r="N270" s="4" t="s">
        <v>7</v>
      </c>
      <c r="O270">
        <v>134</v>
      </c>
      <c r="P270" s="4">
        <v>3</v>
      </c>
      <c r="Q270" s="4">
        <v>2</v>
      </c>
      <c r="R270" s="4" t="s">
        <v>551</v>
      </c>
      <c r="S270" s="4" t="s">
        <v>601</v>
      </c>
      <c r="T270">
        <v>365</v>
      </c>
      <c r="U270">
        <v>183</v>
      </c>
    </row>
    <row r="271" spans="1:23" hidden="1" x14ac:dyDescent="0.25">
      <c r="A271" t="s">
        <v>226</v>
      </c>
      <c r="B271"/>
      <c r="C271" s="2" t="str">
        <f t="shared" si="8"/>
        <v>Once Again (D)</v>
      </c>
      <c r="D271" s="2"/>
      <c r="E271" s="2" t="str">
        <f t="shared" si="9"/>
        <v>Once Again</v>
      </c>
      <c r="F271" t="s">
        <v>418</v>
      </c>
      <c r="G271" s="2" t="s">
        <v>122</v>
      </c>
      <c r="H271" s="2" t="s">
        <v>198</v>
      </c>
      <c r="I271" s="4">
        <v>71</v>
      </c>
      <c r="J271" s="6" t="s">
        <v>11</v>
      </c>
      <c r="K271" s="4">
        <v>1564362</v>
      </c>
      <c r="L271" s="4">
        <v>1995</v>
      </c>
      <c r="M271" s="4" t="s">
        <v>16</v>
      </c>
      <c r="N271" s="4" t="s">
        <v>602</v>
      </c>
      <c r="O271">
        <v>135</v>
      </c>
      <c r="P271" s="4">
        <v>2</v>
      </c>
      <c r="Q271" s="4">
        <v>1</v>
      </c>
      <c r="R271" s="4">
        <v>1</v>
      </c>
      <c r="S271" s="4" t="s">
        <v>601</v>
      </c>
      <c r="T271">
        <v>383</v>
      </c>
      <c r="U271">
        <v>192</v>
      </c>
    </row>
    <row r="272" spans="1:23" hidden="1" x14ac:dyDescent="0.25">
      <c r="A272" t="s">
        <v>587</v>
      </c>
      <c r="B272" t="s">
        <v>127</v>
      </c>
      <c r="C272" s="2" t="str">
        <f t="shared" si="8"/>
        <v>One Thing Remains (Your Love Never Fails) (G)</v>
      </c>
      <c r="D272" s="2"/>
      <c r="E272" s="2" t="str">
        <f t="shared" si="9"/>
        <v>One Thing Remains (Your Love Never Fails)</v>
      </c>
      <c r="F272" t="s">
        <v>509</v>
      </c>
      <c r="G272" s="2" t="s">
        <v>132</v>
      </c>
      <c r="H272" s="2" t="s">
        <v>142</v>
      </c>
      <c r="I272" s="4">
        <v>78</v>
      </c>
      <c r="J272" s="6" t="s">
        <v>11</v>
      </c>
      <c r="K272" s="10">
        <v>5508444</v>
      </c>
      <c r="L272" s="4">
        <v>2010</v>
      </c>
      <c r="M272" s="11" t="s">
        <v>302</v>
      </c>
      <c r="N272" s="4" t="s">
        <v>7</v>
      </c>
      <c r="O272">
        <v>136</v>
      </c>
      <c r="P272" s="4">
        <v>3</v>
      </c>
      <c r="Q272" s="4">
        <v>2</v>
      </c>
      <c r="R272" s="4">
        <v>2</v>
      </c>
      <c r="S272" s="4" t="s">
        <v>601</v>
      </c>
      <c r="T272">
        <v>369</v>
      </c>
      <c r="U272">
        <v>185</v>
      </c>
    </row>
    <row r="273" spans="1:23" hidden="1" x14ac:dyDescent="0.25">
      <c r="A273" t="s">
        <v>389</v>
      </c>
      <c r="B273"/>
      <c r="C273" s="2" t="str">
        <f t="shared" si="8"/>
        <v>Onward Christian Soldiers (F)</v>
      </c>
      <c r="D273" s="2"/>
      <c r="E273" s="2" t="str">
        <f t="shared" si="9"/>
        <v>Onward Christian Soldiers</v>
      </c>
      <c r="F273" t="s">
        <v>510</v>
      </c>
      <c r="G273" s="4" t="s">
        <v>146</v>
      </c>
      <c r="H273" s="4" t="s">
        <v>146</v>
      </c>
      <c r="I273" s="4">
        <v>96</v>
      </c>
      <c r="J273" s="6" t="s">
        <v>11</v>
      </c>
      <c r="K273" s="4">
        <v>47017</v>
      </c>
      <c r="L273" s="4">
        <v>1865</v>
      </c>
      <c r="M273" s="4" t="s">
        <v>112</v>
      </c>
      <c r="N273" s="4" t="s">
        <v>328</v>
      </c>
      <c r="O273">
        <v>137</v>
      </c>
      <c r="P273" s="4">
        <v>2</v>
      </c>
      <c r="Q273" s="4">
        <v>2</v>
      </c>
      <c r="R273" s="4">
        <v>2</v>
      </c>
      <c r="S273" s="4" t="s">
        <v>601</v>
      </c>
      <c r="T273">
        <v>409</v>
      </c>
      <c r="U273">
        <v>205</v>
      </c>
    </row>
    <row r="274" spans="1:23" hidden="1" x14ac:dyDescent="0.25">
      <c r="A274" t="s">
        <v>158</v>
      </c>
      <c r="B274"/>
      <c r="C274" s="2" t="str">
        <f t="shared" si="8"/>
        <v>Open The Eyes Of My Heart (E)</v>
      </c>
      <c r="D274" s="2"/>
      <c r="E274" s="2" t="str">
        <f t="shared" si="9"/>
        <v>Open The Eyes Of My Heart</v>
      </c>
      <c r="F274" t="s">
        <v>320</v>
      </c>
      <c r="G274" s="2" t="s">
        <v>12</v>
      </c>
      <c r="H274" s="2" t="s">
        <v>12</v>
      </c>
      <c r="I274" s="4">
        <v>112</v>
      </c>
      <c r="J274" s="6" t="s">
        <v>11</v>
      </c>
      <c r="K274" s="10">
        <v>2298355</v>
      </c>
      <c r="L274" s="4">
        <v>1997</v>
      </c>
      <c r="M274" s="4" t="s">
        <v>104</v>
      </c>
      <c r="N274" s="4" t="s">
        <v>602</v>
      </c>
      <c r="O274">
        <v>138</v>
      </c>
      <c r="P274" s="4">
        <v>2</v>
      </c>
      <c r="Q274" s="4">
        <v>1</v>
      </c>
      <c r="R274" s="4">
        <v>1</v>
      </c>
      <c r="S274" s="4" t="s">
        <v>601</v>
      </c>
      <c r="T274">
        <v>411</v>
      </c>
      <c r="U274">
        <v>206</v>
      </c>
      <c r="W274" s="4" t="s">
        <v>666</v>
      </c>
    </row>
    <row r="275" spans="1:23" hidden="1" x14ac:dyDescent="0.25">
      <c r="A275" t="s">
        <v>71</v>
      </c>
      <c r="B275" t="s">
        <v>574</v>
      </c>
      <c r="C275" s="2" t="str">
        <f t="shared" si="8"/>
        <v>Our God (Water You Turned Into Wine) (B)</v>
      </c>
      <c r="D275" s="2"/>
      <c r="E275" s="2" t="str">
        <f t="shared" si="9"/>
        <v>Our God (Water You Turned Into Wine)</v>
      </c>
      <c r="F275" t="s">
        <v>402</v>
      </c>
      <c r="G275" s="2" t="s">
        <v>136</v>
      </c>
      <c r="H275" s="2" t="s">
        <v>136</v>
      </c>
      <c r="I275" s="4">
        <v>105</v>
      </c>
      <c r="J275" s="6" t="s">
        <v>11</v>
      </c>
      <c r="K275" s="8">
        <v>5677416</v>
      </c>
      <c r="L275" s="4">
        <v>2010</v>
      </c>
      <c r="M275" s="11" t="s">
        <v>113</v>
      </c>
      <c r="N275" s="4" t="s">
        <v>7</v>
      </c>
      <c r="O275">
        <v>139</v>
      </c>
      <c r="P275" s="4">
        <v>5</v>
      </c>
      <c r="Q275" s="4">
        <v>2</v>
      </c>
      <c r="R275" s="4">
        <v>2</v>
      </c>
      <c r="S275" s="4" t="s">
        <v>601</v>
      </c>
      <c r="T275">
        <v>385</v>
      </c>
      <c r="U275">
        <v>193</v>
      </c>
      <c r="W275" s="4" t="s">
        <v>667</v>
      </c>
    </row>
    <row r="276" spans="1:23" hidden="1" x14ac:dyDescent="0.25">
      <c r="A276" t="s">
        <v>394</v>
      </c>
      <c r="B276"/>
      <c r="C276" s="2" t="str">
        <f t="shared" si="8"/>
        <v>Power Of The Cross, The (A)</v>
      </c>
      <c r="D276" s="2" t="s">
        <v>612</v>
      </c>
      <c r="E276" s="2" t="str">
        <f t="shared" si="9"/>
        <v>Power Of The Cross, The</v>
      </c>
      <c r="F276" t="s">
        <v>476</v>
      </c>
      <c r="G276" s="2" t="s">
        <v>8</v>
      </c>
      <c r="H276" s="2" t="s">
        <v>8</v>
      </c>
      <c r="I276" s="4">
        <v>68</v>
      </c>
      <c r="J276" s="6" t="s">
        <v>11</v>
      </c>
      <c r="K276" s="10">
        <v>4490766</v>
      </c>
      <c r="L276" s="4">
        <v>2005</v>
      </c>
      <c r="M276" s="11" t="s">
        <v>16</v>
      </c>
      <c r="N276" s="4" t="s">
        <v>7</v>
      </c>
      <c r="O276">
        <v>140</v>
      </c>
      <c r="P276" s="4">
        <v>2</v>
      </c>
      <c r="Q276" s="4">
        <v>2</v>
      </c>
      <c r="R276" s="4">
        <v>2</v>
      </c>
      <c r="S276" s="4" t="s">
        <v>601</v>
      </c>
      <c r="T276">
        <v>417</v>
      </c>
      <c r="U276">
        <v>209</v>
      </c>
    </row>
    <row r="277" spans="1:23" hidden="1" x14ac:dyDescent="0.25">
      <c r="A277" t="s">
        <v>83</v>
      </c>
      <c r="B277"/>
      <c r="C277" s="2" t="str">
        <f t="shared" si="8"/>
        <v>Power Of Your Love, The (A)</v>
      </c>
      <c r="D277" s="2"/>
      <c r="E277" s="2" t="str">
        <f t="shared" si="9"/>
        <v>Power Of Your Love, The</v>
      </c>
      <c r="F277" t="s">
        <v>511</v>
      </c>
      <c r="G277" s="2" t="s">
        <v>8</v>
      </c>
      <c r="H277" s="2" t="s">
        <v>142</v>
      </c>
      <c r="I277" s="4">
        <v>85</v>
      </c>
      <c r="J277" s="6" t="s">
        <v>11</v>
      </c>
      <c r="K277" s="8">
        <v>917491</v>
      </c>
      <c r="L277" s="4">
        <v>1992</v>
      </c>
      <c r="M277" s="11" t="s">
        <v>121</v>
      </c>
      <c r="N277" s="4" t="s">
        <v>602</v>
      </c>
      <c r="O277">
        <v>141</v>
      </c>
      <c r="P277" s="4">
        <v>2</v>
      </c>
      <c r="Q277" s="4">
        <v>1</v>
      </c>
      <c r="R277" s="4">
        <v>1</v>
      </c>
      <c r="S277" s="4" t="s">
        <v>601</v>
      </c>
      <c r="T277">
        <v>419</v>
      </c>
      <c r="U277">
        <v>210</v>
      </c>
    </row>
    <row r="278" spans="1:23" hidden="1" x14ac:dyDescent="0.25">
      <c r="A278" t="s">
        <v>304</v>
      </c>
      <c r="B278"/>
      <c r="C278" s="2" t="str">
        <f t="shared" si="8"/>
        <v>Praise You In This Storm (F)</v>
      </c>
      <c r="D278" s="2"/>
      <c r="E278" s="2" t="str">
        <f t="shared" si="9"/>
        <v>Praise You In This Storm</v>
      </c>
      <c r="F278" t="s">
        <v>512</v>
      </c>
      <c r="G278" s="2" t="s">
        <v>146</v>
      </c>
      <c r="H278" s="2" t="s">
        <v>168</v>
      </c>
      <c r="I278" s="4">
        <v>84</v>
      </c>
      <c r="J278" s="6" t="s">
        <v>11</v>
      </c>
      <c r="K278" s="4">
        <v>4543620</v>
      </c>
      <c r="L278" s="4">
        <v>2005</v>
      </c>
      <c r="M278" s="4" t="s">
        <v>178</v>
      </c>
      <c r="N278" s="4" t="s">
        <v>7</v>
      </c>
      <c r="O278">
        <v>142</v>
      </c>
      <c r="P278" s="4">
        <v>4</v>
      </c>
      <c r="Q278" s="4">
        <v>2</v>
      </c>
      <c r="R278" s="4">
        <v>2</v>
      </c>
      <c r="S278" s="4" t="s">
        <v>601</v>
      </c>
      <c r="T278">
        <v>393</v>
      </c>
      <c r="U278">
        <v>197</v>
      </c>
      <c r="V278" s="4" t="s">
        <v>669</v>
      </c>
    </row>
    <row r="279" spans="1:23" hidden="1" x14ac:dyDescent="0.25">
      <c r="A279" t="s">
        <v>72</v>
      </c>
      <c r="B279"/>
      <c r="C279" s="2" t="str">
        <f t="shared" si="8"/>
        <v>Reckless Love (F)</v>
      </c>
      <c r="D279" s="2" t="s">
        <v>613</v>
      </c>
      <c r="E279" s="2" t="str">
        <f t="shared" si="9"/>
        <v>Reckless Love</v>
      </c>
      <c r="F279" t="s">
        <v>513</v>
      </c>
      <c r="G279" s="2" t="s">
        <v>146</v>
      </c>
      <c r="H279" s="2" t="s">
        <v>168</v>
      </c>
      <c r="I279" s="4">
        <v>56</v>
      </c>
      <c r="J279" s="6" t="s">
        <v>94</v>
      </c>
      <c r="K279" s="8">
        <v>7089641</v>
      </c>
      <c r="L279" s="4">
        <v>2017</v>
      </c>
      <c r="M279" s="11" t="s">
        <v>91</v>
      </c>
      <c r="N279" s="4" t="s">
        <v>7</v>
      </c>
      <c r="O279">
        <v>143</v>
      </c>
      <c r="P279" s="4">
        <v>4</v>
      </c>
      <c r="Q279" s="4">
        <v>2</v>
      </c>
      <c r="R279" s="4">
        <v>2</v>
      </c>
      <c r="S279" s="4" t="s">
        <v>601</v>
      </c>
      <c r="T279">
        <v>397</v>
      </c>
      <c r="U279">
        <v>199</v>
      </c>
    </row>
    <row r="280" spans="1:23" hidden="1" x14ac:dyDescent="0.25">
      <c r="A280" t="s">
        <v>140</v>
      </c>
      <c r="B280"/>
      <c r="C280" s="2" t="str">
        <f t="shared" si="8"/>
        <v>Resurrecting (C)</v>
      </c>
      <c r="D280" s="2"/>
      <c r="E280" s="2" t="str">
        <f t="shared" si="9"/>
        <v>Resurrecting</v>
      </c>
      <c r="F280" t="s">
        <v>505</v>
      </c>
      <c r="G280" s="2" t="s">
        <v>133</v>
      </c>
      <c r="H280" s="2" t="s">
        <v>141</v>
      </c>
      <c r="I280" s="4">
        <v>74</v>
      </c>
      <c r="J280" s="6" t="s">
        <v>11</v>
      </c>
      <c r="K280" s="10">
        <v>7051507</v>
      </c>
      <c r="L280" s="4">
        <v>2015</v>
      </c>
      <c r="M280" s="11" t="s">
        <v>101</v>
      </c>
      <c r="N280" s="4" t="s">
        <v>7</v>
      </c>
      <c r="O280">
        <v>144</v>
      </c>
      <c r="P280" s="4">
        <v>3</v>
      </c>
      <c r="Q280" s="4">
        <v>2</v>
      </c>
      <c r="R280" s="4">
        <v>2</v>
      </c>
      <c r="S280" s="4" t="s">
        <v>601</v>
      </c>
      <c r="T280">
        <v>390</v>
      </c>
      <c r="U280">
        <v>195</v>
      </c>
      <c r="V280" s="4" t="s">
        <v>669</v>
      </c>
    </row>
    <row r="281" spans="1:23" hidden="1" x14ac:dyDescent="0.25">
      <c r="A281" t="s">
        <v>4</v>
      </c>
      <c r="B281"/>
      <c r="C281" s="2" t="str">
        <f t="shared" si="8"/>
        <v>Revelation Song (D)</v>
      </c>
      <c r="D281" s="2"/>
      <c r="E281" s="2" t="str">
        <f t="shared" si="9"/>
        <v>Revelation Song</v>
      </c>
      <c r="F281" t="s">
        <v>514</v>
      </c>
      <c r="G281" s="2" t="s">
        <v>122</v>
      </c>
      <c r="H281" s="2" t="s">
        <v>122</v>
      </c>
      <c r="I281" s="4">
        <v>60</v>
      </c>
      <c r="J281" s="6" t="s">
        <v>11</v>
      </c>
      <c r="K281" s="7">
        <v>4447960</v>
      </c>
      <c r="L281" s="4">
        <v>2004</v>
      </c>
      <c r="M281" s="11" t="s">
        <v>188</v>
      </c>
      <c r="N281" s="4" t="s">
        <v>7</v>
      </c>
      <c r="O281">
        <v>145</v>
      </c>
      <c r="P281" s="4">
        <v>3</v>
      </c>
      <c r="Q281" s="4">
        <v>2</v>
      </c>
      <c r="R281" s="4">
        <v>2</v>
      </c>
      <c r="S281" s="4" t="s">
        <v>601</v>
      </c>
      <c r="T281">
        <v>401</v>
      </c>
      <c r="U281">
        <v>201</v>
      </c>
    </row>
    <row r="282" spans="1:23" hidden="1" x14ac:dyDescent="0.25">
      <c r="A282" t="s">
        <v>194</v>
      </c>
      <c r="B282"/>
      <c r="C282" s="2" t="str">
        <f t="shared" si="8"/>
        <v>Rooftops (E)</v>
      </c>
      <c r="D282" s="2"/>
      <c r="E282" s="2" t="str">
        <f t="shared" si="9"/>
        <v>Rooftops</v>
      </c>
      <c r="F282" t="s">
        <v>515</v>
      </c>
      <c r="G282" s="2" t="s">
        <v>12</v>
      </c>
      <c r="H282" s="2" t="s">
        <v>12</v>
      </c>
      <c r="I282" s="4">
        <v>100</v>
      </c>
      <c r="J282" s="6" t="s">
        <v>11</v>
      </c>
      <c r="K282" s="7">
        <v>5875153</v>
      </c>
      <c r="L282" s="4">
        <v>2010</v>
      </c>
      <c r="M282" s="11" t="s">
        <v>195</v>
      </c>
      <c r="N282" s="4" t="s">
        <v>7</v>
      </c>
      <c r="O282">
        <v>146</v>
      </c>
      <c r="P282" s="4">
        <v>3</v>
      </c>
      <c r="Q282" s="4">
        <v>2</v>
      </c>
      <c r="R282" s="4">
        <v>2</v>
      </c>
      <c r="S282" s="4" t="s">
        <v>601</v>
      </c>
      <c r="T282">
        <v>405</v>
      </c>
      <c r="U282">
        <v>203</v>
      </c>
      <c r="W282" s="4" t="s">
        <v>666</v>
      </c>
    </row>
    <row r="283" spans="1:23" hidden="1" x14ac:dyDescent="0.25">
      <c r="A283" t="s">
        <v>159</v>
      </c>
      <c r="B283"/>
      <c r="C283" s="2" t="str">
        <f t="shared" si="8"/>
        <v>Scandal Of Grace (C)</v>
      </c>
      <c r="D283" s="2" t="s">
        <v>614</v>
      </c>
      <c r="E283" s="2" t="str">
        <f t="shared" si="9"/>
        <v>Scandal Of Grace</v>
      </c>
      <c r="F283" t="s">
        <v>508</v>
      </c>
      <c r="G283" s="2" t="s">
        <v>133</v>
      </c>
      <c r="H283" s="2" t="s">
        <v>133</v>
      </c>
      <c r="I283" s="4">
        <v>42</v>
      </c>
      <c r="J283" s="6" t="s">
        <v>94</v>
      </c>
      <c r="K283" s="10">
        <v>6428750</v>
      </c>
      <c r="L283" s="4">
        <v>2012</v>
      </c>
      <c r="M283" s="4" t="s">
        <v>87</v>
      </c>
      <c r="N283" s="4" t="s">
        <v>7</v>
      </c>
      <c r="O283">
        <v>147</v>
      </c>
      <c r="P283" s="4">
        <v>2</v>
      </c>
      <c r="Q283" s="4">
        <v>2</v>
      </c>
      <c r="R283" s="4">
        <v>2</v>
      </c>
      <c r="S283" s="4" t="s">
        <v>601</v>
      </c>
      <c r="T283">
        <v>426</v>
      </c>
      <c r="U283">
        <v>213</v>
      </c>
    </row>
    <row r="284" spans="1:23" hidden="1" x14ac:dyDescent="0.25">
      <c r="A284" t="s">
        <v>310</v>
      </c>
      <c r="B284"/>
      <c r="C284" s="2" t="str">
        <f t="shared" si="8"/>
        <v>Seek Ye First (C)</v>
      </c>
      <c r="D284" s="2"/>
      <c r="E284" s="2" t="str">
        <f t="shared" si="9"/>
        <v>Seek Ye First</v>
      </c>
      <c r="F284" t="s">
        <v>516</v>
      </c>
      <c r="G284" s="2" t="s">
        <v>133</v>
      </c>
      <c r="H284" s="2" t="s">
        <v>133</v>
      </c>
      <c r="I284" s="4">
        <v>120</v>
      </c>
      <c r="J284" s="6" t="s">
        <v>11</v>
      </c>
      <c r="K284" s="4">
        <v>1352</v>
      </c>
      <c r="L284" s="4">
        <v>1972</v>
      </c>
      <c r="M284" s="4" t="s">
        <v>312</v>
      </c>
      <c r="N284" s="4" t="s">
        <v>602</v>
      </c>
      <c r="O284">
        <v>148</v>
      </c>
      <c r="P284" s="4">
        <v>1</v>
      </c>
      <c r="Q284" s="4">
        <v>1</v>
      </c>
      <c r="R284" s="4">
        <v>1</v>
      </c>
      <c r="S284" s="4" t="s">
        <v>601</v>
      </c>
      <c r="T284">
        <v>404</v>
      </c>
      <c r="U284">
        <v>202</v>
      </c>
    </row>
    <row r="285" spans="1:23" hidden="1" x14ac:dyDescent="0.25">
      <c r="A285" t="s">
        <v>160</v>
      </c>
      <c r="B285"/>
      <c r="C285" s="2" t="str">
        <f t="shared" si="8"/>
        <v>Shout To The Lord (A)</v>
      </c>
      <c r="D285" s="2"/>
      <c r="E285" s="2" t="str">
        <f t="shared" si="9"/>
        <v>Shout To The Lord</v>
      </c>
      <c r="F285" t="s">
        <v>517</v>
      </c>
      <c r="G285" s="2" t="s">
        <v>8</v>
      </c>
      <c r="H285" s="2" t="s">
        <v>8</v>
      </c>
      <c r="I285" s="4">
        <v>76</v>
      </c>
      <c r="J285" s="6" t="s">
        <v>11</v>
      </c>
      <c r="K285" s="10">
        <v>1406918</v>
      </c>
      <c r="L285" s="4">
        <v>1993</v>
      </c>
      <c r="M285" s="11" t="s">
        <v>183</v>
      </c>
      <c r="N285" s="4" t="s">
        <v>602</v>
      </c>
      <c r="O285">
        <v>149</v>
      </c>
      <c r="P285" s="4">
        <v>2</v>
      </c>
      <c r="Q285" s="4">
        <v>1</v>
      </c>
      <c r="R285" s="4">
        <v>1</v>
      </c>
      <c r="S285" s="4" t="s">
        <v>601</v>
      </c>
      <c r="T285">
        <v>437</v>
      </c>
      <c r="U285">
        <v>219</v>
      </c>
    </row>
    <row r="286" spans="1:23" hidden="1" x14ac:dyDescent="0.25">
      <c r="A286" t="s">
        <v>588</v>
      </c>
      <c r="B286" t="s">
        <v>575</v>
      </c>
      <c r="C286" s="2" t="str">
        <f t="shared" si="8"/>
        <v>So Will I (100 Billion X) (A)</v>
      </c>
      <c r="D286" s="2"/>
      <c r="E286" s="2" t="str">
        <f t="shared" si="9"/>
        <v>So Will I (100 Billion X)</v>
      </c>
      <c r="F286" t="s">
        <v>518</v>
      </c>
      <c r="G286" s="2" t="s">
        <v>8</v>
      </c>
      <c r="H286" s="2" t="s">
        <v>8</v>
      </c>
      <c r="I286" s="4">
        <v>64</v>
      </c>
      <c r="J286" s="6" t="s">
        <v>184</v>
      </c>
      <c r="K286" s="10">
        <v>7084123</v>
      </c>
      <c r="L286" s="4">
        <v>2017</v>
      </c>
      <c r="M286" s="4" t="s">
        <v>87</v>
      </c>
      <c r="N286" s="4" t="s">
        <v>7</v>
      </c>
      <c r="O286">
        <v>150</v>
      </c>
      <c r="P286" s="4">
        <v>5</v>
      </c>
      <c r="Q286" s="4">
        <v>3</v>
      </c>
      <c r="R286" s="4">
        <v>3</v>
      </c>
      <c r="S286" s="4" t="s">
        <v>601</v>
      </c>
      <c r="T286">
        <v>421</v>
      </c>
      <c r="U286">
        <v>211</v>
      </c>
    </row>
    <row r="287" spans="1:23" hidden="1" x14ac:dyDescent="0.25">
      <c r="A287" t="s">
        <v>370</v>
      </c>
      <c r="B287"/>
      <c r="C287" s="2" t="str">
        <f t="shared" si="8"/>
        <v>Solid Rock, The (F)</v>
      </c>
      <c r="D287" s="2"/>
      <c r="E287" s="2" t="str">
        <f t="shared" si="9"/>
        <v>Solid Rock, The</v>
      </c>
      <c r="F287" t="s">
        <v>519</v>
      </c>
      <c r="G287" s="2" t="s">
        <v>146</v>
      </c>
      <c r="H287" s="2" t="s">
        <v>146</v>
      </c>
      <c r="I287" s="4">
        <v>82</v>
      </c>
      <c r="J287" s="6" t="s">
        <v>18</v>
      </c>
      <c r="K287" s="4">
        <v>25417</v>
      </c>
      <c r="L287" s="4">
        <v>1834</v>
      </c>
      <c r="M287" s="11" t="s">
        <v>112</v>
      </c>
      <c r="N287" s="4" t="s">
        <v>328</v>
      </c>
      <c r="O287">
        <v>151</v>
      </c>
      <c r="P287" s="4">
        <v>1</v>
      </c>
      <c r="Q287" s="4">
        <v>2</v>
      </c>
      <c r="R287" s="4">
        <v>2</v>
      </c>
      <c r="S287" s="4" t="s">
        <v>601</v>
      </c>
      <c r="T287">
        <v>408</v>
      </c>
      <c r="U287">
        <v>204</v>
      </c>
    </row>
    <row r="288" spans="1:23" hidden="1" x14ac:dyDescent="0.25">
      <c r="A288" t="s">
        <v>73</v>
      </c>
      <c r="B288"/>
      <c r="C288" s="2" t="str">
        <f t="shared" si="8"/>
        <v>Stand, The (A)</v>
      </c>
      <c r="D288" s="2"/>
      <c r="E288" s="2" t="str">
        <f t="shared" si="9"/>
        <v>Stand, The</v>
      </c>
      <c r="F288" t="s">
        <v>443</v>
      </c>
      <c r="G288" s="2" t="s">
        <v>8</v>
      </c>
      <c r="H288" s="2" t="s">
        <v>8</v>
      </c>
      <c r="I288" s="4">
        <v>77</v>
      </c>
      <c r="J288" s="6" t="s">
        <v>11</v>
      </c>
      <c r="K288" s="8">
        <v>4705248</v>
      </c>
      <c r="L288" s="4">
        <v>2005</v>
      </c>
      <c r="M288" s="4" t="s">
        <v>87</v>
      </c>
      <c r="N288" s="4" t="s">
        <v>7</v>
      </c>
      <c r="O288">
        <v>152</v>
      </c>
      <c r="P288" s="4">
        <v>2</v>
      </c>
      <c r="Q288" s="4">
        <v>1</v>
      </c>
      <c r="R288" s="4">
        <v>1</v>
      </c>
      <c r="S288" s="4" t="s">
        <v>601</v>
      </c>
      <c r="T288">
        <v>439</v>
      </c>
      <c r="U288">
        <v>220</v>
      </c>
    </row>
    <row r="289" spans="1:23" hidden="1" x14ac:dyDescent="0.25">
      <c r="A289" t="s">
        <v>74</v>
      </c>
      <c r="B289" t="s">
        <v>576</v>
      </c>
      <c r="C289" s="2" t="str">
        <f t="shared" si="8"/>
        <v>Still (Hide Me Now) (C)</v>
      </c>
      <c r="D289" s="2"/>
      <c r="E289" s="2" t="str">
        <f t="shared" si="9"/>
        <v>Still (Hide Me Now)</v>
      </c>
      <c r="F289" t="s">
        <v>502</v>
      </c>
      <c r="G289" s="2" t="s">
        <v>133</v>
      </c>
      <c r="H289" s="2" t="s">
        <v>133</v>
      </c>
      <c r="I289" s="4">
        <v>70</v>
      </c>
      <c r="J289" s="6" t="s">
        <v>11</v>
      </c>
      <c r="K289" s="8">
        <v>3940963</v>
      </c>
      <c r="L289" s="4">
        <v>2002</v>
      </c>
      <c r="M289" s="4" t="s">
        <v>87</v>
      </c>
      <c r="N289" s="4" t="s">
        <v>7</v>
      </c>
      <c r="O289">
        <v>153</v>
      </c>
      <c r="P289" s="4">
        <v>2</v>
      </c>
      <c r="Q289" s="4">
        <v>1</v>
      </c>
      <c r="R289" s="4">
        <v>2</v>
      </c>
      <c r="S289" s="4" t="s">
        <v>601</v>
      </c>
      <c r="T289">
        <v>446</v>
      </c>
      <c r="U289">
        <v>223</v>
      </c>
    </row>
    <row r="290" spans="1:23" hidden="1" x14ac:dyDescent="0.25">
      <c r="A290" t="s">
        <v>82</v>
      </c>
      <c r="B290"/>
      <c r="C290" s="2" t="str">
        <f t="shared" si="8"/>
        <v>Stronger (C)</v>
      </c>
      <c r="D290" s="2"/>
      <c r="E290" s="2" t="str">
        <f t="shared" si="9"/>
        <v>Stronger</v>
      </c>
      <c r="F290" t="s">
        <v>499</v>
      </c>
      <c r="G290" s="2" t="s">
        <v>133</v>
      </c>
      <c r="H290" s="2" t="s">
        <v>133</v>
      </c>
      <c r="I290" s="4">
        <v>75</v>
      </c>
      <c r="J290" s="6" t="s">
        <v>18</v>
      </c>
      <c r="K290" s="8">
        <v>5060810</v>
      </c>
      <c r="L290" s="4">
        <v>2007</v>
      </c>
      <c r="M290" s="4" t="s">
        <v>87</v>
      </c>
      <c r="N290" s="4" t="s">
        <v>7</v>
      </c>
      <c r="O290">
        <v>154</v>
      </c>
      <c r="P290" s="4">
        <v>3</v>
      </c>
      <c r="Q290" s="4">
        <v>2</v>
      </c>
      <c r="R290" s="4">
        <v>2</v>
      </c>
      <c r="S290" s="4" t="s">
        <v>601</v>
      </c>
      <c r="T290">
        <v>413</v>
      </c>
      <c r="U290">
        <v>207</v>
      </c>
    </row>
    <row r="291" spans="1:23" hidden="1" x14ac:dyDescent="0.25">
      <c r="A291" t="s">
        <v>307</v>
      </c>
      <c r="B291"/>
      <c r="C291" s="2" t="str">
        <f t="shared" si="8"/>
        <v>Sweetly Broken (B)</v>
      </c>
      <c r="D291" s="2"/>
      <c r="E291" s="2" t="str">
        <f t="shared" si="9"/>
        <v>Sweetly Broken</v>
      </c>
      <c r="F291" t="s">
        <v>520</v>
      </c>
      <c r="G291" s="2" t="s">
        <v>136</v>
      </c>
      <c r="H291" s="2" t="s">
        <v>136</v>
      </c>
      <c r="I291" s="4">
        <v>96</v>
      </c>
      <c r="J291" s="6" t="s">
        <v>11</v>
      </c>
      <c r="K291" s="4">
        <v>4514635</v>
      </c>
      <c r="L291" s="4">
        <v>2005</v>
      </c>
      <c r="M291" s="4" t="s">
        <v>325</v>
      </c>
      <c r="N291" s="4" t="s">
        <v>7</v>
      </c>
      <c r="O291">
        <v>155</v>
      </c>
      <c r="P291" s="4">
        <v>4</v>
      </c>
      <c r="Q291" s="4">
        <v>2</v>
      </c>
      <c r="R291" s="4">
        <v>2</v>
      </c>
      <c r="S291" s="4" t="s">
        <v>601</v>
      </c>
      <c r="T291">
        <v>429</v>
      </c>
      <c r="U291">
        <v>215</v>
      </c>
      <c r="V291" s="4" t="s">
        <v>669</v>
      </c>
      <c r="W291" s="4" t="s">
        <v>667</v>
      </c>
    </row>
    <row r="292" spans="1:23" hidden="1" x14ac:dyDescent="0.25">
      <c r="A292" t="s">
        <v>346</v>
      </c>
      <c r="B292"/>
      <c r="C292" s="2" t="str">
        <f t="shared" si="8"/>
        <v>Take My Life And Let It Be (F)</v>
      </c>
      <c r="D292" s="2" t="s">
        <v>552</v>
      </c>
      <c r="E292" s="2" t="str">
        <f t="shared" si="9"/>
        <v>Take My Life And Let It Be</v>
      </c>
      <c r="F292" t="s">
        <v>521</v>
      </c>
      <c r="G292" s="2" t="s">
        <v>146</v>
      </c>
      <c r="H292" s="2" t="s">
        <v>146</v>
      </c>
      <c r="I292" s="4">
        <v>86</v>
      </c>
      <c r="J292" s="6" t="s">
        <v>11</v>
      </c>
      <c r="K292" s="4">
        <v>1390</v>
      </c>
      <c r="L292" s="4">
        <v>1874</v>
      </c>
      <c r="M292" s="11" t="s">
        <v>112</v>
      </c>
      <c r="N292" s="4" t="s">
        <v>328</v>
      </c>
      <c r="O292">
        <v>156</v>
      </c>
      <c r="P292" s="4">
        <v>1</v>
      </c>
      <c r="Q292" s="4">
        <v>2</v>
      </c>
      <c r="R292" s="4">
        <v>2</v>
      </c>
      <c r="S292" s="4" t="s">
        <v>601</v>
      </c>
      <c r="T292">
        <v>416</v>
      </c>
      <c r="U292">
        <v>208</v>
      </c>
    </row>
    <row r="293" spans="1:23" hidden="1" x14ac:dyDescent="0.25">
      <c r="A293" t="s">
        <v>347</v>
      </c>
      <c r="B293"/>
      <c r="C293" s="2" t="str">
        <f t="shared" si="8"/>
        <v>There Is A Fountain (A)</v>
      </c>
      <c r="D293" s="2"/>
      <c r="E293" s="2" t="str">
        <f t="shared" si="9"/>
        <v>There Is A Fountain</v>
      </c>
      <c r="F293" t="s">
        <v>522</v>
      </c>
      <c r="G293" s="2" t="s">
        <v>8</v>
      </c>
      <c r="H293" s="2" t="s">
        <v>142</v>
      </c>
      <c r="I293" s="4">
        <v>92</v>
      </c>
      <c r="J293" s="6" t="s">
        <v>11</v>
      </c>
      <c r="K293" s="4">
        <v>27707</v>
      </c>
      <c r="L293" s="4">
        <v>1772</v>
      </c>
      <c r="M293" s="11" t="s">
        <v>112</v>
      </c>
      <c r="N293" s="4" t="s">
        <v>328</v>
      </c>
      <c r="O293">
        <v>157</v>
      </c>
      <c r="P293" s="4">
        <v>2</v>
      </c>
      <c r="Q293" s="4">
        <v>2</v>
      </c>
      <c r="R293" s="4">
        <v>2</v>
      </c>
      <c r="S293" s="4" t="s">
        <v>601</v>
      </c>
      <c r="T293">
        <v>449</v>
      </c>
      <c r="U293">
        <v>225</v>
      </c>
    </row>
    <row r="294" spans="1:23" hidden="1" x14ac:dyDescent="0.25">
      <c r="A294" t="s">
        <v>143</v>
      </c>
      <c r="B294"/>
      <c r="C294" s="2" t="str">
        <f t="shared" si="8"/>
        <v>There Is A Redeemer (D)</v>
      </c>
      <c r="D294" s="2"/>
      <c r="E294" s="2" t="str">
        <f t="shared" si="9"/>
        <v>There Is A Redeemer</v>
      </c>
      <c r="F294" t="s">
        <v>523</v>
      </c>
      <c r="G294" s="2" t="s">
        <v>122</v>
      </c>
      <c r="H294" s="2" t="s">
        <v>122</v>
      </c>
      <c r="I294" s="4">
        <v>92</v>
      </c>
      <c r="J294" s="6" t="s">
        <v>11</v>
      </c>
      <c r="K294" s="10">
        <v>11483</v>
      </c>
      <c r="L294" s="4">
        <v>1982</v>
      </c>
      <c r="M294" s="11" t="s">
        <v>396</v>
      </c>
      <c r="N294" s="4" t="s">
        <v>602</v>
      </c>
      <c r="O294">
        <v>158</v>
      </c>
      <c r="P294" s="4">
        <v>1</v>
      </c>
      <c r="Q294" s="4">
        <v>1</v>
      </c>
      <c r="R294" s="4">
        <v>1</v>
      </c>
      <c r="S294" s="4" t="s">
        <v>601</v>
      </c>
      <c r="T294">
        <v>428</v>
      </c>
      <c r="U294">
        <v>214</v>
      </c>
    </row>
    <row r="295" spans="1:23" hidden="1" x14ac:dyDescent="0.25">
      <c r="A295" t="s">
        <v>161</v>
      </c>
      <c r="B295"/>
      <c r="C295" s="2" t="str">
        <f t="shared" si="8"/>
        <v>This Is Amazing Grace (G)</v>
      </c>
      <c r="D295" s="2"/>
      <c r="E295" s="2" t="str">
        <f t="shared" si="9"/>
        <v>This Is Amazing Grace</v>
      </c>
      <c r="F295" t="s">
        <v>524</v>
      </c>
      <c r="G295" s="2" t="s">
        <v>132</v>
      </c>
      <c r="H295" s="2" t="s">
        <v>142</v>
      </c>
      <c r="I295" s="4">
        <v>100</v>
      </c>
      <c r="J295" s="6" t="s">
        <v>11</v>
      </c>
      <c r="K295" s="10">
        <v>6333821</v>
      </c>
      <c r="L295" s="4">
        <v>2012</v>
      </c>
      <c r="M295" s="4" t="s">
        <v>111</v>
      </c>
      <c r="N295" s="4" t="s">
        <v>7</v>
      </c>
      <c r="O295">
        <v>159</v>
      </c>
      <c r="P295" s="4">
        <v>5</v>
      </c>
      <c r="Q295" s="4">
        <v>2</v>
      </c>
      <c r="R295" s="4">
        <v>2</v>
      </c>
      <c r="S295" s="4" t="s">
        <v>601</v>
      </c>
      <c r="T295">
        <v>441</v>
      </c>
      <c r="U295">
        <v>221</v>
      </c>
    </row>
    <row r="296" spans="1:23" hidden="1" x14ac:dyDescent="0.25">
      <c r="A296" t="s">
        <v>348</v>
      </c>
      <c r="B296"/>
      <c r="C296" s="2" t="str">
        <f t="shared" si="8"/>
        <v>This Is My Father's World (D)</v>
      </c>
      <c r="D296" s="2"/>
      <c r="E296" s="2" t="str">
        <f t="shared" si="9"/>
        <v>This Is My Father's World</v>
      </c>
      <c r="F296" t="s">
        <v>525</v>
      </c>
      <c r="G296" s="2" t="s">
        <v>122</v>
      </c>
      <c r="H296" s="2" t="s">
        <v>122</v>
      </c>
      <c r="I296" s="4">
        <v>66</v>
      </c>
      <c r="J296" s="6" t="s">
        <v>11</v>
      </c>
      <c r="K296" s="10">
        <v>6167640</v>
      </c>
      <c r="L296" s="4">
        <v>2009</v>
      </c>
      <c r="M296" s="11" t="s">
        <v>367</v>
      </c>
      <c r="N296" s="4" t="s">
        <v>7</v>
      </c>
      <c r="O296">
        <v>160</v>
      </c>
      <c r="P296" s="4">
        <v>4</v>
      </c>
      <c r="Q296" s="4">
        <v>2</v>
      </c>
      <c r="R296" s="4">
        <v>2</v>
      </c>
      <c r="S296" s="4" t="s">
        <v>601</v>
      </c>
      <c r="T296">
        <v>433</v>
      </c>
      <c r="U296">
        <v>217</v>
      </c>
    </row>
    <row r="297" spans="1:23" hidden="1" x14ac:dyDescent="0.25">
      <c r="A297" t="s">
        <v>363</v>
      </c>
      <c r="B297"/>
      <c r="C297" s="2" t="str">
        <f t="shared" ref="C297:C322" si="10">_xlfn.CONCAT(A297, IF(ISBLANK(B297),," ("),B297,IF(ISBLANK(B297),,")"), " (",G297,")")</f>
        <v>Tis So Sweet To Trust In Jesus (G)</v>
      </c>
      <c r="D297" s="2"/>
      <c r="E297" s="2" t="str">
        <f t="shared" ref="E297:E322" si="11">_xlfn.CONCAT(A297, IF(ISBLANK(B297),," ("),B297,IF(ISBLANK(B297),,")"))</f>
        <v>Tis So Sweet To Trust In Jesus</v>
      </c>
      <c r="F297" t="s">
        <v>526</v>
      </c>
      <c r="G297" s="2" t="s">
        <v>132</v>
      </c>
      <c r="H297" s="2" t="s">
        <v>132</v>
      </c>
      <c r="I297" s="4">
        <v>90</v>
      </c>
      <c r="J297" s="6" t="s">
        <v>11</v>
      </c>
      <c r="K297" s="4">
        <v>22609</v>
      </c>
      <c r="L297" s="4">
        <v>1882</v>
      </c>
      <c r="M297" s="11" t="s">
        <v>112</v>
      </c>
      <c r="N297" s="4" t="s">
        <v>328</v>
      </c>
      <c r="O297">
        <v>161</v>
      </c>
      <c r="P297" s="4">
        <v>1</v>
      </c>
      <c r="Q297" s="4">
        <v>2</v>
      </c>
      <c r="R297" s="4">
        <v>2</v>
      </c>
      <c r="S297" s="4" t="s">
        <v>601</v>
      </c>
      <c r="T297">
        <v>448</v>
      </c>
      <c r="U297">
        <v>224</v>
      </c>
    </row>
    <row r="298" spans="1:23" hidden="1" x14ac:dyDescent="0.25">
      <c r="A298" t="s">
        <v>357</v>
      </c>
      <c r="B298"/>
      <c r="C298" s="2" t="str">
        <f t="shared" si="10"/>
        <v>To God Be The Glory (G)</v>
      </c>
      <c r="D298" s="2"/>
      <c r="E298" s="2" t="str">
        <f t="shared" si="11"/>
        <v>To God Be The Glory</v>
      </c>
      <c r="F298" t="s">
        <v>527</v>
      </c>
      <c r="G298" s="2" t="s">
        <v>132</v>
      </c>
      <c r="H298" s="2" t="s">
        <v>132</v>
      </c>
      <c r="I298" s="4">
        <v>90</v>
      </c>
      <c r="J298" s="6" t="s">
        <v>18</v>
      </c>
      <c r="K298" s="10">
        <v>23426</v>
      </c>
      <c r="L298" s="4">
        <v>1875</v>
      </c>
      <c r="M298" s="11" t="s">
        <v>112</v>
      </c>
      <c r="N298" s="4" t="s">
        <v>328</v>
      </c>
      <c r="O298">
        <v>162</v>
      </c>
      <c r="P298" s="4">
        <v>2</v>
      </c>
      <c r="Q298" s="4">
        <v>1</v>
      </c>
      <c r="R298" s="4">
        <v>1</v>
      </c>
      <c r="S298" s="4" t="s">
        <v>601</v>
      </c>
      <c r="T298">
        <v>451</v>
      </c>
      <c r="U298">
        <v>226</v>
      </c>
    </row>
    <row r="299" spans="1:23" hidden="1" x14ac:dyDescent="0.25">
      <c r="A299" t="s">
        <v>75</v>
      </c>
      <c r="B299"/>
      <c r="C299" s="2" t="str">
        <f t="shared" si="10"/>
        <v>Tremble (C)</v>
      </c>
      <c r="D299" s="2"/>
      <c r="E299" s="2" t="str">
        <f t="shared" si="11"/>
        <v>Tremble</v>
      </c>
      <c r="F299" t="s">
        <v>528</v>
      </c>
      <c r="G299" s="2" t="s">
        <v>133</v>
      </c>
      <c r="H299" s="2" t="s">
        <v>133</v>
      </c>
      <c r="I299" s="4">
        <v>74</v>
      </c>
      <c r="J299" s="6" t="s">
        <v>11</v>
      </c>
      <c r="K299" s="8">
        <v>7065049</v>
      </c>
      <c r="L299" s="4">
        <v>2016</v>
      </c>
      <c r="M299" s="11" t="s">
        <v>115</v>
      </c>
      <c r="N299" s="4" t="s">
        <v>7</v>
      </c>
      <c r="O299">
        <v>163</v>
      </c>
      <c r="P299" s="4">
        <v>2</v>
      </c>
      <c r="Q299" s="4">
        <v>2</v>
      </c>
      <c r="R299" s="4">
        <v>2</v>
      </c>
      <c r="S299" s="4" t="s">
        <v>601</v>
      </c>
      <c r="T299">
        <v>485</v>
      </c>
      <c r="U299">
        <v>243</v>
      </c>
      <c r="V299" s="4" t="s">
        <v>668</v>
      </c>
    </row>
    <row r="300" spans="1:23" hidden="1" x14ac:dyDescent="0.25">
      <c r="A300" t="s">
        <v>349</v>
      </c>
      <c r="B300"/>
      <c r="C300" s="2" t="str">
        <f t="shared" si="10"/>
        <v>Trust And Obey (F)</v>
      </c>
      <c r="D300" s="2"/>
      <c r="E300" s="2" t="str">
        <f t="shared" si="11"/>
        <v>Trust And Obey</v>
      </c>
      <c r="F300" t="s">
        <v>529</v>
      </c>
      <c r="G300" s="2" t="s">
        <v>146</v>
      </c>
      <c r="H300" s="2" t="s">
        <v>146</v>
      </c>
      <c r="I300" s="4">
        <v>96</v>
      </c>
      <c r="J300" s="6" t="s">
        <v>18</v>
      </c>
      <c r="K300" s="4">
        <v>22094</v>
      </c>
      <c r="L300" s="4">
        <v>1887</v>
      </c>
      <c r="M300" s="11" t="s">
        <v>112</v>
      </c>
      <c r="N300" s="4" t="s">
        <v>328</v>
      </c>
      <c r="O300">
        <v>164</v>
      </c>
      <c r="P300" s="4">
        <v>1</v>
      </c>
      <c r="Q300" s="4">
        <v>2</v>
      </c>
      <c r="R300" s="4">
        <v>2</v>
      </c>
      <c r="S300" s="4" t="s">
        <v>601</v>
      </c>
      <c r="T300">
        <v>472</v>
      </c>
      <c r="U300">
        <v>236</v>
      </c>
    </row>
    <row r="301" spans="1:23" hidden="1" x14ac:dyDescent="0.25">
      <c r="A301" t="s">
        <v>278</v>
      </c>
      <c r="B301"/>
      <c r="C301" s="2" t="str">
        <f t="shared" si="10"/>
        <v>Victor's Crown (C)</v>
      </c>
      <c r="D301" s="2" t="s">
        <v>615</v>
      </c>
      <c r="E301" s="2" t="str">
        <f t="shared" si="11"/>
        <v>Victor's Crown</v>
      </c>
      <c r="F301" t="s">
        <v>530</v>
      </c>
      <c r="G301" s="2" t="s">
        <v>133</v>
      </c>
      <c r="H301" s="2" t="s">
        <v>133</v>
      </c>
      <c r="I301" s="4">
        <v>75</v>
      </c>
      <c r="J301" s="6" t="s">
        <v>11</v>
      </c>
      <c r="K301" s="10">
        <v>6454621</v>
      </c>
      <c r="L301" s="4">
        <v>2013</v>
      </c>
      <c r="M301" s="11" t="s">
        <v>303</v>
      </c>
      <c r="N301" s="4" t="s">
        <v>7</v>
      </c>
      <c r="O301">
        <v>165</v>
      </c>
      <c r="P301" s="4">
        <v>5</v>
      </c>
      <c r="Q301" s="4">
        <v>2</v>
      </c>
      <c r="R301" s="4">
        <v>2</v>
      </c>
      <c r="S301" s="4" t="s">
        <v>601</v>
      </c>
      <c r="T301">
        <v>453</v>
      </c>
      <c r="U301">
        <v>227</v>
      </c>
    </row>
    <row r="302" spans="1:23" hidden="1" x14ac:dyDescent="0.25">
      <c r="A302" t="s">
        <v>76</v>
      </c>
      <c r="B302" t="s">
        <v>577</v>
      </c>
      <c r="C302" s="2" t="str">
        <f t="shared" si="10"/>
        <v>Victory In Jesus (I Heard An Old Old Story) (G)</v>
      </c>
      <c r="D302" s="2"/>
      <c r="E302" s="2" t="str">
        <f t="shared" si="11"/>
        <v>Victory In Jesus (I Heard An Old Old Story)</v>
      </c>
      <c r="F302" t="s">
        <v>531</v>
      </c>
      <c r="G302" s="2" t="s">
        <v>132</v>
      </c>
      <c r="H302" s="2" t="s">
        <v>132</v>
      </c>
      <c r="I302" s="4">
        <v>124</v>
      </c>
      <c r="J302" s="6" t="s">
        <v>11</v>
      </c>
      <c r="K302" s="8">
        <v>1259</v>
      </c>
      <c r="L302" s="4">
        <v>1939</v>
      </c>
      <c r="M302" s="4" t="s">
        <v>112</v>
      </c>
      <c r="N302" s="4" t="s">
        <v>328</v>
      </c>
      <c r="O302">
        <v>166</v>
      </c>
      <c r="P302" s="4">
        <v>2</v>
      </c>
      <c r="Q302" s="4">
        <v>1</v>
      </c>
      <c r="R302" s="4">
        <v>1</v>
      </c>
      <c r="S302" s="4" t="s">
        <v>601</v>
      </c>
      <c r="T302">
        <v>487</v>
      </c>
      <c r="U302">
        <v>244</v>
      </c>
    </row>
    <row r="303" spans="1:23" hidden="1" x14ac:dyDescent="0.25">
      <c r="A303" t="s">
        <v>77</v>
      </c>
      <c r="B303"/>
      <c r="C303" s="2" t="str">
        <f t="shared" si="10"/>
        <v>Way Maker (E)</v>
      </c>
      <c r="D303" s="2" t="s">
        <v>616</v>
      </c>
      <c r="E303" s="2" t="str">
        <f t="shared" si="11"/>
        <v>Way Maker</v>
      </c>
      <c r="F303" t="s">
        <v>532</v>
      </c>
      <c r="G303" s="2" t="s">
        <v>12</v>
      </c>
      <c r="H303" s="2" t="s">
        <v>12</v>
      </c>
      <c r="I303" s="4">
        <v>68</v>
      </c>
      <c r="J303" s="6" t="s">
        <v>11</v>
      </c>
      <c r="K303" s="8">
        <v>7115744</v>
      </c>
      <c r="L303" s="4">
        <v>2016</v>
      </c>
      <c r="M303" s="11" t="s">
        <v>116</v>
      </c>
      <c r="N303" s="4" t="s">
        <v>7</v>
      </c>
      <c r="O303">
        <v>167</v>
      </c>
      <c r="P303" s="4">
        <v>4</v>
      </c>
      <c r="Q303" s="4">
        <v>2</v>
      </c>
      <c r="R303" s="4">
        <v>2</v>
      </c>
      <c r="S303" s="4" t="s">
        <v>601</v>
      </c>
      <c r="T303">
        <v>461</v>
      </c>
      <c r="U303">
        <v>231</v>
      </c>
      <c r="W303" s="4" t="s">
        <v>666</v>
      </c>
    </row>
    <row r="304" spans="1:23" hidden="1" x14ac:dyDescent="0.25">
      <c r="A304" t="s">
        <v>78</v>
      </c>
      <c r="B304"/>
      <c r="C304" s="2" t="str">
        <f t="shared" si="10"/>
        <v>We Believe (D)</v>
      </c>
      <c r="D304" s="2"/>
      <c r="E304" s="2" t="str">
        <f t="shared" si="11"/>
        <v>We Believe</v>
      </c>
      <c r="F304" t="s">
        <v>533</v>
      </c>
      <c r="G304" s="2" t="s">
        <v>122</v>
      </c>
      <c r="H304" s="2" t="s">
        <v>122</v>
      </c>
      <c r="I304" s="4">
        <v>66</v>
      </c>
      <c r="J304" s="6" t="s">
        <v>11</v>
      </c>
      <c r="K304" s="8">
        <v>6367165</v>
      </c>
      <c r="L304" s="4">
        <v>2015</v>
      </c>
      <c r="M304" s="11" t="s">
        <v>117</v>
      </c>
      <c r="N304" s="4" t="s">
        <v>7</v>
      </c>
      <c r="O304">
        <v>168</v>
      </c>
      <c r="P304" s="4">
        <v>4</v>
      </c>
      <c r="Q304" s="4">
        <v>2</v>
      </c>
      <c r="R304" s="4">
        <v>2</v>
      </c>
      <c r="S304" s="4" t="s">
        <v>601</v>
      </c>
      <c r="T304">
        <v>465</v>
      </c>
      <c r="U304">
        <v>233</v>
      </c>
    </row>
    <row r="305" spans="1:23" hidden="1" x14ac:dyDescent="0.25">
      <c r="A305" t="s">
        <v>126</v>
      </c>
      <c r="B305"/>
      <c r="C305" s="2" t="str">
        <f t="shared" si="10"/>
        <v>What A Beautiful Name (D)</v>
      </c>
      <c r="D305" s="2"/>
      <c r="E305" s="2" t="str">
        <f t="shared" si="11"/>
        <v>What A Beautiful Name</v>
      </c>
      <c r="F305" t="s">
        <v>206</v>
      </c>
      <c r="G305" s="2" t="s">
        <v>122</v>
      </c>
      <c r="H305" s="2" t="s">
        <v>122</v>
      </c>
      <c r="I305" s="4">
        <v>68</v>
      </c>
      <c r="J305" s="6" t="s">
        <v>11</v>
      </c>
      <c r="K305" s="4">
        <v>7068424</v>
      </c>
      <c r="L305" s="4">
        <v>2016</v>
      </c>
      <c r="M305" s="4" t="s">
        <v>87</v>
      </c>
      <c r="N305" s="4" t="s">
        <v>7</v>
      </c>
      <c r="O305">
        <v>169</v>
      </c>
      <c r="P305" s="4">
        <v>3</v>
      </c>
      <c r="Q305" s="4">
        <v>2</v>
      </c>
      <c r="R305" s="4">
        <v>2</v>
      </c>
      <c r="S305" s="4" t="s">
        <v>601</v>
      </c>
      <c r="T305">
        <v>458</v>
      </c>
      <c r="U305">
        <v>229</v>
      </c>
    </row>
    <row r="306" spans="1:23" hidden="1" x14ac:dyDescent="0.25">
      <c r="A306" t="s">
        <v>350</v>
      </c>
      <c r="B306"/>
      <c r="C306" s="2" t="str">
        <f t="shared" si="10"/>
        <v>What A Friend We Have In Jesus (F)</v>
      </c>
      <c r="D306" s="2"/>
      <c r="E306" s="2" t="str">
        <f t="shared" si="11"/>
        <v>What A Friend We Have In Jesus</v>
      </c>
      <c r="F306" t="s">
        <v>534</v>
      </c>
      <c r="G306" s="2" t="s">
        <v>146</v>
      </c>
      <c r="H306" s="2" t="s">
        <v>146</v>
      </c>
      <c r="J306" s="6" t="s">
        <v>11</v>
      </c>
      <c r="K306" s="4">
        <v>27714</v>
      </c>
      <c r="L306" s="4">
        <v>1855</v>
      </c>
      <c r="M306" s="11" t="s">
        <v>112</v>
      </c>
      <c r="N306" s="4" t="s">
        <v>328</v>
      </c>
      <c r="O306">
        <v>170</v>
      </c>
      <c r="P306" s="4">
        <v>1</v>
      </c>
      <c r="Q306" s="4">
        <v>1</v>
      </c>
      <c r="R306" s="4">
        <v>1</v>
      </c>
      <c r="S306" s="4" t="s">
        <v>601</v>
      </c>
      <c r="T306">
        <v>480</v>
      </c>
      <c r="U306">
        <v>240</v>
      </c>
    </row>
    <row r="307" spans="1:23" hidden="1" x14ac:dyDescent="0.25">
      <c r="A307" t="s">
        <v>351</v>
      </c>
      <c r="B307"/>
      <c r="C307" s="2" t="str">
        <f t="shared" si="10"/>
        <v>When I Survey The Wondrous Cross (F)</v>
      </c>
      <c r="D307" s="2"/>
      <c r="E307" s="2" t="str">
        <f t="shared" si="11"/>
        <v>When I Survey The Wondrous Cross</v>
      </c>
      <c r="F307" t="s">
        <v>535</v>
      </c>
      <c r="G307" s="2" t="s">
        <v>146</v>
      </c>
      <c r="H307" s="2" t="s">
        <v>146</v>
      </c>
      <c r="I307" s="4">
        <v>96</v>
      </c>
      <c r="J307" s="6" t="s">
        <v>11</v>
      </c>
      <c r="K307" s="4">
        <v>27893</v>
      </c>
      <c r="L307" s="4">
        <v>1707</v>
      </c>
      <c r="M307" s="11" t="s">
        <v>112</v>
      </c>
      <c r="N307" s="4" t="s">
        <v>328</v>
      </c>
      <c r="O307">
        <v>171</v>
      </c>
      <c r="P307" s="4">
        <v>1</v>
      </c>
      <c r="Q307" s="4">
        <v>2</v>
      </c>
      <c r="R307" s="4">
        <v>2</v>
      </c>
      <c r="S307" s="4" t="s">
        <v>601</v>
      </c>
      <c r="T307">
        <v>484</v>
      </c>
      <c r="U307">
        <v>242</v>
      </c>
    </row>
    <row r="308" spans="1:23" hidden="1" x14ac:dyDescent="0.25">
      <c r="A308" t="s">
        <v>388</v>
      </c>
      <c r="B308"/>
      <c r="C308" s="2" t="str">
        <f t="shared" si="10"/>
        <v>When The Roll Is Called Up Yonder (G)</v>
      </c>
      <c r="D308" s="2"/>
      <c r="E308" s="2" t="str">
        <f t="shared" si="11"/>
        <v>When The Roll Is Called Up Yonder</v>
      </c>
      <c r="F308" t="s">
        <v>536</v>
      </c>
      <c r="G308" s="4" t="s">
        <v>132</v>
      </c>
      <c r="H308" s="4" t="s">
        <v>17</v>
      </c>
      <c r="I308" s="4">
        <v>108</v>
      </c>
      <c r="J308" s="6" t="s">
        <v>11</v>
      </c>
      <c r="K308" s="4">
        <v>31315</v>
      </c>
      <c r="L308" s="4">
        <v>1893</v>
      </c>
      <c r="M308" s="4" t="s">
        <v>112</v>
      </c>
      <c r="N308" s="4" t="s">
        <v>328</v>
      </c>
      <c r="O308">
        <v>172</v>
      </c>
      <c r="P308" s="4">
        <v>1</v>
      </c>
      <c r="Q308" s="4">
        <v>1</v>
      </c>
      <c r="R308" s="4">
        <v>1</v>
      </c>
      <c r="S308" s="4" t="s">
        <v>601</v>
      </c>
      <c r="T308">
        <v>496</v>
      </c>
      <c r="U308">
        <v>248</v>
      </c>
    </row>
    <row r="309" spans="1:23" hidden="1" x14ac:dyDescent="0.25">
      <c r="A309" t="s">
        <v>305</v>
      </c>
      <c r="B309"/>
      <c r="C309" s="2" t="str">
        <f t="shared" si="10"/>
        <v>Who Am I (B)</v>
      </c>
      <c r="D309" s="2"/>
      <c r="E309" s="2" t="str">
        <f t="shared" si="11"/>
        <v>Who Am I</v>
      </c>
      <c r="F309" t="s">
        <v>537</v>
      </c>
      <c r="G309" s="2" t="s">
        <v>136</v>
      </c>
      <c r="H309" s="2" t="s">
        <v>136</v>
      </c>
      <c r="I309" s="4">
        <v>66</v>
      </c>
      <c r="J309" s="6" t="s">
        <v>11</v>
      </c>
      <c r="K309" s="4">
        <v>4196651</v>
      </c>
      <c r="L309" s="4">
        <v>2003</v>
      </c>
      <c r="M309" s="4" t="s">
        <v>178</v>
      </c>
      <c r="N309" s="4" t="s">
        <v>7</v>
      </c>
      <c r="O309">
        <v>173</v>
      </c>
      <c r="P309" s="4">
        <v>4</v>
      </c>
      <c r="Q309" s="4">
        <v>2</v>
      </c>
      <c r="R309" s="4">
        <v>2</v>
      </c>
      <c r="S309" s="4" t="s">
        <v>601</v>
      </c>
      <c r="T309">
        <v>473</v>
      </c>
      <c r="U309">
        <v>237</v>
      </c>
      <c r="V309" s="4" t="s">
        <v>669</v>
      </c>
      <c r="W309" s="4" t="s">
        <v>667</v>
      </c>
    </row>
    <row r="310" spans="1:23" hidden="1" x14ac:dyDescent="0.25">
      <c r="A310" t="s">
        <v>79</v>
      </c>
      <c r="B310"/>
      <c r="C310" s="2" t="str">
        <f t="shared" si="10"/>
        <v>Who You Say I Am (A)</v>
      </c>
      <c r="D310" s="2"/>
      <c r="E310" s="2" t="str">
        <f t="shared" si="11"/>
        <v>Who You Say I Am</v>
      </c>
      <c r="F310" t="s">
        <v>499</v>
      </c>
      <c r="G310" s="2" t="s">
        <v>8</v>
      </c>
      <c r="H310" s="2" t="s">
        <v>8</v>
      </c>
      <c r="I310" s="4">
        <v>58</v>
      </c>
      <c r="J310" s="6" t="s">
        <v>94</v>
      </c>
      <c r="K310" s="8">
        <v>7102401</v>
      </c>
      <c r="L310" s="4">
        <v>2017</v>
      </c>
      <c r="M310" s="4" t="s">
        <v>87</v>
      </c>
      <c r="N310" s="4" t="s">
        <v>7</v>
      </c>
      <c r="O310">
        <v>174</v>
      </c>
      <c r="P310" s="4">
        <v>3</v>
      </c>
      <c r="Q310" s="4">
        <v>2</v>
      </c>
      <c r="R310" s="4">
        <v>2</v>
      </c>
      <c r="S310" s="4" t="s">
        <v>601</v>
      </c>
      <c r="T310">
        <v>469</v>
      </c>
      <c r="U310">
        <v>235</v>
      </c>
    </row>
    <row r="311" spans="1:23" hidden="1" x14ac:dyDescent="0.25">
      <c r="A311" t="s">
        <v>589</v>
      </c>
      <c r="B311" t="s">
        <v>578</v>
      </c>
      <c r="C311" s="2" t="str">
        <f t="shared" si="10"/>
        <v>Whom Shall I Fear (God Of Angel Armies) (C)</v>
      </c>
      <c r="D311" s="2"/>
      <c r="E311" s="2" t="str">
        <f t="shared" si="11"/>
        <v>Whom Shall I Fear (God Of Angel Armies)</v>
      </c>
      <c r="F311" t="s">
        <v>411</v>
      </c>
      <c r="G311" s="2" t="s">
        <v>133</v>
      </c>
      <c r="H311" s="2" t="s">
        <v>133</v>
      </c>
      <c r="I311" s="4">
        <v>75</v>
      </c>
      <c r="J311" s="6" t="s">
        <v>11</v>
      </c>
      <c r="K311" s="10">
        <v>6440288</v>
      </c>
      <c r="L311" s="4">
        <v>2012</v>
      </c>
      <c r="M311" s="11" t="s">
        <v>167</v>
      </c>
      <c r="N311" s="4" t="s">
        <v>7</v>
      </c>
      <c r="O311">
        <v>175</v>
      </c>
      <c r="P311" s="4">
        <v>3</v>
      </c>
      <c r="Q311" s="4">
        <v>2</v>
      </c>
      <c r="R311" s="4">
        <v>2</v>
      </c>
      <c r="S311" s="4" t="s">
        <v>601</v>
      </c>
      <c r="T311">
        <v>477</v>
      </c>
      <c r="U311">
        <v>239</v>
      </c>
    </row>
    <row r="312" spans="1:23" hidden="1" x14ac:dyDescent="0.25">
      <c r="A312" t="s">
        <v>395</v>
      </c>
      <c r="B312"/>
      <c r="C312" s="2" t="str">
        <f t="shared" si="10"/>
        <v>Wonderful Cross, The (D)</v>
      </c>
      <c r="D312" s="2"/>
      <c r="E312" s="2" t="str">
        <f t="shared" si="11"/>
        <v>Wonderful Cross, The</v>
      </c>
      <c r="F312" t="s">
        <v>538</v>
      </c>
      <c r="G312" s="2" t="s">
        <v>122</v>
      </c>
      <c r="H312" s="2" t="s">
        <v>122</v>
      </c>
      <c r="I312" s="4">
        <v>88</v>
      </c>
      <c r="J312" s="6" t="s">
        <v>11</v>
      </c>
      <c r="K312" s="10">
        <v>3148435</v>
      </c>
      <c r="L312" s="4">
        <v>2000</v>
      </c>
      <c r="M312" s="4" t="s">
        <v>15</v>
      </c>
      <c r="N312" s="4" t="s">
        <v>7</v>
      </c>
      <c r="O312">
        <v>176</v>
      </c>
      <c r="P312" s="4">
        <v>2</v>
      </c>
      <c r="Q312" s="4">
        <v>1</v>
      </c>
      <c r="R312" s="4">
        <v>1</v>
      </c>
      <c r="S312" s="4" t="s">
        <v>601</v>
      </c>
      <c r="T312">
        <v>505</v>
      </c>
      <c r="U312">
        <v>253</v>
      </c>
    </row>
    <row r="313" spans="1:23" hidden="1" x14ac:dyDescent="0.25">
      <c r="A313" t="s">
        <v>144</v>
      </c>
      <c r="B313"/>
      <c r="C313" s="2" t="str">
        <f t="shared" si="10"/>
        <v>Wonderful Merciful Savior (C)</v>
      </c>
      <c r="D313" s="2"/>
      <c r="E313" s="2" t="str">
        <f t="shared" si="11"/>
        <v>Wonderful Merciful Savior</v>
      </c>
      <c r="F313" t="s">
        <v>539</v>
      </c>
      <c r="G313" s="2" t="s">
        <v>133</v>
      </c>
      <c r="H313" s="2" t="s">
        <v>133</v>
      </c>
      <c r="I313" s="4">
        <v>110</v>
      </c>
      <c r="J313" s="6" t="s">
        <v>18</v>
      </c>
      <c r="K313" s="10">
        <v>106879</v>
      </c>
      <c r="L313" s="4">
        <v>1989</v>
      </c>
      <c r="M313" s="11" t="s">
        <v>170</v>
      </c>
      <c r="N313" s="4" t="s">
        <v>602</v>
      </c>
      <c r="O313">
        <v>177</v>
      </c>
      <c r="P313" s="4">
        <v>2</v>
      </c>
      <c r="Q313" s="4">
        <v>2</v>
      </c>
      <c r="R313" s="4">
        <v>2</v>
      </c>
      <c r="S313" s="4" t="s">
        <v>601</v>
      </c>
      <c r="T313">
        <v>507</v>
      </c>
      <c r="U313">
        <v>254</v>
      </c>
    </row>
    <row r="314" spans="1:23" hidden="1" x14ac:dyDescent="0.25">
      <c r="A314" t="s">
        <v>81</v>
      </c>
      <c r="B314"/>
      <c r="C314" s="2" t="str">
        <f t="shared" si="10"/>
        <v>Yet Not I But Through Christ In Me (C)</v>
      </c>
      <c r="D314" s="2" t="s">
        <v>617</v>
      </c>
      <c r="E314" s="2" t="str">
        <f t="shared" si="11"/>
        <v>Yet Not I But Through Christ In Me</v>
      </c>
      <c r="F314" t="s">
        <v>540</v>
      </c>
      <c r="G314" s="2" t="s">
        <v>133</v>
      </c>
      <c r="H314" s="2" t="s">
        <v>133</v>
      </c>
      <c r="I314" s="4">
        <v>75</v>
      </c>
      <c r="J314" s="6" t="s">
        <v>11</v>
      </c>
      <c r="K314" s="8">
        <v>7121852</v>
      </c>
      <c r="L314" s="4">
        <v>2018</v>
      </c>
      <c r="M314" s="11" t="s">
        <v>119</v>
      </c>
      <c r="N314" s="4" t="s">
        <v>7</v>
      </c>
      <c r="O314">
        <v>178</v>
      </c>
      <c r="P314" s="4">
        <v>2</v>
      </c>
      <c r="Q314" s="4">
        <v>3</v>
      </c>
      <c r="R314" s="4">
        <v>3</v>
      </c>
      <c r="S314" s="4" t="s">
        <v>601</v>
      </c>
      <c r="T314">
        <v>509</v>
      </c>
      <c r="U314">
        <v>255</v>
      </c>
    </row>
    <row r="315" spans="1:23" hidden="1" x14ac:dyDescent="0.25">
      <c r="A315" t="s">
        <v>590</v>
      </c>
      <c r="B315" t="s">
        <v>579</v>
      </c>
      <c r="C315" s="2" t="str">
        <f t="shared" si="10"/>
        <v>You Are God Alone (Not A God) (A)</v>
      </c>
      <c r="D315" s="2"/>
      <c r="E315" s="2" t="str">
        <f t="shared" si="11"/>
        <v>You Are God Alone (Not A God)</v>
      </c>
      <c r="F315" t="s">
        <v>541</v>
      </c>
      <c r="G315" s="2" t="s">
        <v>8</v>
      </c>
      <c r="H315" s="2" t="s">
        <v>8</v>
      </c>
      <c r="I315" s="4">
        <v>70</v>
      </c>
      <c r="J315" s="6" t="s">
        <v>11</v>
      </c>
      <c r="K315" s="10">
        <v>4243463</v>
      </c>
      <c r="L315" s="4">
        <v>2004</v>
      </c>
      <c r="M315" s="11" t="s">
        <v>185</v>
      </c>
      <c r="N315" s="4" t="s">
        <v>7</v>
      </c>
      <c r="O315">
        <v>179</v>
      </c>
      <c r="P315" s="4">
        <v>3</v>
      </c>
      <c r="Q315" s="4">
        <v>2</v>
      </c>
      <c r="R315" s="4">
        <v>2</v>
      </c>
      <c r="S315" s="4" t="s">
        <v>601</v>
      </c>
      <c r="T315">
        <v>481</v>
      </c>
      <c r="U315">
        <v>241</v>
      </c>
    </row>
    <row r="316" spans="1:23" hidden="1" x14ac:dyDescent="0.25">
      <c r="A316" t="s">
        <v>591</v>
      </c>
      <c r="B316" t="s">
        <v>580</v>
      </c>
      <c r="C316" s="2" t="str">
        <f t="shared" si="10"/>
        <v>You Are Holy (Prince Of Piece) (G)</v>
      </c>
      <c r="D316" s="2"/>
      <c r="E316" s="2" t="str">
        <f t="shared" si="11"/>
        <v>You Are Holy (Prince Of Piece)</v>
      </c>
      <c r="F316" t="s">
        <v>542</v>
      </c>
      <c r="G316" s="2" t="s">
        <v>132</v>
      </c>
      <c r="H316" s="2" t="s">
        <v>132</v>
      </c>
      <c r="I316" s="4">
        <v>108</v>
      </c>
      <c r="J316" s="6" t="s">
        <v>11</v>
      </c>
      <c r="K316" s="10">
        <v>2332149</v>
      </c>
      <c r="L316" s="4">
        <v>1994</v>
      </c>
      <c r="M316" s="11" t="s">
        <v>186</v>
      </c>
      <c r="N316" s="4" t="s">
        <v>602</v>
      </c>
      <c r="O316">
        <v>180</v>
      </c>
      <c r="P316" s="4">
        <v>4</v>
      </c>
      <c r="Q316" s="4">
        <v>2</v>
      </c>
      <c r="R316" s="4">
        <v>2</v>
      </c>
      <c r="S316" s="4" t="s">
        <v>601</v>
      </c>
      <c r="T316">
        <v>489</v>
      </c>
      <c r="U316">
        <v>245</v>
      </c>
    </row>
    <row r="317" spans="1:23" hidden="1" x14ac:dyDescent="0.25">
      <c r="A317" t="s">
        <v>145</v>
      </c>
      <c r="B317"/>
      <c r="C317" s="2" t="str">
        <f t="shared" si="10"/>
        <v>You Are My All In All (F)</v>
      </c>
      <c r="D317" s="2"/>
      <c r="E317" s="2" t="str">
        <f t="shared" si="11"/>
        <v>You Are My All In All</v>
      </c>
      <c r="F317" t="s">
        <v>543</v>
      </c>
      <c r="G317" s="2" t="s">
        <v>146</v>
      </c>
      <c r="H317" s="2" t="s">
        <v>146</v>
      </c>
      <c r="I317" s="4">
        <v>80</v>
      </c>
      <c r="J317" s="6" t="s">
        <v>11</v>
      </c>
      <c r="K317" s="10">
        <v>825356</v>
      </c>
      <c r="L317" s="4">
        <v>1991</v>
      </c>
      <c r="M317" s="11" t="s">
        <v>171</v>
      </c>
      <c r="N317" s="4" t="s">
        <v>602</v>
      </c>
      <c r="O317">
        <v>181</v>
      </c>
      <c r="P317" s="4">
        <v>1</v>
      </c>
      <c r="Q317" s="4">
        <v>1</v>
      </c>
      <c r="R317" s="4">
        <v>1</v>
      </c>
      <c r="S317" s="4" t="s">
        <v>601</v>
      </c>
      <c r="T317">
        <v>515</v>
      </c>
      <c r="U317">
        <v>258</v>
      </c>
    </row>
    <row r="318" spans="1:23" hidden="1" x14ac:dyDescent="0.25">
      <c r="A318" t="s">
        <v>592</v>
      </c>
      <c r="B318" t="s">
        <v>556</v>
      </c>
      <c r="C318" s="2" t="str">
        <f t="shared" si="10"/>
        <v>You Are My King (Amazing Love) (E)</v>
      </c>
      <c r="D318" s="2"/>
      <c r="E318" s="2" t="str">
        <f t="shared" si="11"/>
        <v>You Are My King (Amazing Love)</v>
      </c>
      <c r="F318" t="s">
        <v>544</v>
      </c>
      <c r="G318" s="2" t="s">
        <v>12</v>
      </c>
      <c r="H318" s="2" t="s">
        <v>12</v>
      </c>
      <c r="I318" s="4">
        <v>70</v>
      </c>
      <c r="J318" s="6" t="s">
        <v>11</v>
      </c>
      <c r="K318" s="10">
        <v>2456623</v>
      </c>
      <c r="L318" s="4">
        <v>1996</v>
      </c>
      <c r="M318" s="11" t="s">
        <v>172</v>
      </c>
      <c r="N318" s="4" t="s">
        <v>602</v>
      </c>
      <c r="O318">
        <v>182</v>
      </c>
      <c r="P318" s="4">
        <v>2</v>
      </c>
      <c r="Q318" s="4">
        <v>1</v>
      </c>
      <c r="R318" s="4">
        <v>1</v>
      </c>
      <c r="S318" s="4" t="s">
        <v>601</v>
      </c>
      <c r="T318">
        <v>511</v>
      </c>
      <c r="U318">
        <v>256</v>
      </c>
      <c r="W318" s="4" t="s">
        <v>666</v>
      </c>
    </row>
    <row r="319" spans="1:23" hidden="1" x14ac:dyDescent="0.25">
      <c r="A319" t="s">
        <v>162</v>
      </c>
      <c r="B319"/>
      <c r="C319" s="2" t="str">
        <f t="shared" si="10"/>
        <v>Your Grace Is Enough (G)</v>
      </c>
      <c r="D319" s="2"/>
      <c r="E319" s="2" t="str">
        <f t="shared" si="11"/>
        <v>Your Grace Is Enough</v>
      </c>
      <c r="F319" t="s">
        <v>545</v>
      </c>
      <c r="G319" s="2" t="s">
        <v>132</v>
      </c>
      <c r="H319" s="2" t="s">
        <v>132</v>
      </c>
      <c r="I319" s="4">
        <v>116</v>
      </c>
      <c r="J319" s="6" t="s">
        <v>11</v>
      </c>
      <c r="K319" s="10">
        <v>4477026</v>
      </c>
      <c r="L319" s="4">
        <v>2003</v>
      </c>
      <c r="M319" s="11" t="s">
        <v>16</v>
      </c>
      <c r="N319" s="4" t="s">
        <v>7</v>
      </c>
      <c r="O319">
        <v>183</v>
      </c>
      <c r="P319" s="4">
        <v>3</v>
      </c>
      <c r="Q319" s="4">
        <v>2</v>
      </c>
      <c r="R319" s="4">
        <v>2</v>
      </c>
      <c r="S319" s="4" t="s">
        <v>601</v>
      </c>
      <c r="T319">
        <v>493</v>
      </c>
      <c r="U319">
        <v>247</v>
      </c>
    </row>
    <row r="320" spans="1:23" hidden="1" x14ac:dyDescent="0.25">
      <c r="A320" t="s">
        <v>163</v>
      </c>
      <c r="B320"/>
      <c r="C320" s="2" t="str">
        <f t="shared" si="10"/>
        <v>Your Great Name (C)</v>
      </c>
      <c r="D320" s="2"/>
      <c r="E320" s="2" t="str">
        <f t="shared" si="11"/>
        <v>Your Great Name</v>
      </c>
      <c r="F320" t="s">
        <v>546</v>
      </c>
      <c r="G320" s="2" t="s">
        <v>133</v>
      </c>
      <c r="H320" s="2" t="s">
        <v>133</v>
      </c>
      <c r="I320" s="4">
        <v>75</v>
      </c>
      <c r="J320" s="6" t="s">
        <v>11</v>
      </c>
      <c r="K320" s="10">
        <v>5393329</v>
      </c>
      <c r="L320" s="4">
        <v>2008</v>
      </c>
      <c r="M320" s="4" t="s">
        <v>90</v>
      </c>
      <c r="N320" s="4" t="s">
        <v>7</v>
      </c>
      <c r="O320">
        <v>184</v>
      </c>
      <c r="P320" s="4">
        <v>4</v>
      </c>
      <c r="Q320" s="4">
        <v>2</v>
      </c>
      <c r="R320" s="4">
        <v>2</v>
      </c>
      <c r="S320" s="4" t="s">
        <v>601</v>
      </c>
      <c r="T320">
        <v>497</v>
      </c>
      <c r="U320">
        <v>249</v>
      </c>
    </row>
    <row r="321" spans="1:21" hidden="1" x14ac:dyDescent="0.25">
      <c r="A321" t="s">
        <v>127</v>
      </c>
      <c r="B321"/>
      <c r="C321" s="2" t="str">
        <f t="shared" si="10"/>
        <v>Your Love Never Fails (A)</v>
      </c>
      <c r="D321" s="2"/>
      <c r="E321" s="2" t="str">
        <f t="shared" si="11"/>
        <v>Your Love Never Fails</v>
      </c>
      <c r="F321" t="s">
        <v>547</v>
      </c>
      <c r="G321" s="2" t="s">
        <v>8</v>
      </c>
      <c r="H321" s="2" t="s">
        <v>142</v>
      </c>
      <c r="I321" s="4">
        <v>116</v>
      </c>
      <c r="J321" s="6" t="s">
        <v>11</v>
      </c>
      <c r="K321" s="10">
        <v>5337172</v>
      </c>
      <c r="L321" s="4">
        <v>2008</v>
      </c>
      <c r="M321" s="11" t="s">
        <v>16</v>
      </c>
      <c r="N321" s="4" t="s">
        <v>7</v>
      </c>
      <c r="O321">
        <v>185</v>
      </c>
      <c r="P321" s="4">
        <v>4</v>
      </c>
      <c r="Q321" s="4">
        <v>1</v>
      </c>
      <c r="R321" s="4">
        <v>1</v>
      </c>
      <c r="S321" s="4" t="s">
        <v>601</v>
      </c>
      <c r="T321">
        <v>501</v>
      </c>
      <c r="U321">
        <v>251</v>
      </c>
    </row>
    <row r="322" spans="1:21" hidden="1" x14ac:dyDescent="0.25">
      <c r="A322" t="s">
        <v>287</v>
      </c>
      <c r="B322"/>
      <c r="C322" s="2" t="str">
        <f t="shared" si="10"/>
        <v>Your Presence Is Heaven (D)</v>
      </c>
      <c r="D322" s="2"/>
      <c r="E322" s="2" t="str">
        <f t="shared" si="11"/>
        <v>Your Presence Is Heaven</v>
      </c>
      <c r="F322" t="s">
        <v>548</v>
      </c>
      <c r="G322" s="2" t="s">
        <v>122</v>
      </c>
      <c r="H322" s="2" t="s">
        <v>122</v>
      </c>
      <c r="I322" s="4">
        <v>66</v>
      </c>
      <c r="J322" s="6" t="s">
        <v>11</v>
      </c>
      <c r="K322" s="10">
        <v>6214751</v>
      </c>
      <c r="L322" s="4">
        <v>2012</v>
      </c>
      <c r="M322" s="4" t="s">
        <v>117</v>
      </c>
      <c r="N322" s="4" t="s">
        <v>7</v>
      </c>
      <c r="O322">
        <v>186</v>
      </c>
      <c r="P322" s="4">
        <v>2</v>
      </c>
      <c r="Q322" s="4">
        <v>2</v>
      </c>
      <c r="R322" s="4">
        <v>2</v>
      </c>
      <c r="S322" s="4" t="s">
        <v>601</v>
      </c>
      <c r="T322">
        <v>513</v>
      </c>
      <c r="U322">
        <v>257</v>
      </c>
    </row>
    <row r="323" spans="1:21" x14ac:dyDescent="0.25">
      <c r="A323" s="4" t="s">
        <v>673</v>
      </c>
      <c r="F323" s="4" t="s">
        <v>674</v>
      </c>
      <c r="K323" s="4">
        <v>915125</v>
      </c>
    </row>
    <row r="324" spans="1:21" x14ac:dyDescent="0.25">
      <c r="A324" s="4" t="s">
        <v>675</v>
      </c>
      <c r="F324" s="4" t="s">
        <v>676</v>
      </c>
      <c r="K324" s="4">
        <v>18448</v>
      </c>
    </row>
  </sheetData>
  <autoFilter ref="A1:W322" xr:uid="{305BC604-AC15-4AC8-8363-D8C6D41CA4E4}">
    <filterColumn colId="18">
      <filters>
        <filter val="Do Not Add"/>
        <filter val="Not Found"/>
        <filter val="Rejected"/>
        <filter val="Todo"/>
      </filters>
    </filterColumn>
  </autoFilter>
  <sortState xmlns:xlrd2="http://schemas.microsoft.com/office/spreadsheetml/2017/richdata2" ref="A137:S322">
    <sortCondition ref="E137:E322"/>
  </sortState>
  <customSheetViews>
    <customSheetView guid="{7CF7E09B-DE34-46B0-A744-0543B6C0C399}" filter="1" showAutoFilter="1" hiddenColumns="1">
      <pane ySplit="135" topLeftCell="A137" activePane="bottomLeft" state="frozen"/>
      <selection pane="bottomLeft" activeCell="E139" sqref="E139"/>
      <autoFilter ref="A1:W322" xr:uid="{00000000-0000-0000-0000-000000000000}">
        <filterColumn colId="18">
          <filters>
            <filter val="Final"/>
          </filters>
        </filterColumn>
        <filterColumn colId="22">
          <customFilters>
            <customFilter operator="notEqual" val=" "/>
          </customFilters>
        </filterColumn>
      </autoFilter>
    </customSheetView>
    <customSheetView guid="{FC34F940-3EA4-4915-AF37-108B14C951B2}" filter="1" showAutoFilter="1" hiddenColumns="1">
      <pane ySplit="1" topLeftCell="A2" activePane="bottomLeft" state="frozen"/>
      <selection pane="bottomLeft" activeCell="E139" sqref="E139"/>
      <autoFilter ref="A1:W322" xr:uid="{00000000-0000-0000-0000-000000000000}">
        <filterColumn colId="21">
          <customFilters>
            <customFilter operator="notEqual" val=" "/>
          </customFilters>
        </filterColumn>
      </autoFilter>
    </customSheetView>
    <customSheetView guid="{3D90CCC9-2098-49D0-B048-150589B000BB}" filter="1" showAutoFilter="1" hiddenColumns="1">
      <pane ySplit="1" topLeftCell="A2" activePane="bottomLeft" state="frozen"/>
      <selection pane="bottomLeft" activeCell="E139" sqref="E139"/>
      <autoFilter ref="A1:W322" xr:uid="{00000000-0000-0000-0000-000000000000}">
        <filterColumn colId="18">
          <filters>
            <filter val="Final"/>
          </filters>
        </filterColumn>
      </autoFilter>
    </customSheetView>
  </customSheetView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0FB8-83F1-43BB-8D70-F82F7E2D58F9}">
  <sheetPr codeName="Sheet2"/>
  <dimension ref="A1:P1"/>
  <sheetViews>
    <sheetView workbookViewId="0">
      <selection sqref="A1:P1"/>
    </sheetView>
  </sheetViews>
  <sheetFormatPr defaultRowHeight="15" x14ac:dyDescent="0.25"/>
  <sheetData>
    <row r="1" spans="1:16" x14ac:dyDescent="0.25">
      <c r="A1" s="1" t="s">
        <v>84</v>
      </c>
      <c r="B1" s="1" t="s">
        <v>123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85</v>
      </c>
      <c r="H1" s="1" t="s">
        <v>0</v>
      </c>
      <c r="I1" s="1" t="s">
        <v>1</v>
      </c>
      <c r="J1" s="1" t="s">
        <v>6</v>
      </c>
      <c r="K1" s="1" t="s">
        <v>5</v>
      </c>
      <c r="L1" s="1" t="s">
        <v>10</v>
      </c>
      <c r="M1" s="1" t="s">
        <v>3</v>
      </c>
      <c r="N1" s="1" t="s">
        <v>2</v>
      </c>
      <c r="O1" s="1" t="s">
        <v>13</v>
      </c>
      <c r="P1" s="1" t="s">
        <v>124</v>
      </c>
    </row>
  </sheetData>
  <customSheetViews>
    <customSheetView guid="{7CF7E09B-DE34-46B0-A744-0543B6C0C399}">
      <selection sqref="A1:P1"/>
    </customSheetView>
    <customSheetView guid="{FC34F940-3EA4-4915-AF37-108B14C951B2}">
      <selection sqref="A1:P1"/>
    </customSheetView>
    <customSheetView guid="{3D90CCC9-2098-49D0-B048-150589B000BB}">
      <selection sqref="A1:P1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4670-E5B9-4575-897E-23E96A1B5C9D}">
  <sheetPr filterMode="1"/>
  <dimension ref="A1:U25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31" bestFit="1" customWidth="1"/>
    <col min="2" max="2" width="14" bestFit="1" customWidth="1"/>
    <col min="3" max="3" width="35.28515625" bestFit="1" customWidth="1"/>
    <col min="4" max="4" width="6.28515625" bestFit="1" customWidth="1"/>
    <col min="5" max="5" width="31" bestFit="1" customWidth="1"/>
    <col min="6" max="6" width="28.28515625" bestFit="1" customWidth="1"/>
    <col min="7" max="7" width="4.28515625" bestFit="1" customWidth="1"/>
    <col min="8" max="8" width="3" customWidth="1"/>
    <col min="9" max="9" width="5.5703125" customWidth="1"/>
    <col min="10" max="10" width="5.28515625" customWidth="1"/>
    <col min="11" max="11" width="8.85546875" customWidth="1"/>
    <col min="12" max="12" width="5.7109375" customWidth="1"/>
    <col min="13" max="13" width="15" customWidth="1"/>
    <col min="14" max="14" width="8.85546875" bestFit="1" customWidth="1"/>
    <col min="15" max="16" width="8.85546875" customWidth="1"/>
    <col min="17" max="18" width="8.85546875" hidden="1" customWidth="1"/>
    <col min="19" max="19" width="6.42578125" bestFit="1" customWidth="1"/>
    <col min="20" max="20" width="6.7109375" bestFit="1" customWidth="1"/>
    <col min="21" max="21" width="15.28515625" bestFit="1" customWidth="1"/>
  </cols>
  <sheetData>
    <row r="1" spans="1:21" x14ac:dyDescent="0.25">
      <c r="A1" s="1" t="s">
        <v>593</v>
      </c>
      <c r="B1" s="1" t="s">
        <v>553</v>
      </c>
      <c r="C1" s="1" t="s">
        <v>594</v>
      </c>
      <c r="D1" s="1" t="s">
        <v>603</v>
      </c>
      <c r="E1" s="1" t="s">
        <v>0</v>
      </c>
      <c r="F1" s="1" t="s">
        <v>1</v>
      </c>
      <c r="G1" s="1" t="s">
        <v>6</v>
      </c>
      <c r="H1" s="1" t="s">
        <v>595</v>
      </c>
      <c r="I1" s="1" t="s">
        <v>599</v>
      </c>
      <c r="J1" s="1" t="s">
        <v>598</v>
      </c>
      <c r="K1" s="1" t="s">
        <v>600</v>
      </c>
      <c r="L1" s="1" t="s">
        <v>597</v>
      </c>
      <c r="M1" s="1" t="s">
        <v>596</v>
      </c>
      <c r="N1" s="1" t="s">
        <v>378</v>
      </c>
      <c r="O1" s="1" t="s">
        <v>619</v>
      </c>
      <c r="P1" s="1" t="s">
        <v>372</v>
      </c>
      <c r="Q1" s="1" t="s">
        <v>373</v>
      </c>
      <c r="R1" s="1" t="s">
        <v>374</v>
      </c>
      <c r="S1" s="1" t="s">
        <v>390</v>
      </c>
      <c r="T1" s="1" t="s">
        <v>618</v>
      </c>
      <c r="U1" s="1" t="s">
        <v>622</v>
      </c>
    </row>
    <row r="2" spans="1:21" hidden="1" x14ac:dyDescent="0.25">
      <c r="A2" t="s">
        <v>623</v>
      </c>
      <c r="C2" s="2" t="str">
        <f t="shared" ref="C2:C25" si="0">_xlfn.CONCAT(A2, IF(ISBLANK(B2),," ("),B2,IF(ISBLANK(B2),,")"), " (",G2,")")</f>
        <v>Angels From The Realms Of Glory (Bb)</v>
      </c>
      <c r="E2" s="2" t="str">
        <f t="shared" ref="E2:E25" si="1">_xlfn.CONCAT(A2, IF(ISBLANK(B2),," ("),B2,IF(ISBLANK(B2),,")"))</f>
        <v>Angels From The Realms Of Glory</v>
      </c>
      <c r="F2" t="s">
        <v>643</v>
      </c>
      <c r="G2" t="s">
        <v>142</v>
      </c>
      <c r="H2" t="s">
        <v>142</v>
      </c>
      <c r="I2">
        <v>100</v>
      </c>
      <c r="J2" s="12" t="s">
        <v>11</v>
      </c>
      <c r="K2">
        <v>31669</v>
      </c>
      <c r="M2" t="s">
        <v>112</v>
      </c>
      <c r="N2" t="s">
        <v>660</v>
      </c>
      <c r="P2">
        <v>1</v>
      </c>
      <c r="Q2">
        <v>2</v>
      </c>
      <c r="S2" t="s">
        <v>130</v>
      </c>
    </row>
    <row r="3" spans="1:21" hidden="1" x14ac:dyDescent="0.25">
      <c r="A3" t="s">
        <v>631</v>
      </c>
      <c r="C3" s="2" t="str">
        <f t="shared" si="0"/>
        <v>It Came Upon The Midnight Clear (Ab)</v>
      </c>
      <c r="E3" s="2" t="str">
        <f t="shared" si="1"/>
        <v>It Came Upon The Midnight Clear</v>
      </c>
      <c r="F3" t="s">
        <v>651</v>
      </c>
      <c r="G3" t="s">
        <v>17</v>
      </c>
      <c r="H3" t="s">
        <v>17</v>
      </c>
      <c r="I3">
        <v>120</v>
      </c>
      <c r="J3" s="12" t="s">
        <v>94</v>
      </c>
      <c r="K3">
        <v>31078</v>
      </c>
      <c r="M3" t="s">
        <v>112</v>
      </c>
      <c r="N3" t="s">
        <v>660</v>
      </c>
      <c r="P3">
        <v>1</v>
      </c>
      <c r="Q3">
        <v>3</v>
      </c>
      <c r="S3" t="s">
        <v>130</v>
      </c>
    </row>
    <row r="4" spans="1:21" hidden="1" x14ac:dyDescent="0.25">
      <c r="A4" t="s">
        <v>633</v>
      </c>
      <c r="C4" s="2" t="str">
        <f t="shared" si="0"/>
        <v>Mary Did You Know (Am)</v>
      </c>
      <c r="E4" s="2" t="str">
        <f t="shared" si="1"/>
        <v>Mary Did You Know</v>
      </c>
      <c r="F4" t="s">
        <v>648</v>
      </c>
      <c r="G4" t="s">
        <v>641</v>
      </c>
      <c r="H4" t="s">
        <v>642</v>
      </c>
      <c r="J4" s="12" t="s">
        <v>11</v>
      </c>
      <c r="K4">
        <v>839225</v>
      </c>
      <c r="L4">
        <v>1991</v>
      </c>
      <c r="M4" t="s">
        <v>649</v>
      </c>
      <c r="N4" t="s">
        <v>660</v>
      </c>
      <c r="P4">
        <v>3</v>
      </c>
      <c r="Q4">
        <v>2</v>
      </c>
      <c r="S4" t="s">
        <v>130</v>
      </c>
    </row>
    <row r="5" spans="1:21" hidden="1" x14ac:dyDescent="0.25">
      <c r="A5" t="s">
        <v>638</v>
      </c>
      <c r="C5" s="2" t="str">
        <f t="shared" si="0"/>
        <v>Silent Night (Bb)</v>
      </c>
      <c r="E5" s="2" t="str">
        <f t="shared" si="1"/>
        <v>Silent Night</v>
      </c>
      <c r="F5" t="s">
        <v>656</v>
      </c>
      <c r="G5" t="s">
        <v>142</v>
      </c>
      <c r="H5" t="s">
        <v>142</v>
      </c>
      <c r="J5" s="12" t="s">
        <v>94</v>
      </c>
      <c r="K5">
        <v>27862</v>
      </c>
      <c r="M5" t="s">
        <v>112</v>
      </c>
      <c r="N5" t="s">
        <v>660</v>
      </c>
      <c r="P5">
        <v>1</v>
      </c>
      <c r="Q5">
        <v>1</v>
      </c>
      <c r="S5" t="s">
        <v>130</v>
      </c>
    </row>
    <row r="6" spans="1:21" x14ac:dyDescent="0.25">
      <c r="A6" t="s">
        <v>623</v>
      </c>
      <c r="C6" s="2" t="str">
        <f t="shared" si="0"/>
        <v>Angels From The Realms Of Glory (A)</v>
      </c>
      <c r="D6" s="2" t="s">
        <v>8</v>
      </c>
      <c r="E6" s="2" t="str">
        <f t="shared" si="1"/>
        <v>Angels From The Realms Of Glory</v>
      </c>
      <c r="F6" t="s">
        <v>643</v>
      </c>
      <c r="G6" t="s">
        <v>8</v>
      </c>
      <c r="H6" t="s">
        <v>142</v>
      </c>
      <c r="I6">
        <v>100</v>
      </c>
      <c r="J6" s="12" t="s">
        <v>11</v>
      </c>
      <c r="K6">
        <v>31669</v>
      </c>
      <c r="L6">
        <v>1816</v>
      </c>
      <c r="M6" t="s">
        <v>112</v>
      </c>
      <c r="N6" t="s">
        <v>660</v>
      </c>
      <c r="O6">
        <v>1</v>
      </c>
      <c r="P6">
        <v>1</v>
      </c>
      <c r="Q6">
        <v>2</v>
      </c>
      <c r="R6">
        <v>2</v>
      </c>
      <c r="S6" t="s">
        <v>601</v>
      </c>
      <c r="U6">
        <v>260</v>
      </c>
    </row>
    <row r="7" spans="1:21" x14ac:dyDescent="0.25">
      <c r="A7" t="s">
        <v>624</v>
      </c>
      <c r="C7" s="2" t="str">
        <f t="shared" si="0"/>
        <v>Angels We Have Heard On High (F)</v>
      </c>
      <c r="E7" s="2" t="str">
        <f t="shared" si="1"/>
        <v>Angels We Have Heard On High</v>
      </c>
      <c r="F7" t="s">
        <v>661</v>
      </c>
      <c r="G7" t="s">
        <v>146</v>
      </c>
      <c r="H7" t="s">
        <v>146</v>
      </c>
      <c r="I7">
        <v>100</v>
      </c>
      <c r="J7" s="12" t="s">
        <v>11</v>
      </c>
      <c r="K7">
        <v>27721</v>
      </c>
      <c r="L7">
        <v>1862</v>
      </c>
      <c r="M7" t="s">
        <v>112</v>
      </c>
      <c r="N7" t="s">
        <v>660</v>
      </c>
      <c r="O7">
        <v>2</v>
      </c>
      <c r="P7">
        <v>1</v>
      </c>
      <c r="Q7">
        <v>2</v>
      </c>
      <c r="R7">
        <v>2</v>
      </c>
      <c r="S7" t="s">
        <v>601</v>
      </c>
      <c r="U7">
        <v>260</v>
      </c>
    </row>
    <row r="8" spans="1:21" x14ac:dyDescent="0.25">
      <c r="A8" t="s">
        <v>625</v>
      </c>
      <c r="C8" s="2" t="str">
        <f t="shared" si="0"/>
        <v>Away In A Manger (F)</v>
      </c>
      <c r="E8" s="2" t="str">
        <f t="shared" si="1"/>
        <v>Away In A Manger</v>
      </c>
      <c r="F8" t="s">
        <v>644</v>
      </c>
      <c r="G8" t="s">
        <v>146</v>
      </c>
      <c r="H8" t="s">
        <v>146</v>
      </c>
      <c r="I8">
        <v>100</v>
      </c>
      <c r="J8" s="12" t="s">
        <v>18</v>
      </c>
      <c r="K8">
        <v>38583</v>
      </c>
      <c r="L8">
        <v>1882</v>
      </c>
      <c r="M8" t="s">
        <v>112</v>
      </c>
      <c r="N8" t="s">
        <v>660</v>
      </c>
      <c r="O8">
        <v>3</v>
      </c>
      <c r="P8">
        <v>1</v>
      </c>
      <c r="Q8">
        <v>1</v>
      </c>
      <c r="R8">
        <v>1</v>
      </c>
      <c r="S8" t="s">
        <v>601</v>
      </c>
      <c r="U8">
        <v>261</v>
      </c>
    </row>
    <row r="9" spans="1:21" x14ac:dyDescent="0.25">
      <c r="A9" t="s">
        <v>626</v>
      </c>
      <c r="C9" s="2" t="str">
        <f t="shared" si="0"/>
        <v>Come Thou Long Expected Jesus (F)</v>
      </c>
      <c r="D9" t="s">
        <v>133</v>
      </c>
      <c r="E9" s="2" t="str">
        <f t="shared" si="1"/>
        <v>Come Thou Long Expected Jesus</v>
      </c>
      <c r="F9" t="s">
        <v>406</v>
      </c>
      <c r="G9" t="s">
        <v>146</v>
      </c>
      <c r="H9" t="s">
        <v>146</v>
      </c>
      <c r="I9">
        <v>90</v>
      </c>
      <c r="J9" s="12" t="s">
        <v>18</v>
      </c>
      <c r="K9">
        <v>31999</v>
      </c>
      <c r="L9">
        <v>1744</v>
      </c>
      <c r="M9" t="s">
        <v>112</v>
      </c>
      <c r="N9" t="s">
        <v>660</v>
      </c>
      <c r="O9">
        <v>4</v>
      </c>
      <c r="P9">
        <v>1</v>
      </c>
      <c r="Q9">
        <v>1</v>
      </c>
      <c r="R9">
        <v>1</v>
      </c>
      <c r="S9" t="s">
        <v>601</v>
      </c>
      <c r="U9">
        <v>261</v>
      </c>
    </row>
    <row r="10" spans="1:21" x14ac:dyDescent="0.25">
      <c r="A10" t="s">
        <v>627</v>
      </c>
      <c r="C10" s="2" t="str">
        <f t="shared" si="0"/>
        <v>Go Tell It On The Mountain (F)</v>
      </c>
      <c r="D10" t="s">
        <v>132</v>
      </c>
      <c r="E10" s="2" t="str">
        <f t="shared" si="1"/>
        <v>Go Tell It On The Mountain</v>
      </c>
      <c r="F10" t="s">
        <v>662</v>
      </c>
      <c r="G10" t="s">
        <v>146</v>
      </c>
      <c r="H10" t="s">
        <v>146</v>
      </c>
      <c r="J10" s="12" t="s">
        <v>11</v>
      </c>
      <c r="K10">
        <v>29080</v>
      </c>
      <c r="L10">
        <v>1909</v>
      </c>
      <c r="M10" t="s">
        <v>112</v>
      </c>
      <c r="N10" t="s">
        <v>660</v>
      </c>
      <c r="O10">
        <v>6</v>
      </c>
      <c r="P10">
        <v>1</v>
      </c>
      <c r="Q10">
        <v>1</v>
      </c>
      <c r="R10">
        <v>1</v>
      </c>
      <c r="S10" t="s">
        <v>601</v>
      </c>
      <c r="U10">
        <v>262</v>
      </c>
    </row>
    <row r="11" spans="1:21" x14ac:dyDescent="0.25">
      <c r="A11" t="s">
        <v>628</v>
      </c>
      <c r="C11" s="2" t="str">
        <f t="shared" si="0"/>
        <v>God Rest Ye Merry Gentlemen (Em)</v>
      </c>
      <c r="E11" s="2" t="str">
        <f t="shared" si="1"/>
        <v>God Rest Ye Merry Gentlemen</v>
      </c>
      <c r="F11" t="s">
        <v>659</v>
      </c>
      <c r="G11" t="s">
        <v>366</v>
      </c>
      <c r="H11" t="s">
        <v>366</v>
      </c>
      <c r="I11">
        <v>120</v>
      </c>
      <c r="J11" s="12" t="s">
        <v>11</v>
      </c>
      <c r="K11">
        <v>39441</v>
      </c>
      <c r="L11">
        <v>1760</v>
      </c>
      <c r="M11" t="s">
        <v>112</v>
      </c>
      <c r="N11" t="s">
        <v>660</v>
      </c>
      <c r="O11">
        <v>7</v>
      </c>
      <c r="P11">
        <v>3</v>
      </c>
      <c r="Q11">
        <v>3</v>
      </c>
      <c r="R11">
        <v>3</v>
      </c>
      <c r="S11" t="s">
        <v>601</v>
      </c>
      <c r="U11">
        <v>262</v>
      </c>
    </row>
    <row r="12" spans="1:21" x14ac:dyDescent="0.25">
      <c r="A12" t="s">
        <v>629</v>
      </c>
      <c r="C12" s="2" t="str">
        <f t="shared" si="0"/>
        <v>Good Christian Men Rejoice (F)</v>
      </c>
      <c r="E12" s="2" t="str">
        <f t="shared" si="1"/>
        <v>Good Christian Men Rejoice</v>
      </c>
      <c r="F12" t="s">
        <v>652</v>
      </c>
      <c r="G12" t="s">
        <v>146</v>
      </c>
      <c r="H12" t="s">
        <v>146</v>
      </c>
      <c r="I12">
        <v>96</v>
      </c>
      <c r="J12" s="12" t="s">
        <v>94</v>
      </c>
      <c r="K12">
        <v>85158</v>
      </c>
      <c r="L12">
        <v>1853</v>
      </c>
      <c r="M12" t="s">
        <v>112</v>
      </c>
      <c r="N12" t="s">
        <v>660</v>
      </c>
      <c r="O12">
        <v>8</v>
      </c>
      <c r="P12">
        <v>1</v>
      </c>
      <c r="Q12">
        <v>1</v>
      </c>
      <c r="R12">
        <v>1</v>
      </c>
      <c r="S12" t="s">
        <v>601</v>
      </c>
      <c r="U12">
        <v>264</v>
      </c>
    </row>
    <row r="13" spans="1:21" x14ac:dyDescent="0.25">
      <c r="A13" t="s">
        <v>630</v>
      </c>
      <c r="C13" s="2" t="str">
        <f t="shared" si="0"/>
        <v>Hark The Herald Angels Sing (F)</v>
      </c>
      <c r="D13" t="s">
        <v>604</v>
      </c>
      <c r="E13" s="2" t="str">
        <f t="shared" si="1"/>
        <v>Hark The Herald Angels Sing</v>
      </c>
      <c r="F13" t="s">
        <v>406</v>
      </c>
      <c r="G13" t="s">
        <v>146</v>
      </c>
      <c r="H13" t="s">
        <v>146</v>
      </c>
      <c r="J13" s="12" t="s">
        <v>11</v>
      </c>
      <c r="K13">
        <v>27738</v>
      </c>
      <c r="L13">
        <v>1739</v>
      </c>
      <c r="M13" t="s">
        <v>112</v>
      </c>
      <c r="N13" t="s">
        <v>660</v>
      </c>
      <c r="O13">
        <v>9</v>
      </c>
      <c r="P13">
        <v>2</v>
      </c>
      <c r="Q13">
        <v>2</v>
      </c>
      <c r="R13">
        <v>2</v>
      </c>
      <c r="S13" t="s">
        <v>601</v>
      </c>
      <c r="U13">
        <v>264</v>
      </c>
    </row>
    <row r="14" spans="1:21" x14ac:dyDescent="0.25">
      <c r="A14" t="s">
        <v>631</v>
      </c>
      <c r="C14" s="2" t="str">
        <f t="shared" si="0"/>
        <v>It Came Upon The Midnight Clear (G)</v>
      </c>
      <c r="D14" t="s">
        <v>605</v>
      </c>
      <c r="E14" s="2" t="str">
        <f t="shared" si="1"/>
        <v>It Came Upon The Midnight Clear</v>
      </c>
      <c r="F14" t="s">
        <v>651</v>
      </c>
      <c r="G14" t="s">
        <v>132</v>
      </c>
      <c r="H14" t="s">
        <v>17</v>
      </c>
      <c r="I14">
        <v>120</v>
      </c>
      <c r="J14" s="12" t="s">
        <v>94</v>
      </c>
      <c r="K14">
        <v>31078</v>
      </c>
      <c r="L14">
        <v>1849</v>
      </c>
      <c r="M14" t="s">
        <v>112</v>
      </c>
      <c r="N14" t="s">
        <v>660</v>
      </c>
      <c r="O14">
        <v>10</v>
      </c>
      <c r="P14">
        <v>1</v>
      </c>
      <c r="Q14">
        <v>3</v>
      </c>
      <c r="R14">
        <v>3</v>
      </c>
      <c r="S14" t="s">
        <v>601</v>
      </c>
      <c r="U14">
        <v>265</v>
      </c>
    </row>
    <row r="15" spans="1:21" x14ac:dyDescent="0.25">
      <c r="A15" t="s">
        <v>632</v>
      </c>
      <c r="C15" s="2" t="str">
        <f t="shared" si="0"/>
        <v>Joy To The World (D)</v>
      </c>
      <c r="D15" t="s">
        <v>606</v>
      </c>
      <c r="E15" s="2" t="str">
        <f t="shared" si="1"/>
        <v>Joy To The World</v>
      </c>
      <c r="F15" t="s">
        <v>535</v>
      </c>
      <c r="G15" t="s">
        <v>122</v>
      </c>
      <c r="H15" t="s">
        <v>122</v>
      </c>
      <c r="I15">
        <v>96</v>
      </c>
      <c r="J15" s="12" t="s">
        <v>647</v>
      </c>
      <c r="K15">
        <v>24016</v>
      </c>
      <c r="L15">
        <v>1719</v>
      </c>
      <c r="M15" t="s">
        <v>112</v>
      </c>
      <c r="N15" t="s">
        <v>660</v>
      </c>
      <c r="O15">
        <v>11</v>
      </c>
      <c r="P15">
        <v>1</v>
      </c>
      <c r="Q15">
        <v>2</v>
      </c>
      <c r="R15">
        <v>2</v>
      </c>
      <c r="S15" t="s">
        <v>601</v>
      </c>
      <c r="U15">
        <v>266</v>
      </c>
    </row>
    <row r="16" spans="1:21" x14ac:dyDescent="0.25">
      <c r="A16" t="s">
        <v>633</v>
      </c>
      <c r="C16" s="2" t="str">
        <f t="shared" si="0"/>
        <v>Mary Did You Know (Cm)</v>
      </c>
      <c r="D16" t="s">
        <v>609</v>
      </c>
      <c r="E16" s="2" t="str">
        <f t="shared" si="1"/>
        <v>Mary Did You Know</v>
      </c>
      <c r="F16" t="s">
        <v>648</v>
      </c>
      <c r="G16" t="s">
        <v>642</v>
      </c>
      <c r="H16" t="s">
        <v>642</v>
      </c>
      <c r="J16" s="12" t="s">
        <v>11</v>
      </c>
      <c r="K16">
        <v>839225</v>
      </c>
      <c r="L16">
        <v>1991</v>
      </c>
      <c r="M16" t="s">
        <v>649</v>
      </c>
      <c r="N16" t="s">
        <v>660</v>
      </c>
      <c r="O16">
        <v>12</v>
      </c>
      <c r="P16">
        <v>3</v>
      </c>
      <c r="Q16">
        <v>2</v>
      </c>
      <c r="R16">
        <v>2</v>
      </c>
      <c r="S16" t="s">
        <v>601</v>
      </c>
      <c r="U16">
        <v>266</v>
      </c>
    </row>
    <row r="17" spans="1:21" x14ac:dyDescent="0.25">
      <c r="A17" t="s">
        <v>634</v>
      </c>
      <c r="C17" s="2" t="str">
        <f t="shared" si="0"/>
        <v>O Come All Ye Faithful (G)</v>
      </c>
      <c r="D17" t="s">
        <v>611</v>
      </c>
      <c r="E17" s="2" t="str">
        <f t="shared" si="1"/>
        <v>O Come All Ye Faithful</v>
      </c>
      <c r="F17" t="s">
        <v>650</v>
      </c>
      <c r="G17" t="s">
        <v>132</v>
      </c>
      <c r="H17" t="s">
        <v>132</v>
      </c>
      <c r="I17">
        <v>110</v>
      </c>
      <c r="J17" s="12" t="s">
        <v>11</v>
      </c>
      <c r="K17">
        <v>31054</v>
      </c>
      <c r="L17">
        <v>1841</v>
      </c>
      <c r="M17" t="s">
        <v>112</v>
      </c>
      <c r="N17" t="s">
        <v>660</v>
      </c>
      <c r="O17">
        <v>13</v>
      </c>
      <c r="P17">
        <v>1</v>
      </c>
      <c r="Q17">
        <v>1</v>
      </c>
      <c r="R17">
        <v>1</v>
      </c>
      <c r="S17" t="s">
        <v>601</v>
      </c>
      <c r="U17">
        <v>268</v>
      </c>
    </row>
    <row r="18" spans="1:21" x14ac:dyDescent="0.25">
      <c r="A18" t="s">
        <v>635</v>
      </c>
      <c r="C18" s="2" t="str">
        <f t="shared" si="0"/>
        <v>O Come O Come Emmanuel (Em)</v>
      </c>
      <c r="E18" s="2" t="str">
        <f t="shared" si="1"/>
        <v>O Come O Come Emmanuel</v>
      </c>
      <c r="F18" t="s">
        <v>653</v>
      </c>
      <c r="G18" t="s">
        <v>366</v>
      </c>
      <c r="H18" t="s">
        <v>366</v>
      </c>
      <c r="I18">
        <v>76</v>
      </c>
      <c r="J18" s="12" t="s">
        <v>11</v>
      </c>
      <c r="K18">
        <v>31982</v>
      </c>
      <c r="L18">
        <v>1861</v>
      </c>
      <c r="M18" t="s">
        <v>112</v>
      </c>
      <c r="N18" t="s">
        <v>660</v>
      </c>
      <c r="O18">
        <v>14</v>
      </c>
      <c r="P18">
        <v>1</v>
      </c>
      <c r="Q18">
        <v>2</v>
      </c>
      <c r="R18">
        <v>2</v>
      </c>
      <c r="S18" t="s">
        <v>601</v>
      </c>
      <c r="U18">
        <v>268</v>
      </c>
    </row>
    <row r="19" spans="1:21" x14ac:dyDescent="0.25">
      <c r="A19" t="s">
        <v>636</v>
      </c>
      <c r="C19" s="2" t="str">
        <f t="shared" si="0"/>
        <v>O Holy Night (C)</v>
      </c>
      <c r="E19" s="2" t="str">
        <f t="shared" si="1"/>
        <v>O Holy Night</v>
      </c>
      <c r="F19" t="s">
        <v>654</v>
      </c>
      <c r="G19" t="s">
        <v>133</v>
      </c>
      <c r="H19" t="s">
        <v>133</v>
      </c>
      <c r="I19">
        <v>90</v>
      </c>
      <c r="J19" s="12" t="s">
        <v>94</v>
      </c>
      <c r="K19">
        <v>32015</v>
      </c>
      <c r="L19">
        <v>1847</v>
      </c>
      <c r="M19" t="s">
        <v>112</v>
      </c>
      <c r="N19" t="s">
        <v>660</v>
      </c>
      <c r="O19">
        <v>15</v>
      </c>
      <c r="P19">
        <v>2</v>
      </c>
      <c r="Q19">
        <v>2</v>
      </c>
      <c r="R19">
        <v>2</v>
      </c>
      <c r="S19" t="s">
        <v>601</v>
      </c>
      <c r="U19">
        <v>269</v>
      </c>
    </row>
    <row r="20" spans="1:21" x14ac:dyDescent="0.25">
      <c r="A20" t="s">
        <v>637</v>
      </c>
      <c r="C20" s="2" t="str">
        <f t="shared" si="0"/>
        <v>O Little Town Of Bethlehem (F)</v>
      </c>
      <c r="E20" s="2" t="str">
        <f t="shared" si="1"/>
        <v>O Little Town Of Bethlehem</v>
      </c>
      <c r="F20" t="s">
        <v>655</v>
      </c>
      <c r="G20" t="s">
        <v>146</v>
      </c>
      <c r="H20" t="s">
        <v>146</v>
      </c>
      <c r="I20">
        <v>90</v>
      </c>
      <c r="J20" s="12" t="s">
        <v>11</v>
      </c>
      <c r="K20">
        <v>27879</v>
      </c>
      <c r="L20">
        <v>1868</v>
      </c>
      <c r="M20" t="s">
        <v>112</v>
      </c>
      <c r="N20" t="s">
        <v>660</v>
      </c>
      <c r="O20">
        <v>16</v>
      </c>
      <c r="P20">
        <v>1</v>
      </c>
      <c r="Q20">
        <v>2</v>
      </c>
      <c r="R20">
        <v>2</v>
      </c>
      <c r="S20" t="s">
        <v>601</v>
      </c>
      <c r="U20">
        <v>270</v>
      </c>
    </row>
    <row r="21" spans="1:21" x14ac:dyDescent="0.25">
      <c r="A21" t="s">
        <v>638</v>
      </c>
      <c r="C21" s="2" t="str">
        <f t="shared" si="0"/>
        <v>Silent Night (A)</v>
      </c>
      <c r="D21" t="s">
        <v>614</v>
      </c>
      <c r="E21" s="2" t="str">
        <f t="shared" si="1"/>
        <v>Silent Night</v>
      </c>
      <c r="F21" t="s">
        <v>656</v>
      </c>
      <c r="G21" t="s">
        <v>8</v>
      </c>
      <c r="H21" t="s">
        <v>142</v>
      </c>
      <c r="J21" s="12" t="s">
        <v>94</v>
      </c>
      <c r="K21">
        <v>27862</v>
      </c>
      <c r="L21">
        <v>1818</v>
      </c>
      <c r="M21" t="s">
        <v>112</v>
      </c>
      <c r="N21" t="s">
        <v>660</v>
      </c>
      <c r="O21">
        <v>17</v>
      </c>
      <c r="P21">
        <v>1</v>
      </c>
      <c r="Q21">
        <v>1</v>
      </c>
      <c r="R21">
        <v>1</v>
      </c>
      <c r="S21" t="s">
        <v>601</v>
      </c>
      <c r="U21">
        <v>270</v>
      </c>
    </row>
    <row r="22" spans="1:21" x14ac:dyDescent="0.25">
      <c r="A22" t="s">
        <v>639</v>
      </c>
      <c r="C22" s="2" t="str">
        <f t="shared" si="0"/>
        <v>The First Noel (D)</v>
      </c>
      <c r="D22" t="s">
        <v>552</v>
      </c>
      <c r="E22" s="2" t="str">
        <f t="shared" si="1"/>
        <v>The First Noel</v>
      </c>
      <c r="F22" t="s">
        <v>659</v>
      </c>
      <c r="G22" t="s">
        <v>122</v>
      </c>
      <c r="H22" t="s">
        <v>122</v>
      </c>
      <c r="I22">
        <v>80</v>
      </c>
      <c r="J22" s="12" t="s">
        <v>18</v>
      </c>
      <c r="K22">
        <v>31047</v>
      </c>
      <c r="L22">
        <v>1833</v>
      </c>
      <c r="M22" t="s">
        <v>112</v>
      </c>
      <c r="N22" t="s">
        <v>660</v>
      </c>
      <c r="O22">
        <v>5</v>
      </c>
      <c r="P22">
        <v>2</v>
      </c>
      <c r="Q22">
        <v>2</v>
      </c>
      <c r="R22">
        <v>2</v>
      </c>
      <c r="S22" t="s">
        <v>601</v>
      </c>
      <c r="U22">
        <v>271</v>
      </c>
    </row>
    <row r="23" spans="1:21" x14ac:dyDescent="0.25">
      <c r="A23" t="s">
        <v>646</v>
      </c>
      <c r="C23" s="2" t="str">
        <f t="shared" si="0"/>
        <v>We Three Kings (G)</v>
      </c>
      <c r="D23" t="s">
        <v>616</v>
      </c>
      <c r="E23" s="2" t="str">
        <f t="shared" si="1"/>
        <v>We Three Kings</v>
      </c>
      <c r="F23" t="s">
        <v>663</v>
      </c>
      <c r="G23" t="s">
        <v>132</v>
      </c>
      <c r="H23" t="s">
        <v>132</v>
      </c>
      <c r="I23">
        <v>132</v>
      </c>
      <c r="J23" s="12" t="s">
        <v>94</v>
      </c>
      <c r="K23">
        <v>38002</v>
      </c>
      <c r="L23">
        <v>1857</v>
      </c>
      <c r="M23" t="s">
        <v>112</v>
      </c>
      <c r="N23" t="s">
        <v>660</v>
      </c>
      <c r="O23">
        <v>18</v>
      </c>
      <c r="P23">
        <v>1</v>
      </c>
      <c r="Q23">
        <v>2</v>
      </c>
      <c r="R23">
        <v>2</v>
      </c>
      <c r="S23" t="s">
        <v>601</v>
      </c>
      <c r="U23">
        <v>272</v>
      </c>
    </row>
    <row r="24" spans="1:21" x14ac:dyDescent="0.25">
      <c r="A24" t="s">
        <v>640</v>
      </c>
      <c r="C24" s="2" t="str">
        <f t="shared" si="0"/>
        <v>What Child Is This (G)</v>
      </c>
      <c r="E24" s="2" t="str">
        <f t="shared" si="1"/>
        <v>What Child Is This</v>
      </c>
      <c r="F24" t="s">
        <v>657</v>
      </c>
      <c r="G24" t="s">
        <v>132</v>
      </c>
      <c r="H24" t="s">
        <v>132</v>
      </c>
      <c r="J24" s="12" t="s">
        <v>94</v>
      </c>
      <c r="K24">
        <v>30983</v>
      </c>
      <c r="L24">
        <v>1865</v>
      </c>
      <c r="M24" t="s">
        <v>112</v>
      </c>
      <c r="N24" t="s">
        <v>660</v>
      </c>
      <c r="O24">
        <v>19</v>
      </c>
      <c r="P24">
        <v>1</v>
      </c>
      <c r="Q24">
        <v>2</v>
      </c>
      <c r="R24">
        <v>2</v>
      </c>
      <c r="S24" t="s">
        <v>601</v>
      </c>
      <c r="U24">
        <v>272</v>
      </c>
    </row>
    <row r="25" spans="1:21" x14ac:dyDescent="0.25">
      <c r="A25" t="s">
        <v>645</v>
      </c>
      <c r="C25" s="2" t="str">
        <f t="shared" si="0"/>
        <v>While Shepherds Watched (C)</v>
      </c>
      <c r="E25" s="2" t="str">
        <f t="shared" si="1"/>
        <v>While Shepherds Watched</v>
      </c>
      <c r="F25" t="s">
        <v>658</v>
      </c>
      <c r="G25" t="s">
        <v>133</v>
      </c>
      <c r="H25" t="s">
        <v>133</v>
      </c>
      <c r="I25">
        <v>90</v>
      </c>
      <c r="J25" s="12" t="s">
        <v>11</v>
      </c>
      <c r="K25">
        <v>32008</v>
      </c>
      <c r="L25">
        <v>1700</v>
      </c>
      <c r="M25" t="s">
        <v>112</v>
      </c>
      <c r="N25" t="s">
        <v>660</v>
      </c>
      <c r="O25">
        <v>20</v>
      </c>
      <c r="P25">
        <v>1</v>
      </c>
      <c r="Q25">
        <v>2</v>
      </c>
      <c r="R25">
        <v>2</v>
      </c>
      <c r="S25" t="s">
        <v>601</v>
      </c>
      <c r="U25">
        <v>273</v>
      </c>
    </row>
  </sheetData>
  <autoFilter ref="A1:U25" xr:uid="{B6CD479D-2550-4A3B-AD99-6A25B08EFF17}">
    <filterColumn colId="18">
      <filters>
        <filter val="Final"/>
      </filters>
    </filterColumn>
  </autoFilter>
  <sortState xmlns:xlrd2="http://schemas.microsoft.com/office/spreadsheetml/2017/richdata2" ref="A2:U25">
    <sortCondition ref="S2:S25"/>
    <sortCondition ref="A2:A25"/>
  </sortState>
  <customSheetViews>
    <customSheetView guid="{7CF7E09B-DE34-46B0-A744-0543B6C0C399}" filter="1" showAutoFilter="1" hiddenColumns="1">
      <pane ySplit="4" topLeftCell="A6" activePane="bottomLeft" state="frozen"/>
      <selection pane="bottomLeft"/>
      <autoFilter ref="A1:U25" xr:uid="{00000000-0000-0000-0000-000000000000}">
        <filterColumn colId="18">
          <filters>
            <filter val="Final"/>
          </filters>
        </filterColumn>
      </autoFilter>
    </customSheetView>
    <customSheetView guid="{FC34F940-3EA4-4915-AF37-108B14C951B2}" filter="1" showAutoFilter="1" hiddenColumns="1">
      <pane ySplit="1" topLeftCell="A2" activePane="bottomLeft" state="frozen"/>
      <selection pane="bottomLeft"/>
      <autoFilter ref="A1:U25" xr:uid="{00000000-0000-0000-0000-000000000000}">
        <filterColumn colId="18">
          <filters>
            <filter val="Final"/>
          </filters>
        </filterColumn>
      </autoFilter>
    </customSheetView>
    <customSheetView guid="{3D90CCC9-2098-49D0-B048-150589B000BB}" filter="1" showAutoFilter="1" hiddenColumns="1">
      <pane ySplit="1" topLeftCell="A2" activePane="bottomLeft" state="frozen"/>
      <selection pane="bottomLeft"/>
      <autoFilter ref="A1:U25" xr:uid="{00000000-0000-0000-0000-000000000000}">
        <filterColumn colId="18">
          <filters>
            <filter val="Final"/>
          </filters>
        </filterColumn>
      </autoFilter>
    </customSheetView>
  </customSheetView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Contemporary (4P Binder)</vt:lpstr>
      <vt:lpstr>Hymns (2P Binder)</vt:lpstr>
      <vt:lpstr>Christmas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2015-06-05T18:17:20Z</dcterms:created>
  <dcterms:modified xsi:type="dcterms:W3CDTF">2021-01-11T18:14:43Z</dcterms:modified>
</cp:coreProperties>
</file>