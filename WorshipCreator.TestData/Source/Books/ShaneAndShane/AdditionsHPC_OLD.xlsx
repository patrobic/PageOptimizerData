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ShaneAndShane\"/>
    </mc:Choice>
  </mc:AlternateContent>
  <xr:revisionPtr revIDLastSave="0" documentId="8_{40776FDF-3F81-47C3-917E-B47E6F7C917F}" xr6:coauthVersionLast="45" xr6:coauthVersionMax="45" xr10:uidLastSave="{00000000-0000-0000-0000-000000000000}"/>
  <bookViews>
    <workbookView xWindow="28680" yWindow="-120" windowWidth="29040" windowHeight="15990" xr2:uid="{CCA41DD5-D290-4D3D-8D27-7FB6F899A3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4" i="1" l="1"/>
  <c r="G54" i="1" s="1"/>
  <c r="I54" i="1"/>
  <c r="F60" i="1"/>
  <c r="G60" i="1" s="1"/>
  <c r="I60" i="1"/>
  <c r="F61" i="1"/>
  <c r="G61" i="1" s="1"/>
  <c r="I61" i="1"/>
  <c r="F56" i="1"/>
  <c r="G56" i="1" s="1"/>
  <c r="H56" i="1"/>
  <c r="I56" i="1"/>
  <c r="F63" i="1"/>
  <c r="G63" i="1" s="1"/>
  <c r="I63" i="1"/>
  <c r="F55" i="1"/>
  <c r="G55" i="1" s="1"/>
  <c r="I55" i="1"/>
  <c r="F62" i="1"/>
  <c r="G62" i="1" s="1"/>
  <c r="I62" i="1"/>
  <c r="F58" i="1"/>
  <c r="G58" i="1" s="1"/>
  <c r="I58" i="1"/>
  <c r="F57" i="1"/>
  <c r="G57" i="1" s="1"/>
  <c r="I57" i="1"/>
  <c r="F59" i="1"/>
  <c r="G59" i="1" s="1"/>
  <c r="I59" i="1"/>
  <c r="F64" i="1"/>
  <c r="G64" i="1" s="1"/>
  <c r="I64" i="1"/>
  <c r="F42" i="1"/>
  <c r="G42" i="1" s="1"/>
  <c r="I42" i="1"/>
  <c r="F52" i="1"/>
  <c r="G52" i="1" s="1"/>
  <c r="I52" i="1"/>
  <c r="F44" i="1"/>
  <c r="G44" i="1" s="1"/>
  <c r="I44" i="1"/>
  <c r="F53" i="1"/>
  <c r="H53" i="1" s="1"/>
  <c r="I53" i="1"/>
  <c r="F43" i="1"/>
  <c r="G43" i="1" s="1"/>
  <c r="I43" i="1"/>
  <c r="F46" i="1"/>
  <c r="H46" i="1" s="1"/>
  <c r="I46" i="1"/>
  <c r="F50" i="1"/>
  <c r="G50" i="1" s="1"/>
  <c r="I50" i="1"/>
  <c r="F49" i="1"/>
  <c r="H49" i="1" s="1"/>
  <c r="I49" i="1"/>
  <c r="F48" i="1"/>
  <c r="G48" i="1" s="1"/>
  <c r="I48" i="1"/>
  <c r="F51" i="1"/>
  <c r="H51" i="1" s="1"/>
  <c r="I51" i="1"/>
  <c r="F47" i="1"/>
  <c r="G47" i="1" s="1"/>
  <c r="I47" i="1"/>
  <c r="F45" i="1"/>
  <c r="H45" i="1" s="1"/>
  <c r="G45" i="1"/>
  <c r="I45" i="1"/>
  <c r="I4" i="1"/>
  <c r="I10" i="1"/>
  <c r="I7" i="1"/>
  <c r="I6" i="1"/>
  <c r="I11" i="1"/>
  <c r="I3" i="1"/>
  <c r="I2" i="1"/>
  <c r="I8" i="1"/>
  <c r="I9" i="1"/>
  <c r="I13" i="1"/>
  <c r="I16" i="1"/>
  <c r="I12" i="1"/>
  <c r="I18" i="1"/>
  <c r="I19" i="1"/>
  <c r="I20" i="1"/>
  <c r="I17" i="1"/>
  <c r="I21" i="1"/>
  <c r="I15" i="1"/>
  <c r="I14" i="1"/>
  <c r="I31" i="1"/>
  <c r="I22" i="1"/>
  <c r="I26" i="1"/>
  <c r="I28" i="1"/>
  <c r="I25" i="1"/>
  <c r="I23" i="1"/>
  <c r="I24" i="1"/>
  <c r="I27" i="1"/>
  <c r="I29" i="1"/>
  <c r="I30" i="1"/>
  <c r="I40" i="1"/>
  <c r="I36" i="1"/>
  <c r="I32" i="1"/>
  <c r="I35" i="1"/>
  <c r="I41" i="1"/>
  <c r="I37" i="1"/>
  <c r="I34" i="1"/>
  <c r="I38" i="1"/>
  <c r="I33" i="1"/>
  <c r="I39" i="1"/>
  <c r="I5" i="1"/>
  <c r="F4" i="1"/>
  <c r="G4" i="1" s="1"/>
  <c r="F10" i="1"/>
  <c r="G10" i="1" s="1"/>
  <c r="F7" i="1"/>
  <c r="F6" i="1"/>
  <c r="G6" i="1" s="1"/>
  <c r="F11" i="1"/>
  <c r="G11" i="1" s="1"/>
  <c r="F3" i="1"/>
  <c r="F2" i="1"/>
  <c r="G2" i="1" s="1"/>
  <c r="F8" i="1"/>
  <c r="G8" i="1" s="1"/>
  <c r="F9" i="1"/>
  <c r="H9" i="1" s="1"/>
  <c r="F13" i="1"/>
  <c r="G13" i="1" s="1"/>
  <c r="F16" i="1"/>
  <c r="F12" i="1"/>
  <c r="G12" i="1" s="1"/>
  <c r="F18" i="1"/>
  <c r="G18" i="1" s="1"/>
  <c r="F19" i="1"/>
  <c r="F20" i="1"/>
  <c r="G20" i="1" s="1"/>
  <c r="F17" i="1"/>
  <c r="G17" i="1" s="1"/>
  <c r="F21" i="1"/>
  <c r="H21" i="1" s="1"/>
  <c r="F15" i="1"/>
  <c r="G15" i="1" s="1"/>
  <c r="F14" i="1"/>
  <c r="F31" i="1"/>
  <c r="G31" i="1" s="1"/>
  <c r="F22" i="1"/>
  <c r="G22" i="1" s="1"/>
  <c r="F26" i="1"/>
  <c r="G26" i="1" s="1"/>
  <c r="F28" i="1"/>
  <c r="G28" i="1" s="1"/>
  <c r="F25" i="1"/>
  <c r="G25" i="1" s="1"/>
  <c r="F23" i="1"/>
  <c r="G23" i="1" s="1"/>
  <c r="F24" i="1"/>
  <c r="G24" i="1" s="1"/>
  <c r="F27" i="1"/>
  <c r="G27" i="1" s="1"/>
  <c r="F29" i="1"/>
  <c r="G29" i="1" s="1"/>
  <c r="F30" i="1"/>
  <c r="G30" i="1" s="1"/>
  <c r="F40" i="1"/>
  <c r="G40" i="1" s="1"/>
  <c r="F36" i="1"/>
  <c r="G36" i="1" s="1"/>
  <c r="F32" i="1"/>
  <c r="G32" i="1" s="1"/>
  <c r="F35" i="1"/>
  <c r="G35" i="1" s="1"/>
  <c r="F41" i="1"/>
  <c r="G41" i="1" s="1"/>
  <c r="F37" i="1"/>
  <c r="F34" i="1"/>
  <c r="G34" i="1" s="1"/>
  <c r="F38" i="1"/>
  <c r="G38" i="1" s="1"/>
  <c r="F33" i="1"/>
  <c r="G33" i="1" s="1"/>
  <c r="F39" i="1"/>
  <c r="G39" i="1" s="1"/>
  <c r="F5" i="1"/>
  <c r="G5" i="1" s="1"/>
  <c r="G37" i="1"/>
  <c r="H7" i="1"/>
  <c r="G3" i="1"/>
  <c r="H16" i="1"/>
  <c r="G19" i="1"/>
  <c r="G14" i="1"/>
  <c r="H18" i="1" l="1"/>
  <c r="G21" i="1"/>
  <c r="H55" i="1"/>
  <c r="H4" i="1"/>
  <c r="H60" i="1"/>
  <c r="H58" i="1"/>
  <c r="G9" i="1"/>
  <c r="G51" i="1"/>
  <c r="H59" i="1"/>
  <c r="H54" i="1"/>
  <c r="H64" i="1"/>
  <c r="H57" i="1"/>
  <c r="H62" i="1"/>
  <c r="H63" i="1"/>
  <c r="H61" i="1"/>
  <c r="G49" i="1"/>
  <c r="G53" i="1"/>
  <c r="G46" i="1"/>
  <c r="H52" i="1"/>
  <c r="H47" i="1"/>
  <c r="H48" i="1"/>
  <c r="H50" i="1"/>
  <c r="H43" i="1"/>
  <c r="H44" i="1"/>
  <c r="H42" i="1"/>
  <c r="H11" i="1"/>
  <c r="H14" i="1"/>
  <c r="G16" i="1"/>
  <c r="G7" i="1"/>
  <c r="H20" i="1"/>
  <c r="H2" i="1"/>
  <c r="H39" i="1"/>
  <c r="H38" i="1"/>
  <c r="H37" i="1"/>
  <c r="H35" i="1"/>
  <c r="H36" i="1"/>
  <c r="H30" i="1"/>
  <c r="H27" i="1"/>
  <c r="H23" i="1"/>
  <c r="H28" i="1"/>
  <c r="H22" i="1"/>
  <c r="H33" i="1"/>
  <c r="H34" i="1"/>
  <c r="H41" i="1"/>
  <c r="H32" i="1"/>
  <c r="H40" i="1"/>
  <c r="H29" i="1"/>
  <c r="H24" i="1"/>
  <c r="H25" i="1"/>
  <c r="H26" i="1"/>
  <c r="H31" i="1"/>
  <c r="H15" i="1"/>
  <c r="H17" i="1"/>
  <c r="H19" i="1"/>
  <c r="H12" i="1"/>
  <c r="H13" i="1"/>
  <c r="H8" i="1"/>
  <c r="H3" i="1"/>
  <c r="H6" i="1"/>
  <c r="H10" i="1"/>
  <c r="H5" i="1"/>
</calcChain>
</file>

<file path=xl/sharedStrings.xml><?xml version="1.0" encoding="utf-8"?>
<sst xmlns="http://schemas.openxmlformats.org/spreadsheetml/2006/main" count="262" uniqueCount="99">
  <si>
    <t>D</t>
  </si>
  <si>
    <t>Come Thou Fount (Above All Else) by Shane &amp; Shane</t>
  </si>
  <si>
    <t>Give Me Jesus by Shane &amp; Shane</t>
  </si>
  <si>
    <t>E</t>
  </si>
  <si>
    <t>In Christ Alone [Hymns] by Keith Getty</t>
  </si>
  <si>
    <t>C</t>
  </si>
  <si>
    <t>Holy, Holy, Holy (We Bow Before Thee) by Shane &amp; Shane</t>
  </si>
  <si>
    <t>The Lord is My Salvation by Keith &amp; Kristyn Getty</t>
  </si>
  <si>
    <t>B</t>
  </si>
  <si>
    <t>There Is A Fountain (Full of Love) by Shane &amp; Shane</t>
  </si>
  <si>
    <t>How Great Thou Art by Shane &amp; Shane</t>
  </si>
  <si>
    <t>Tis So Sweet by Shane &amp; Shane</t>
  </si>
  <si>
    <t>He Will Hold Me Fast by Keith &amp; Kristyn Getty</t>
  </si>
  <si>
    <t>My Worth Is Not In What I Own by Keith &amp; Kristyn Getty</t>
  </si>
  <si>
    <t>Bb</t>
  </si>
  <si>
    <t>Turn Your Eyes Upon Jesus (Amazing Grace)</t>
  </si>
  <si>
    <t>Oh Lord Almighty by Shane &amp; Shane</t>
  </si>
  <si>
    <t>Eb</t>
  </si>
  <si>
    <t>Be Thou My Vision (Lord You Are) by Shane &amp; Shane</t>
  </si>
  <si>
    <t>Come Behold the Wondrous Mystery by Matt Boswell</t>
  </si>
  <si>
    <t>Ab</t>
  </si>
  <si>
    <t>Living Waters (As the Deer) by Keith and Kristyn Getty</t>
  </si>
  <si>
    <t>All Hail The Power of Jesus Name</t>
  </si>
  <si>
    <t>F</t>
  </si>
  <si>
    <t>Power of the Cross by Keith and Kristyn Getty</t>
  </si>
  <si>
    <t>Crown Him With Many Crowns</t>
  </si>
  <si>
    <t>Praise to the Lord (Joyful, Joyful)</t>
  </si>
  <si>
    <t>My Jesus I Love Thee</t>
  </si>
  <si>
    <t>Love Comes Down by Michael Farren</t>
  </si>
  <si>
    <t>G</t>
  </si>
  <si>
    <t>Angels We Have Heard On High</t>
  </si>
  <si>
    <t>Joy To The World</t>
  </si>
  <si>
    <t>The First Noel (Vol. 1) by Shane &amp; Shane</t>
  </si>
  <si>
    <t>O Holy Night (Vol. 1) by Shane &amp; Shane</t>
  </si>
  <si>
    <t>O Come All Ye Faithful</t>
  </si>
  <si>
    <t>Go Tell It On The Mountain</t>
  </si>
  <si>
    <t>Silent Night</t>
  </si>
  <si>
    <t>O Come O Come Emmanuel (Vol. 1) by Shane &amp; Shane</t>
  </si>
  <si>
    <t>Little Drummer Boy (Vol. 1) by Shane &amp; Shane</t>
  </si>
  <si>
    <t>Winter Snow by Audrey Assad</t>
  </si>
  <si>
    <t>Breath of Heaven by Amy Grant</t>
  </si>
  <si>
    <t>Come Thou Long Expected Jesus</t>
  </si>
  <si>
    <t>O Little Town of Bethlehem</t>
  </si>
  <si>
    <t>It Came Upon A Midnight Clear</t>
  </si>
  <si>
    <t>A</t>
  </si>
  <si>
    <t>Face of God</t>
  </si>
  <si>
    <t>Hark the Herald Angels Sing</t>
  </si>
  <si>
    <t>F#</t>
  </si>
  <si>
    <t>What Child Is This</t>
  </si>
  <si>
    <t>Joy to the World (Joyful, Joyful) by Phil Wickham</t>
  </si>
  <si>
    <t>Away in a Manger</t>
  </si>
  <si>
    <t>Album Title</t>
  </si>
  <si>
    <t>Full Title</t>
  </si>
  <si>
    <t>Title</t>
  </si>
  <si>
    <t>Main Title</t>
  </si>
  <si>
    <t>Alt Title</t>
  </si>
  <si>
    <t>Author</t>
  </si>
  <si>
    <t>Tempo</t>
  </si>
  <si>
    <t>Key</t>
  </si>
  <si>
    <t>Psalm 46 (Lord of Hosts) by Shane &amp; Shane</t>
  </si>
  <si>
    <t>Psalm 27 (One Thing) by Shane &amp; Shane</t>
  </si>
  <si>
    <t>Psalm 34 (Taste and See) by Shane &amp; Shane</t>
  </si>
  <si>
    <t>Psalm 23 (Surely Goodness, Surely Mercy) by Shane &amp; Shane</t>
  </si>
  <si>
    <t>Psalm 45 (Fairest of All) by Shane &amp; Shane</t>
  </si>
  <si>
    <t>Psalm 139 (Far Too Wonderful) by Shane &amp; Shane</t>
  </si>
  <si>
    <t>Psalm 16 (Fullness of Joy) by Shane &amp; Shane</t>
  </si>
  <si>
    <t>Psalm 63 (Better than Life) by Shane &amp; Shane</t>
  </si>
  <si>
    <t>Psalm 91 (On Eagles' Wings) by Shane &amp; Shane</t>
  </si>
  <si>
    <t>Take Over by Shane &amp; Shane</t>
  </si>
  <si>
    <t>Psalm 98 (Sing Unto The Lord) by Shane &amp; Shane</t>
  </si>
  <si>
    <t>Psalm 51 (Wisdom in the Secret Heart) by Shane &amp; Shane</t>
  </si>
  <si>
    <t>H1</t>
  </si>
  <si>
    <t>Hymns, Vol. 1</t>
  </si>
  <si>
    <t>H2</t>
  </si>
  <si>
    <t>Hymns, Vol. 2</t>
  </si>
  <si>
    <t>A Worship Initiative Christmas Vol. 1</t>
  </si>
  <si>
    <t>A Worship Initiative Christmas Vol. 2</t>
  </si>
  <si>
    <t>C1</t>
  </si>
  <si>
    <t>C2</t>
  </si>
  <si>
    <t>Psalms 2</t>
  </si>
  <si>
    <t>P2</t>
  </si>
  <si>
    <t>Album #</t>
  </si>
  <si>
    <t>Song #</t>
  </si>
  <si>
    <t>Db</t>
  </si>
  <si>
    <t>Battle Belongs by Phil Wickham</t>
  </si>
  <si>
    <t>Psalm 145 (Lite) by Shane &amp; Shane</t>
  </si>
  <si>
    <t>Psalm 13 (Lite) by Shane &amp; Shane</t>
  </si>
  <si>
    <t>Raise A Hallelujah (Lite) by Jonathan David &amp; Melissa Helser</t>
  </si>
  <si>
    <t>Great Reward (Lite) by Shane &amp; Shane</t>
  </si>
  <si>
    <t>At Your Name (Lite) by Phil Wickham</t>
  </si>
  <si>
    <t>The One You'll Find (Lite) by Shane &amp; Shane</t>
  </si>
  <si>
    <t>Bigger Than I Thought (Lite) by Passion</t>
  </si>
  <si>
    <t>Peace (Lite) by Hillsong Young &amp; Free</t>
  </si>
  <si>
    <t>Sinking Deep (Lite) by Hillsong Young &amp; Free</t>
  </si>
  <si>
    <t>Run by Liberty Worship Collective</t>
  </si>
  <si>
    <t>WI Lite</t>
  </si>
  <si>
    <t>Lite</t>
  </si>
  <si>
    <t>WI Singles</t>
  </si>
  <si>
    <t>Singles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</si>
</sst>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DD391-7623-44EB-977D-25C04CD756FF}">
  <dimension ref="A1:K64"/>
  <sheetViews>
    <sheetView tabSelected="1" workbookViewId="0">
      <pane ySplit="1" topLeftCell="A2" activePane="bottomLeft" state="frozen"/>
      <selection activeCell="C1" sqref="C1"/>
      <selection pane="bottomLeft" activeCell="G66" sqref="G66"/>
    </sheetView>
  </sheetViews>
  <sheetFormatPr defaultRowHeight="15" x14ac:dyDescent="0.25"/>
  <cols>
    <col min="4" max="4" width="16.7109375" bestFit="1" customWidth="1"/>
    <col min="5" max="5" width="53" bestFit="1" customWidth="1"/>
    <col min="6" max="6" width="36.28515625" bestFit="1" customWidth="1"/>
    <col min="7" max="7" width="34.28515625" bestFit="1" customWidth="1"/>
    <col min="8" max="8" width="19.85546875" bestFit="1" customWidth="1"/>
    <col min="9" max="9" width="21.7109375" bestFit="1" customWidth="1"/>
  </cols>
  <sheetData>
    <row r="1" spans="1:11" x14ac:dyDescent="0.25">
      <c r="B1" s="1" t="s">
        <v>81</v>
      </c>
      <c r="C1" s="1" t="s">
        <v>82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</row>
    <row r="2" spans="1:11" x14ac:dyDescent="0.25">
      <c r="A2">
        <v>1</v>
      </c>
      <c r="B2" t="s">
        <v>71</v>
      </c>
      <c r="C2">
        <v>1</v>
      </c>
      <c r="D2" t="s">
        <v>72</v>
      </c>
      <c r="E2" t="s">
        <v>11</v>
      </c>
      <c r="F2" t="str">
        <f>IF(ISNUMBER(SEARCH(" by", E2)), LEFT(E2, FIND(" by ",E2) - 1),E2)</f>
        <v>Tis So Sweet</v>
      </c>
      <c r="G2" t="str">
        <f>LEFT(F2,IF(ISNUMBER(SEARCH(" (",F2)),FIND(" (",F2)-1,LEN(F2)))</f>
        <v>Tis So Sweet</v>
      </c>
      <c r="H2" t="str">
        <f>IF(ISNUMBER(SEARCH("(",F2)), LEFT(RIGHT(F2, LEN(F2) - FIND("(",F2)), LEN(RIGHT(F2, LEN(F2) - FIND("(",F2))) - 1), "")</f>
        <v/>
      </c>
      <c r="I2" t="str">
        <f>IF(ISNUMBER(SEARCH(" by",E2)),RIGHT(E2, LEN(E2) - FIND(" by ",E2) - 3),"")</f>
        <v>Shane &amp; Shane</v>
      </c>
      <c r="J2">
        <v>102</v>
      </c>
      <c r="K2" t="s">
        <v>0</v>
      </c>
    </row>
    <row r="3" spans="1:11" x14ac:dyDescent="0.25">
      <c r="A3">
        <v>1</v>
      </c>
      <c r="B3" t="s">
        <v>71</v>
      </c>
      <c r="C3">
        <v>2</v>
      </c>
      <c r="D3" t="s">
        <v>72</v>
      </c>
      <c r="E3" t="s">
        <v>10</v>
      </c>
      <c r="F3" t="str">
        <f>IF(ISNUMBER(SEARCH(" by", E3)), LEFT(E3, FIND(" by ",E3) - 1),E3)</f>
        <v>How Great Thou Art</v>
      </c>
      <c r="G3" t="str">
        <f>LEFT(F3,IF(ISNUMBER(SEARCH(" (",F3)),FIND(" (",F3)-1,LEN(F3)))</f>
        <v>How Great Thou Art</v>
      </c>
      <c r="H3" t="str">
        <f>IF(ISNUMBER(SEARCH("(",F3)), LEFT(RIGHT(F3, LEN(F3) - FIND("(",F3)), LEN(RIGHT(F3, LEN(F3) - FIND("(",F3))) - 1), "")</f>
        <v/>
      </c>
      <c r="I3" t="str">
        <f>IF(ISNUMBER(SEARCH(" by",E3)),RIGHT(E3, LEN(E3) - FIND(" by ",E3) - 3),"")</f>
        <v>Shane &amp; Shane</v>
      </c>
      <c r="J3">
        <v>58</v>
      </c>
      <c r="K3" t="s">
        <v>0</v>
      </c>
    </row>
    <row r="4" spans="1:11" x14ac:dyDescent="0.25">
      <c r="A4">
        <v>1</v>
      </c>
      <c r="B4" t="s">
        <v>71</v>
      </c>
      <c r="C4">
        <v>3</v>
      </c>
      <c r="D4" t="s">
        <v>72</v>
      </c>
      <c r="E4" t="s">
        <v>2</v>
      </c>
      <c r="F4" t="str">
        <f>IF(ISNUMBER(SEARCH(" by", E4)), LEFT(E4, FIND(" by ",E4) - 1),E4)</f>
        <v>Give Me Jesus</v>
      </c>
      <c r="G4" t="str">
        <f>LEFT(F4,IF(ISNUMBER(SEARCH(" (",F4)),FIND(" (",F4)-1,LEN(F4)))</f>
        <v>Give Me Jesus</v>
      </c>
      <c r="H4" t="str">
        <f>IF(ISNUMBER(SEARCH("(",F4)), LEFT(RIGHT(F4, LEN(F4) - FIND("(",F4)), LEN(RIGHT(F4, LEN(F4) - FIND("(",F4))) - 1), "")</f>
        <v/>
      </c>
      <c r="I4" t="str">
        <f>IF(ISNUMBER(SEARCH(" by",E4)),RIGHT(E4, LEN(E4) - FIND(" by ",E4) - 3),"")</f>
        <v>Shane &amp; Shane</v>
      </c>
      <c r="J4">
        <v>72</v>
      </c>
      <c r="K4" t="s">
        <v>0</v>
      </c>
    </row>
    <row r="5" spans="1:11" x14ac:dyDescent="0.25">
      <c r="A5">
        <v>1</v>
      </c>
      <c r="B5" t="s">
        <v>71</v>
      </c>
      <c r="C5">
        <v>4</v>
      </c>
      <c r="D5" t="s">
        <v>72</v>
      </c>
      <c r="E5" t="s">
        <v>1</v>
      </c>
      <c r="F5" t="str">
        <f>IF(ISNUMBER(SEARCH(" by", E5)), LEFT(E5, FIND(" by ",E5) - 1),E5)</f>
        <v>Come Thou Fount (Above All Else)</v>
      </c>
      <c r="G5" t="str">
        <f>LEFT(F5,IF(ISNUMBER(SEARCH(" (",F5)),FIND(" (",F5)-1,LEN(F5)))</f>
        <v>Come Thou Fount</v>
      </c>
      <c r="H5" t="str">
        <f>IF(ISNUMBER(SEARCH("(",F5)), LEFT(RIGHT(F5, LEN(F5) - FIND("(",F5)), LEN(RIGHT(F5, LEN(F5) - FIND("(",F5))) - 1), "")</f>
        <v>Above All Else</v>
      </c>
      <c r="I5" t="str">
        <f>IF(ISNUMBER(SEARCH(" by",E5)),RIGHT(E5, LEN(E5) - FIND(" by ",E5) - 3),"")</f>
        <v>Shane &amp; Shane</v>
      </c>
      <c r="J5">
        <v>65</v>
      </c>
      <c r="K5" t="s">
        <v>0</v>
      </c>
    </row>
    <row r="6" spans="1:11" x14ac:dyDescent="0.25">
      <c r="A6">
        <v>1</v>
      </c>
      <c r="B6" t="s">
        <v>71</v>
      </c>
      <c r="C6">
        <v>5</v>
      </c>
      <c r="D6" t="s">
        <v>72</v>
      </c>
      <c r="E6" t="s">
        <v>7</v>
      </c>
      <c r="F6" t="str">
        <f>IF(ISNUMBER(SEARCH(" by", E6)), LEFT(E6, FIND(" by ",E6) - 1),E6)</f>
        <v>The Lord is My Salvation</v>
      </c>
      <c r="G6" t="str">
        <f>LEFT(F6,IF(ISNUMBER(SEARCH(" (",F6)),FIND(" (",F6)-1,LEN(F6)))</f>
        <v>The Lord is My Salvation</v>
      </c>
      <c r="H6" t="str">
        <f>IF(ISNUMBER(SEARCH("(",F6)), LEFT(RIGHT(F6, LEN(F6) - FIND("(",F6)), LEN(RIGHT(F6, LEN(F6) - FIND("(",F6))) - 1), "")</f>
        <v/>
      </c>
      <c r="I6" t="str">
        <f>IF(ISNUMBER(SEARCH(" by",E6)),RIGHT(E6, LEN(E6) - FIND(" by ",E6) - 3),"")</f>
        <v>Keith &amp; Kristyn Getty</v>
      </c>
      <c r="J6">
        <v>66</v>
      </c>
      <c r="K6" t="s">
        <v>5</v>
      </c>
    </row>
    <row r="7" spans="1:11" x14ac:dyDescent="0.25">
      <c r="A7">
        <v>1</v>
      </c>
      <c r="B7" t="s">
        <v>71</v>
      </c>
      <c r="C7">
        <v>6</v>
      </c>
      <c r="D7" t="s">
        <v>72</v>
      </c>
      <c r="E7" t="s">
        <v>6</v>
      </c>
      <c r="F7" t="str">
        <f>IF(ISNUMBER(SEARCH(" by", E7)), LEFT(E7, FIND(" by ",E7) - 1),E7)</f>
        <v>Holy, Holy, Holy (We Bow Before Thee)</v>
      </c>
      <c r="G7" t="str">
        <f>LEFT(F7,IF(ISNUMBER(SEARCH(" (",F7)),FIND(" (",F7)-1,LEN(F7)))</f>
        <v>Holy, Holy, Holy</v>
      </c>
      <c r="H7" t="str">
        <f>IF(ISNUMBER(SEARCH("(",F7)), LEFT(RIGHT(F7, LEN(F7) - FIND("(",F7)), LEN(RIGHT(F7, LEN(F7) - FIND("(",F7))) - 1), "")</f>
        <v>We Bow Before Thee</v>
      </c>
      <c r="I7" t="str">
        <f>IF(ISNUMBER(SEARCH(" by",E7)),RIGHT(E7, LEN(E7) - FIND(" by ",E7) - 3),"")</f>
        <v>Shane &amp; Shane</v>
      </c>
      <c r="J7">
        <v>73</v>
      </c>
      <c r="K7" t="s">
        <v>5</v>
      </c>
    </row>
    <row r="8" spans="1:11" x14ac:dyDescent="0.25">
      <c r="A8">
        <v>1</v>
      </c>
      <c r="B8" t="s">
        <v>71</v>
      </c>
      <c r="C8">
        <v>7</v>
      </c>
      <c r="D8" t="s">
        <v>72</v>
      </c>
      <c r="E8" t="s">
        <v>12</v>
      </c>
      <c r="F8" t="str">
        <f>IF(ISNUMBER(SEARCH(" by", E8)), LEFT(E8, FIND(" by ",E8) - 1),E8)</f>
        <v>He Will Hold Me Fast</v>
      </c>
      <c r="G8" t="str">
        <f>LEFT(F8,IF(ISNUMBER(SEARCH(" (",F8)),FIND(" (",F8)-1,LEN(F8)))</f>
        <v>He Will Hold Me Fast</v>
      </c>
      <c r="H8" t="str">
        <f>IF(ISNUMBER(SEARCH("(",F8)), LEFT(RIGHT(F8, LEN(F8) - FIND("(",F8)), LEN(RIGHT(F8, LEN(F8) - FIND("(",F8))) - 1), "")</f>
        <v/>
      </c>
      <c r="I8" t="str">
        <f>IF(ISNUMBER(SEARCH(" by",E8)),RIGHT(E8, LEN(E8) - FIND(" by ",E8) - 3),"")</f>
        <v>Keith &amp; Kristyn Getty</v>
      </c>
      <c r="J8">
        <v>58</v>
      </c>
      <c r="K8" t="s">
        <v>5</v>
      </c>
    </row>
    <row r="9" spans="1:11" x14ac:dyDescent="0.25">
      <c r="A9">
        <v>1</v>
      </c>
      <c r="B9" t="s">
        <v>71</v>
      </c>
      <c r="C9">
        <v>8</v>
      </c>
      <c r="D9" t="s">
        <v>72</v>
      </c>
      <c r="E9" t="s">
        <v>13</v>
      </c>
      <c r="F9" t="str">
        <f>IF(ISNUMBER(SEARCH(" by", E9)), LEFT(E9, FIND(" by ",E9) - 1),E9)</f>
        <v>My Worth Is Not In What I Own</v>
      </c>
      <c r="G9" t="str">
        <f>LEFT(F9,IF(ISNUMBER(SEARCH(" (",F9)),FIND(" (",F9)-1,LEN(F9)))</f>
        <v>My Worth Is Not In What I Own</v>
      </c>
      <c r="H9" t="str">
        <f>IF(ISNUMBER(SEARCH("(",F9)), LEFT(RIGHT(F9, LEN(F9) - FIND("(",F9)), LEN(RIGHT(F9, LEN(F9) - FIND("(",F9))) - 1), "")</f>
        <v/>
      </c>
      <c r="I9" t="str">
        <f>IF(ISNUMBER(SEARCH(" by",E9)),RIGHT(E9, LEN(E9) - FIND(" by ",E9) - 3),"")</f>
        <v>Keith &amp; Kristyn Getty</v>
      </c>
      <c r="J9">
        <v>62</v>
      </c>
      <c r="K9" t="s">
        <v>3</v>
      </c>
    </row>
    <row r="10" spans="1:11" x14ac:dyDescent="0.25">
      <c r="A10">
        <v>1</v>
      </c>
      <c r="B10" t="s">
        <v>71</v>
      </c>
      <c r="C10">
        <v>9</v>
      </c>
      <c r="D10" t="s">
        <v>72</v>
      </c>
      <c r="E10" t="s">
        <v>4</v>
      </c>
      <c r="F10" t="str">
        <f>IF(ISNUMBER(SEARCH(" by", E10)), LEFT(E10, FIND(" by ",E10) - 1),E10)</f>
        <v>In Christ Alone [Hymns]</v>
      </c>
      <c r="G10" t="str">
        <f>LEFT(F10,IF(ISNUMBER(SEARCH(" (",F10)),FIND(" (",F10)-1,LEN(F10)))</f>
        <v>In Christ Alone [Hymns]</v>
      </c>
      <c r="H10" t="str">
        <f>IF(ISNUMBER(SEARCH("(",F10)), LEFT(RIGHT(F10, LEN(F10) - FIND("(",F10)), LEN(RIGHT(F10, LEN(F10) - FIND("(",F10))) - 1), "")</f>
        <v/>
      </c>
      <c r="I10" t="str">
        <f>IF(ISNUMBER(SEARCH(" by",E10)),RIGHT(E10, LEN(E10) - FIND(" by ",E10) - 3),"")</f>
        <v>Keith Getty</v>
      </c>
      <c r="J10">
        <v>61</v>
      </c>
      <c r="K10" t="s">
        <v>3</v>
      </c>
    </row>
    <row r="11" spans="1:11" x14ac:dyDescent="0.25">
      <c r="A11">
        <v>1</v>
      </c>
      <c r="B11" t="s">
        <v>71</v>
      </c>
      <c r="C11">
        <v>10</v>
      </c>
      <c r="D11" t="s">
        <v>72</v>
      </c>
      <c r="E11" t="s">
        <v>9</v>
      </c>
      <c r="F11" t="str">
        <f>IF(ISNUMBER(SEARCH(" by", E11)), LEFT(E11, FIND(" by ",E11) - 1),E11)</f>
        <v>There Is A Fountain (Full of Love)</v>
      </c>
      <c r="G11" t="str">
        <f>LEFT(F11,IF(ISNUMBER(SEARCH(" (",F11)),FIND(" (",F11)-1,LEN(F11)))</f>
        <v>There Is A Fountain</v>
      </c>
      <c r="H11" t="str">
        <f>IF(ISNUMBER(SEARCH("(",F11)), LEFT(RIGHT(F11, LEN(F11) - FIND("(",F11)), LEN(RIGHT(F11, LEN(F11) - FIND("(",F11))) - 1), "")</f>
        <v>Full of Love</v>
      </c>
      <c r="I11" t="str">
        <f>IF(ISNUMBER(SEARCH(" by",E11)),RIGHT(E11, LEN(E11) - FIND(" by ",E11) - 3),"")</f>
        <v>Shane &amp; Shane</v>
      </c>
      <c r="J11">
        <v>63</v>
      </c>
      <c r="K11" t="s">
        <v>8</v>
      </c>
    </row>
    <row r="12" spans="1:11" x14ac:dyDescent="0.25">
      <c r="A12">
        <v>2</v>
      </c>
      <c r="B12" t="s">
        <v>73</v>
      </c>
      <c r="C12">
        <v>1</v>
      </c>
      <c r="D12" t="s">
        <v>74</v>
      </c>
      <c r="E12" t="s">
        <v>18</v>
      </c>
      <c r="F12" t="str">
        <f>IF(ISNUMBER(SEARCH(" by", E12)), LEFT(E12, FIND(" by ",E12) - 1),E12)</f>
        <v>Be Thou My Vision (Lord You Are)</v>
      </c>
      <c r="G12" t="str">
        <f>LEFT(F12,IF(ISNUMBER(SEARCH(" (",F12)),FIND(" (",F12)-1,LEN(F12)))</f>
        <v>Be Thou My Vision</v>
      </c>
      <c r="H12" t="str">
        <f>IF(ISNUMBER(SEARCH("(",F12)), LEFT(RIGHT(F12, LEN(F12) - FIND("(",F12)), LEN(RIGHT(F12, LEN(F12) - FIND("(",F12))) - 1), "")</f>
        <v>Lord You Are</v>
      </c>
      <c r="I12" t="str">
        <f>IF(ISNUMBER(SEARCH(" by",E12)),RIGHT(E12, LEN(E12) - FIND(" by ",E12) - 3),"")</f>
        <v>Shane &amp; Shane</v>
      </c>
      <c r="J12">
        <v>71</v>
      </c>
      <c r="K12" t="s">
        <v>17</v>
      </c>
    </row>
    <row r="13" spans="1:11" x14ac:dyDescent="0.25">
      <c r="A13">
        <v>2</v>
      </c>
      <c r="B13" t="s">
        <v>73</v>
      </c>
      <c r="C13">
        <v>2</v>
      </c>
      <c r="D13" t="s">
        <v>74</v>
      </c>
      <c r="E13" t="s">
        <v>15</v>
      </c>
      <c r="F13" t="str">
        <f>IF(ISNUMBER(SEARCH(" by", E13)), LEFT(E13, FIND(" by ",E13) - 1),E13)</f>
        <v>Turn Your Eyes Upon Jesus (Amazing Grace)</v>
      </c>
      <c r="G13" t="str">
        <f>LEFT(F13,IF(ISNUMBER(SEARCH(" (",F13)),FIND(" (",F13)-1,LEN(F13)))</f>
        <v>Turn Your Eyes Upon Jesus</v>
      </c>
      <c r="H13" t="str">
        <f>IF(ISNUMBER(SEARCH("(",F13)), LEFT(RIGHT(F13, LEN(F13) - FIND("(",F13)), LEN(RIGHT(F13, LEN(F13) - FIND("(",F13))) - 1), "")</f>
        <v>Amazing Grace</v>
      </c>
      <c r="I13" t="str">
        <f>IF(ISNUMBER(SEARCH(" by",E13)),RIGHT(E13, LEN(E13) - FIND(" by ",E13) - 3),"")</f>
        <v/>
      </c>
      <c r="J13">
        <v>74</v>
      </c>
      <c r="K13" t="s">
        <v>14</v>
      </c>
    </row>
    <row r="14" spans="1:11" x14ac:dyDescent="0.25">
      <c r="A14">
        <v>2</v>
      </c>
      <c r="B14" t="s">
        <v>73</v>
      </c>
      <c r="C14">
        <v>3</v>
      </c>
      <c r="D14" t="s">
        <v>74</v>
      </c>
      <c r="E14" t="s">
        <v>27</v>
      </c>
      <c r="F14" t="str">
        <f>IF(ISNUMBER(SEARCH(" by", E14)), LEFT(E14, FIND(" by ",E14) - 1),E14)</f>
        <v>My Jesus I Love Thee</v>
      </c>
      <c r="G14" t="str">
        <f>LEFT(F14,IF(ISNUMBER(SEARCH(" (",F14)),FIND(" (",F14)-1,LEN(F14)))</f>
        <v>My Jesus I Love Thee</v>
      </c>
      <c r="H14" t="str">
        <f>IF(ISNUMBER(SEARCH("(",F14)), LEFT(RIGHT(F14, LEN(F14) - FIND("(",F14)), LEN(RIGHT(F14, LEN(F14) - FIND("(",F14))) - 1), "")</f>
        <v/>
      </c>
      <c r="I14" t="str">
        <f>IF(ISNUMBER(SEARCH(" by",E14)),RIGHT(E14, LEN(E14) - FIND(" by ",E14) - 3),"")</f>
        <v/>
      </c>
      <c r="J14">
        <v>68</v>
      </c>
      <c r="K14" t="s">
        <v>14</v>
      </c>
    </row>
    <row r="15" spans="1:11" x14ac:dyDescent="0.25">
      <c r="A15">
        <v>2</v>
      </c>
      <c r="B15" t="s">
        <v>73</v>
      </c>
      <c r="C15">
        <v>4</v>
      </c>
      <c r="D15" t="s">
        <v>74</v>
      </c>
      <c r="E15" t="s">
        <v>26</v>
      </c>
      <c r="F15" t="str">
        <f>IF(ISNUMBER(SEARCH(" by", E15)), LEFT(E15, FIND(" by ",E15) - 1),E15)</f>
        <v>Praise to the Lord (Joyful, Joyful)</v>
      </c>
      <c r="G15" t="str">
        <f>LEFT(F15,IF(ISNUMBER(SEARCH(" (",F15)),FIND(" (",F15)-1,LEN(F15)))</f>
        <v>Praise to the Lord</v>
      </c>
      <c r="H15" t="str">
        <f>IF(ISNUMBER(SEARCH("(",F15)), LEFT(RIGHT(F15, LEN(F15) - FIND("(",F15)), LEN(RIGHT(F15, LEN(F15) - FIND("(",F15))) - 1), "")</f>
        <v>Joyful, Joyful</v>
      </c>
      <c r="I15" t="str">
        <f>IF(ISNUMBER(SEARCH(" by",E15)),RIGHT(E15, LEN(E15) - FIND(" by ",E15) - 3),"")</f>
        <v/>
      </c>
      <c r="J15">
        <v>68</v>
      </c>
      <c r="K15" t="s">
        <v>14</v>
      </c>
    </row>
    <row r="16" spans="1:11" x14ac:dyDescent="0.25">
      <c r="A16">
        <v>2</v>
      </c>
      <c r="B16" t="s">
        <v>73</v>
      </c>
      <c r="C16">
        <v>5</v>
      </c>
      <c r="D16" t="s">
        <v>74</v>
      </c>
      <c r="E16" t="s">
        <v>16</v>
      </c>
      <c r="F16" t="str">
        <f>IF(ISNUMBER(SEARCH(" by", E16)), LEFT(E16, FIND(" by ",E16) - 1),E16)</f>
        <v>Oh Lord Almighty</v>
      </c>
      <c r="G16" t="str">
        <f>LEFT(F16,IF(ISNUMBER(SEARCH(" (",F16)),FIND(" (",F16)-1,LEN(F16)))</f>
        <v>Oh Lord Almighty</v>
      </c>
      <c r="H16" t="str">
        <f>IF(ISNUMBER(SEARCH("(",F16)), LEFT(RIGHT(F16, LEN(F16) - FIND("(",F16)), LEN(RIGHT(F16, LEN(F16) - FIND("(",F16))) - 1), "")</f>
        <v/>
      </c>
      <c r="I16" t="str">
        <f>IF(ISNUMBER(SEARCH(" by",E16)),RIGHT(E16, LEN(E16) - FIND(" by ",E16) - 3),"")</f>
        <v>Shane &amp; Shane</v>
      </c>
      <c r="J16">
        <v>71</v>
      </c>
      <c r="K16" t="s">
        <v>5</v>
      </c>
    </row>
    <row r="17" spans="1:11" x14ac:dyDescent="0.25">
      <c r="A17">
        <v>2</v>
      </c>
      <c r="B17" t="s">
        <v>73</v>
      </c>
      <c r="C17">
        <v>6</v>
      </c>
      <c r="D17" t="s">
        <v>74</v>
      </c>
      <c r="E17" t="s">
        <v>24</v>
      </c>
      <c r="F17" t="str">
        <f>IF(ISNUMBER(SEARCH(" by", E17)), LEFT(E17, FIND(" by ",E17) - 1),E17)</f>
        <v>Power of the Cross</v>
      </c>
      <c r="G17" t="str">
        <f>LEFT(F17,IF(ISNUMBER(SEARCH(" (",F17)),FIND(" (",F17)-1,LEN(F17)))</f>
        <v>Power of the Cross</v>
      </c>
      <c r="H17" t="str">
        <f>IF(ISNUMBER(SEARCH("(",F17)), LEFT(RIGHT(F17, LEN(F17) - FIND("(",F17)), LEN(RIGHT(F17, LEN(F17) - FIND("(",F17))) - 1), "")</f>
        <v/>
      </c>
      <c r="I17" t="str">
        <f>IF(ISNUMBER(SEARCH(" by",E17)),RIGHT(E17, LEN(E17) - FIND(" by ",E17) - 3),"")</f>
        <v>Keith and Kristyn Getty</v>
      </c>
      <c r="J17">
        <v>57</v>
      </c>
      <c r="K17" t="s">
        <v>23</v>
      </c>
    </row>
    <row r="18" spans="1:11" x14ac:dyDescent="0.25">
      <c r="A18">
        <v>2</v>
      </c>
      <c r="B18" t="s">
        <v>73</v>
      </c>
      <c r="C18">
        <v>7</v>
      </c>
      <c r="D18" t="s">
        <v>74</v>
      </c>
      <c r="E18" t="s">
        <v>19</v>
      </c>
      <c r="F18" t="str">
        <f>IF(ISNUMBER(SEARCH(" by", E18)), LEFT(E18, FIND(" by ",E18) - 1),E18)</f>
        <v>Come Behold the Wondrous Mystery</v>
      </c>
      <c r="G18" t="str">
        <f>LEFT(F18,IF(ISNUMBER(SEARCH(" (",F18)),FIND(" (",F18)-1,LEN(F18)))</f>
        <v>Come Behold the Wondrous Mystery</v>
      </c>
      <c r="H18" t="str">
        <f>IF(ISNUMBER(SEARCH("(",F18)), LEFT(RIGHT(F18, LEN(F18) - FIND("(",F18)), LEN(RIGHT(F18, LEN(F18) - FIND("(",F18))) - 1), "")</f>
        <v/>
      </c>
      <c r="I18" t="str">
        <f>IF(ISNUMBER(SEARCH(" by",E18)),RIGHT(E18, LEN(E18) - FIND(" by ",E18) - 3),"")</f>
        <v>Matt Boswell</v>
      </c>
      <c r="J18">
        <v>68</v>
      </c>
      <c r="K18" t="s">
        <v>8</v>
      </c>
    </row>
    <row r="19" spans="1:11" x14ac:dyDescent="0.25">
      <c r="A19">
        <v>2</v>
      </c>
      <c r="B19" t="s">
        <v>73</v>
      </c>
      <c r="C19">
        <v>8</v>
      </c>
      <c r="D19" t="s">
        <v>74</v>
      </c>
      <c r="E19" t="s">
        <v>21</v>
      </c>
      <c r="F19" t="str">
        <f>IF(ISNUMBER(SEARCH(" by", E19)), LEFT(E19, FIND(" by ",E19) - 1),E19)</f>
        <v>Living Waters (As the Deer)</v>
      </c>
      <c r="G19" t="str">
        <f>LEFT(F19,IF(ISNUMBER(SEARCH(" (",F19)),FIND(" (",F19)-1,LEN(F19)))</f>
        <v>Living Waters</v>
      </c>
      <c r="H19" t="str">
        <f>IF(ISNUMBER(SEARCH("(",F19)), LEFT(RIGHT(F19, LEN(F19) - FIND("(",F19)), LEN(RIGHT(F19, LEN(F19) - FIND("(",F19))) - 1), "")</f>
        <v>As the Deer</v>
      </c>
      <c r="I19" t="str">
        <f>IF(ISNUMBER(SEARCH(" by",E19)),RIGHT(E19, LEN(E19) - FIND(" by ",E19) - 3),"")</f>
        <v>Keith and Kristyn Getty</v>
      </c>
      <c r="J19">
        <v>84</v>
      </c>
      <c r="K19" t="s">
        <v>20</v>
      </c>
    </row>
    <row r="20" spans="1:11" x14ac:dyDescent="0.25">
      <c r="A20">
        <v>2</v>
      </c>
      <c r="B20" t="s">
        <v>73</v>
      </c>
      <c r="C20">
        <v>9</v>
      </c>
      <c r="D20" t="s">
        <v>74</v>
      </c>
      <c r="E20" t="s">
        <v>22</v>
      </c>
      <c r="F20" t="str">
        <f>IF(ISNUMBER(SEARCH(" by", E20)), LEFT(E20, FIND(" by ",E20) - 1),E20)</f>
        <v>All Hail The Power of Jesus Name</v>
      </c>
      <c r="G20" t="str">
        <f>LEFT(F20,IF(ISNUMBER(SEARCH(" (",F20)),FIND(" (",F20)-1,LEN(F20)))</f>
        <v>All Hail The Power of Jesus Name</v>
      </c>
      <c r="H20" t="str">
        <f>IF(ISNUMBER(SEARCH("(",F20)), LEFT(RIGHT(F20, LEN(F20) - FIND("(",F20)), LEN(RIGHT(F20, LEN(F20) - FIND("(",F20))) - 1), "")</f>
        <v/>
      </c>
      <c r="I20" t="str">
        <f>IF(ISNUMBER(SEARCH(" by",E20)),RIGHT(E20, LEN(E20) - FIND(" by ",E20) - 3),"")</f>
        <v/>
      </c>
      <c r="J20">
        <v>77</v>
      </c>
      <c r="K20" t="s">
        <v>20</v>
      </c>
    </row>
    <row r="21" spans="1:11" x14ac:dyDescent="0.25">
      <c r="A21">
        <v>2</v>
      </c>
      <c r="B21" t="s">
        <v>73</v>
      </c>
      <c r="C21">
        <v>10</v>
      </c>
      <c r="D21" t="s">
        <v>74</v>
      </c>
      <c r="E21" t="s">
        <v>25</v>
      </c>
      <c r="F21" t="str">
        <f>IF(ISNUMBER(SEARCH(" by", E21)), LEFT(E21, FIND(" by ",E21) - 1),E21)</f>
        <v>Crown Him With Many Crowns</v>
      </c>
      <c r="G21" t="str">
        <f>LEFT(F21,IF(ISNUMBER(SEARCH(" (",F21)),FIND(" (",F21)-1,LEN(F21)))</f>
        <v>Crown Him With Many Crowns</v>
      </c>
      <c r="H21" t="str">
        <f>IF(ISNUMBER(SEARCH("(",F21)), LEFT(RIGHT(F21, LEN(F21) - FIND("(",F21)), LEN(RIGHT(F21, LEN(F21) - FIND("(",F21))) - 1), "")</f>
        <v/>
      </c>
      <c r="I21" t="str">
        <f>IF(ISNUMBER(SEARCH(" by",E21)),RIGHT(E21, LEN(E21) - FIND(" by ",E21) - 3),"")</f>
        <v/>
      </c>
      <c r="J21">
        <v>77</v>
      </c>
      <c r="K21" t="s">
        <v>20</v>
      </c>
    </row>
    <row r="22" spans="1:11" x14ac:dyDescent="0.25">
      <c r="A22" s="2">
        <v>3</v>
      </c>
      <c r="B22" s="2" t="s">
        <v>77</v>
      </c>
      <c r="C22" s="2">
        <v>1</v>
      </c>
      <c r="D22" s="2" t="s">
        <v>75</v>
      </c>
      <c r="E22" s="2" t="s">
        <v>30</v>
      </c>
      <c r="F22" t="str">
        <f>IF(ISNUMBER(SEARCH(" by", E22)), LEFT(E22, FIND(" by ",E22) - 1),E22)</f>
        <v>Angels We Have Heard On High</v>
      </c>
      <c r="G22" t="str">
        <f>LEFT(F22,IF(ISNUMBER(SEARCH(" (",F22)),FIND(" (",F22)-1,LEN(F22)))</f>
        <v>Angels We Have Heard On High</v>
      </c>
      <c r="H22" t="str">
        <f>IF(ISNUMBER(SEARCH("(",F22)), LEFT(RIGHT(F22, LEN(F22) - FIND("(",F22)), LEN(RIGHT(F22, LEN(F22) - FIND("(",F22))) - 1), "")</f>
        <v/>
      </c>
      <c r="I22" t="str">
        <f>IF(ISNUMBER(SEARCH(" by",E22)),RIGHT(E22, LEN(E22) - FIND(" by ",E22) - 3),"")</f>
        <v/>
      </c>
      <c r="J22">
        <v>100</v>
      </c>
      <c r="K22" t="s">
        <v>29</v>
      </c>
    </row>
    <row r="23" spans="1:11" x14ac:dyDescent="0.25">
      <c r="A23" s="2">
        <v>3</v>
      </c>
      <c r="B23" s="2" t="s">
        <v>77</v>
      </c>
      <c r="C23" s="2">
        <v>2</v>
      </c>
      <c r="D23" s="2" t="s">
        <v>75</v>
      </c>
      <c r="E23" s="2" t="s">
        <v>34</v>
      </c>
      <c r="F23" t="str">
        <f>IF(ISNUMBER(SEARCH(" by", E23)), LEFT(E23, FIND(" by ",E23) - 1),E23)</f>
        <v>O Come All Ye Faithful</v>
      </c>
      <c r="G23" t="str">
        <f>LEFT(F23,IF(ISNUMBER(SEARCH(" (",F23)),FIND(" (",F23)-1,LEN(F23)))</f>
        <v>O Come All Ye Faithful</v>
      </c>
      <c r="H23" t="str">
        <f>IF(ISNUMBER(SEARCH("(",F23)), LEFT(RIGHT(F23, LEN(F23) - FIND("(",F23)), LEN(RIGHT(F23, LEN(F23) - FIND("(",F23))) - 1), "")</f>
        <v/>
      </c>
      <c r="I23" t="str">
        <f>IF(ISNUMBER(SEARCH(" by",E23)),RIGHT(E23, LEN(E23) - FIND(" by ",E23) - 3),"")</f>
        <v/>
      </c>
      <c r="J23">
        <v>82</v>
      </c>
      <c r="K23" t="s">
        <v>29</v>
      </c>
    </row>
    <row r="24" spans="1:11" x14ac:dyDescent="0.25">
      <c r="A24" s="2">
        <v>3</v>
      </c>
      <c r="B24" s="2" t="s">
        <v>77</v>
      </c>
      <c r="C24" s="2">
        <v>3</v>
      </c>
      <c r="D24" s="2" t="s">
        <v>75</v>
      </c>
      <c r="E24" s="2" t="s">
        <v>35</v>
      </c>
      <c r="F24" t="str">
        <f>IF(ISNUMBER(SEARCH(" by", E24)), LEFT(E24, FIND(" by ",E24) - 1),E24)</f>
        <v>Go Tell It On The Mountain</v>
      </c>
      <c r="G24" t="str">
        <f>LEFT(F24,IF(ISNUMBER(SEARCH(" (",F24)),FIND(" (",F24)-1,LEN(F24)))</f>
        <v>Go Tell It On The Mountain</v>
      </c>
      <c r="H24" t="str">
        <f>IF(ISNUMBER(SEARCH("(",F24)), LEFT(RIGHT(F24, LEN(F24) - FIND("(",F24)), LEN(RIGHT(F24, LEN(F24) - FIND("(",F24))) - 1), "")</f>
        <v/>
      </c>
      <c r="I24" t="str">
        <f>IF(ISNUMBER(SEARCH(" by",E24)),RIGHT(E24, LEN(E24) - FIND(" by ",E24) - 3),"")</f>
        <v/>
      </c>
      <c r="J24">
        <v>60</v>
      </c>
      <c r="K24" t="s">
        <v>8</v>
      </c>
    </row>
    <row r="25" spans="1:11" x14ac:dyDescent="0.25">
      <c r="A25" s="2">
        <v>3</v>
      </c>
      <c r="B25" s="2" t="s">
        <v>77</v>
      </c>
      <c r="C25" s="2">
        <v>4</v>
      </c>
      <c r="D25" s="2" t="s">
        <v>75</v>
      </c>
      <c r="E25" s="2" t="s">
        <v>33</v>
      </c>
      <c r="F25" t="str">
        <f>IF(ISNUMBER(SEARCH(" by", E25)), LEFT(E25, FIND(" by ",E25) - 1),E25)</f>
        <v>O Holy Night (Vol. 1)</v>
      </c>
      <c r="G25" t="str">
        <f>LEFT(F25,IF(ISNUMBER(SEARCH(" (",F25)),FIND(" (",F25)-1,LEN(F25)))</f>
        <v>O Holy Night</v>
      </c>
      <c r="H25" t="str">
        <f>IF(ISNUMBER(SEARCH("(",F25)), LEFT(RIGHT(F25, LEN(F25) - FIND("(",F25)), LEN(RIGHT(F25, LEN(F25) - FIND("(",F25))) - 1), "")</f>
        <v>Vol. 1</v>
      </c>
      <c r="I25" t="str">
        <f>IF(ISNUMBER(SEARCH(" by",E25)),RIGHT(E25, LEN(E25) - FIND(" by ",E25) - 3),"")</f>
        <v>Shane &amp; Shane</v>
      </c>
      <c r="J25">
        <v>102</v>
      </c>
      <c r="K25" t="s">
        <v>5</v>
      </c>
    </row>
    <row r="26" spans="1:11" x14ac:dyDescent="0.25">
      <c r="A26" s="2">
        <v>3</v>
      </c>
      <c r="B26" s="2" t="s">
        <v>77</v>
      </c>
      <c r="C26" s="2">
        <v>5</v>
      </c>
      <c r="D26" s="2" t="s">
        <v>75</v>
      </c>
      <c r="E26" s="2" t="s">
        <v>31</v>
      </c>
      <c r="F26" t="str">
        <f>IF(ISNUMBER(SEARCH(" by", E26)), LEFT(E26, FIND(" by ",E26) - 1),E26)</f>
        <v>Joy To The World</v>
      </c>
      <c r="G26" t="str">
        <f>LEFT(F26,IF(ISNUMBER(SEARCH(" (",F26)),FIND(" (",F26)-1,LEN(F26)))</f>
        <v>Joy To The World</v>
      </c>
      <c r="H26" t="str">
        <f>IF(ISNUMBER(SEARCH("(",F26)), LEFT(RIGHT(F26, LEN(F26) - FIND("(",F26)), LEN(RIGHT(F26, LEN(F26) - FIND("(",F26))) - 1), "")</f>
        <v/>
      </c>
      <c r="I26" t="str">
        <f>IF(ISNUMBER(SEARCH(" by",E26)),RIGHT(E26, LEN(E26) - FIND(" by ",E26) - 3),"")</f>
        <v/>
      </c>
      <c r="J26">
        <v>110</v>
      </c>
      <c r="K26" t="s">
        <v>5</v>
      </c>
    </row>
    <row r="27" spans="1:11" x14ac:dyDescent="0.25">
      <c r="A27" s="2">
        <v>3</v>
      </c>
      <c r="B27" s="2" t="s">
        <v>77</v>
      </c>
      <c r="C27" s="2">
        <v>6</v>
      </c>
      <c r="D27" s="2" t="s">
        <v>75</v>
      </c>
      <c r="E27" s="2" t="s">
        <v>36</v>
      </c>
      <c r="F27" t="str">
        <f>IF(ISNUMBER(SEARCH(" by", E27)), LEFT(E27, FIND(" by ",E27) - 1),E27)</f>
        <v>Silent Night</v>
      </c>
      <c r="G27" t="str">
        <f>LEFT(F27,IF(ISNUMBER(SEARCH(" (",F27)),FIND(" (",F27)-1,LEN(F27)))</f>
        <v>Silent Night</v>
      </c>
      <c r="H27" t="str">
        <f>IF(ISNUMBER(SEARCH("(",F27)), LEFT(RIGHT(F27, LEN(F27) - FIND("(",F27)), LEN(RIGHT(F27, LEN(F27) - FIND("(",F27))) - 1), "")</f>
        <v/>
      </c>
      <c r="I27" t="str">
        <f>IF(ISNUMBER(SEARCH(" by",E27)),RIGHT(E27, LEN(E27) - FIND(" by ",E27) - 3),"")</f>
        <v/>
      </c>
      <c r="J27">
        <v>86</v>
      </c>
      <c r="K27" t="s">
        <v>5</v>
      </c>
    </row>
    <row r="28" spans="1:11" x14ac:dyDescent="0.25">
      <c r="A28" s="2">
        <v>3</v>
      </c>
      <c r="B28" s="2" t="s">
        <v>77</v>
      </c>
      <c r="C28" s="2">
        <v>7</v>
      </c>
      <c r="D28" s="2" t="s">
        <v>75</v>
      </c>
      <c r="E28" s="2" t="s">
        <v>32</v>
      </c>
      <c r="F28" t="str">
        <f>IF(ISNUMBER(SEARCH(" by", E28)), LEFT(E28, FIND(" by ",E28) - 1),E28)</f>
        <v>The First Noel (Vol. 1)</v>
      </c>
      <c r="G28" t="str">
        <f>LEFT(F28,IF(ISNUMBER(SEARCH(" (",F28)),FIND(" (",F28)-1,LEN(F28)))</f>
        <v>The First Noel</v>
      </c>
      <c r="H28" t="str">
        <f>IF(ISNUMBER(SEARCH("(",F28)), LEFT(RIGHT(F28, LEN(F28) - FIND("(",F28)), LEN(RIGHT(F28, LEN(F28) - FIND("(",F28))) - 1), "")</f>
        <v>Vol. 1</v>
      </c>
      <c r="I28" t="str">
        <f>IF(ISNUMBER(SEARCH(" by",E28)),RIGHT(E28, LEN(E28) - FIND(" by ",E28) - 3),"")</f>
        <v>Shane &amp; Shane</v>
      </c>
      <c r="J28">
        <v>79</v>
      </c>
      <c r="K28" t="s">
        <v>5</v>
      </c>
    </row>
    <row r="29" spans="1:11" x14ac:dyDescent="0.25">
      <c r="A29" s="2">
        <v>3</v>
      </c>
      <c r="B29" s="2" t="s">
        <v>77</v>
      </c>
      <c r="C29" s="2">
        <v>8</v>
      </c>
      <c r="D29" s="2" t="s">
        <v>75</v>
      </c>
      <c r="E29" s="2" t="s">
        <v>37</v>
      </c>
      <c r="F29" t="str">
        <f>IF(ISNUMBER(SEARCH(" by", E29)), LEFT(E29, FIND(" by ",E29) - 1),E29)</f>
        <v>O Come O Come Emmanuel (Vol. 1)</v>
      </c>
      <c r="G29" t="str">
        <f>LEFT(F29,IF(ISNUMBER(SEARCH(" (",F29)),FIND(" (",F29)-1,LEN(F29)))</f>
        <v>O Come O Come Emmanuel</v>
      </c>
      <c r="H29" t="str">
        <f>IF(ISNUMBER(SEARCH("(",F29)), LEFT(RIGHT(F29, LEN(F29) - FIND("(",F29)), LEN(RIGHT(F29, LEN(F29) - FIND("(",F29))) - 1), "")</f>
        <v>Vol. 1</v>
      </c>
      <c r="I29" t="str">
        <f>IF(ISNUMBER(SEARCH(" by",E29)),RIGHT(E29, LEN(E29) - FIND(" by ",E29) - 3),"")</f>
        <v>Shane &amp; Shane</v>
      </c>
      <c r="J29">
        <v>63</v>
      </c>
      <c r="K29" t="s">
        <v>29</v>
      </c>
    </row>
    <row r="30" spans="1:11" x14ac:dyDescent="0.25">
      <c r="A30" s="2">
        <v>3</v>
      </c>
      <c r="B30" s="2" t="s">
        <v>77</v>
      </c>
      <c r="C30" s="2">
        <v>9</v>
      </c>
      <c r="D30" s="2" t="s">
        <v>75</v>
      </c>
      <c r="E30" s="2" t="s">
        <v>38</v>
      </c>
      <c r="F30" t="str">
        <f>IF(ISNUMBER(SEARCH(" by", E30)), LEFT(E30, FIND(" by ",E30) - 1),E30)</f>
        <v>Little Drummer Boy (Vol. 1)</v>
      </c>
      <c r="G30" t="str">
        <f>LEFT(F30,IF(ISNUMBER(SEARCH(" (",F30)),FIND(" (",F30)-1,LEN(F30)))</f>
        <v>Little Drummer Boy</v>
      </c>
      <c r="H30" t="str">
        <f>IF(ISNUMBER(SEARCH("(",F30)), LEFT(RIGHT(F30, LEN(F30) - FIND("(",F30)), LEN(RIGHT(F30, LEN(F30) - FIND("(",F30))) - 1), "")</f>
        <v>Vol. 1</v>
      </c>
      <c r="I30" t="str">
        <f>IF(ISNUMBER(SEARCH(" by",E30)),RIGHT(E30, LEN(E30) - FIND(" by ",E30) - 3),"")</f>
        <v>Shane &amp; Shane</v>
      </c>
      <c r="J30">
        <v>106</v>
      </c>
      <c r="K30" t="s">
        <v>3</v>
      </c>
    </row>
    <row r="31" spans="1:11" x14ac:dyDescent="0.25">
      <c r="A31" s="2">
        <v>3</v>
      </c>
      <c r="B31" s="2" t="s">
        <v>77</v>
      </c>
      <c r="C31" s="2">
        <v>10</v>
      </c>
      <c r="D31" s="2" t="s">
        <v>75</v>
      </c>
      <c r="E31" s="2" t="s">
        <v>28</v>
      </c>
      <c r="F31" t="str">
        <f>IF(ISNUMBER(SEARCH(" by", E31)), LEFT(E31, FIND(" by ",E31) - 1),E31)</f>
        <v>Love Comes Down</v>
      </c>
      <c r="G31" t="str">
        <f>LEFT(F31,IF(ISNUMBER(SEARCH(" (",F31)),FIND(" (",F31)-1,LEN(F31)))</f>
        <v>Love Comes Down</v>
      </c>
      <c r="H31" t="str">
        <f>IF(ISNUMBER(SEARCH("(",F31)), LEFT(RIGHT(F31, LEN(F31) - FIND("(",F31)), LEN(RIGHT(F31, LEN(F31) - FIND("(",F31))) - 1), "")</f>
        <v/>
      </c>
      <c r="I31" t="str">
        <f>IF(ISNUMBER(SEARCH(" by",E31)),RIGHT(E31, LEN(E31) - FIND(" by ",E31) - 3),"")</f>
        <v>Michael Farren</v>
      </c>
      <c r="J31">
        <v>73</v>
      </c>
      <c r="K31" t="s">
        <v>3</v>
      </c>
    </row>
    <row r="32" spans="1:11" x14ac:dyDescent="0.25">
      <c r="A32" s="2">
        <v>4</v>
      </c>
      <c r="B32" s="2" t="s">
        <v>78</v>
      </c>
      <c r="C32" s="2">
        <v>1</v>
      </c>
      <c r="D32" s="2" t="s">
        <v>76</v>
      </c>
      <c r="E32" s="2" t="s">
        <v>41</v>
      </c>
      <c r="F32" t="str">
        <f>IF(ISNUMBER(SEARCH(" by", E32)), LEFT(E32, FIND(" by ",E32) - 1),E32)</f>
        <v>Come Thou Long Expected Jesus</v>
      </c>
      <c r="G32" t="str">
        <f>LEFT(F32,IF(ISNUMBER(SEARCH(" (",F32)),FIND(" (",F32)-1,LEN(F32)))</f>
        <v>Come Thou Long Expected Jesus</v>
      </c>
      <c r="H32" t="str">
        <f>IF(ISNUMBER(SEARCH("(",F32)), LEFT(RIGHT(F32, LEN(F32) - FIND("(",F32)), LEN(RIGHT(F32, LEN(F32) - FIND("(",F32))) - 1), "")</f>
        <v/>
      </c>
      <c r="I32" t="str">
        <f>IF(ISNUMBER(SEARCH(" by",E32)),RIGHT(E32, LEN(E32) - FIND(" by ",E32) - 3),"")</f>
        <v/>
      </c>
      <c r="J32">
        <v>68</v>
      </c>
      <c r="K32" t="s">
        <v>5</v>
      </c>
    </row>
    <row r="33" spans="1:11" x14ac:dyDescent="0.25">
      <c r="A33" s="2">
        <v>4</v>
      </c>
      <c r="B33" s="2" t="s">
        <v>78</v>
      </c>
      <c r="C33" s="2">
        <v>2</v>
      </c>
      <c r="D33" s="2" t="s">
        <v>76</v>
      </c>
      <c r="E33" s="2" t="s">
        <v>49</v>
      </c>
      <c r="F33" t="str">
        <f>IF(ISNUMBER(SEARCH(" by", E33)), LEFT(E33, FIND(" by ",E33) - 1),E33)</f>
        <v>Joy to the World (Joyful, Joyful)</v>
      </c>
      <c r="G33" t="str">
        <f>LEFT(F33,IF(ISNUMBER(SEARCH(" (",F33)),FIND(" (",F33)-1,LEN(F33)))</f>
        <v>Joy to the World</v>
      </c>
      <c r="H33" t="str">
        <f>IF(ISNUMBER(SEARCH("(",F33)), LEFT(RIGHT(F33, LEN(F33) - FIND("(",F33)), LEN(RIGHT(F33, LEN(F33) - FIND("(",F33))) - 1), "")</f>
        <v>Joyful, Joyful</v>
      </c>
      <c r="I33" t="str">
        <f>IF(ISNUMBER(SEARCH(" by",E33)),RIGHT(E33, LEN(E33) - FIND(" by ",E33) - 3),"")</f>
        <v>Phil Wickham</v>
      </c>
      <c r="J33">
        <v>145</v>
      </c>
      <c r="K33" t="s">
        <v>5</v>
      </c>
    </row>
    <row r="34" spans="1:11" x14ac:dyDescent="0.25">
      <c r="A34" s="2">
        <v>4</v>
      </c>
      <c r="B34" s="2" t="s">
        <v>78</v>
      </c>
      <c r="C34" s="2">
        <v>3</v>
      </c>
      <c r="D34" s="2" t="s">
        <v>76</v>
      </c>
      <c r="E34" s="2" t="s">
        <v>46</v>
      </c>
      <c r="F34" t="str">
        <f>IF(ISNUMBER(SEARCH(" by", E34)), LEFT(E34, FIND(" by ",E34) - 1),E34)</f>
        <v>Hark the Herald Angels Sing</v>
      </c>
      <c r="G34" t="str">
        <f>LEFT(F34,IF(ISNUMBER(SEARCH(" (",F34)),FIND(" (",F34)-1,LEN(F34)))</f>
        <v>Hark the Herald Angels Sing</v>
      </c>
      <c r="H34" t="str">
        <f>IF(ISNUMBER(SEARCH("(",F34)), LEFT(RIGHT(F34, LEN(F34) - FIND("(",F34)), LEN(RIGHT(F34, LEN(F34) - FIND("(",F34))) - 1), "")</f>
        <v/>
      </c>
      <c r="I34" t="str">
        <f>IF(ISNUMBER(SEARCH(" by",E34)),RIGHT(E34, LEN(E34) - FIND(" by ",E34) - 3),"")</f>
        <v/>
      </c>
      <c r="J34">
        <v>78</v>
      </c>
      <c r="K34" t="s">
        <v>23</v>
      </c>
    </row>
    <row r="35" spans="1:11" x14ac:dyDescent="0.25">
      <c r="A35" s="2">
        <v>4</v>
      </c>
      <c r="B35" s="2" t="s">
        <v>78</v>
      </c>
      <c r="C35" s="2">
        <v>4</v>
      </c>
      <c r="D35" s="2" t="s">
        <v>76</v>
      </c>
      <c r="E35" s="2" t="s">
        <v>42</v>
      </c>
      <c r="F35" t="str">
        <f>IF(ISNUMBER(SEARCH(" by", E35)), LEFT(E35, FIND(" by ",E35) - 1),E35)</f>
        <v>O Little Town of Bethlehem</v>
      </c>
      <c r="G35" t="str">
        <f>LEFT(F35,IF(ISNUMBER(SEARCH(" (",F35)),FIND(" (",F35)-1,LEN(F35)))</f>
        <v>O Little Town of Bethlehem</v>
      </c>
      <c r="H35" t="str">
        <f>IF(ISNUMBER(SEARCH("(",F35)), LEFT(RIGHT(F35, LEN(F35) - FIND("(",F35)), LEN(RIGHT(F35, LEN(F35) - FIND("(",F35))) - 1), "")</f>
        <v/>
      </c>
      <c r="I35" t="str">
        <f>IF(ISNUMBER(SEARCH(" by",E35)),RIGHT(E35, LEN(E35) - FIND(" by ",E35) - 3),"")</f>
        <v/>
      </c>
      <c r="J35">
        <v>65</v>
      </c>
      <c r="K35" t="s">
        <v>23</v>
      </c>
    </row>
    <row r="36" spans="1:11" x14ac:dyDescent="0.25">
      <c r="A36" s="2">
        <v>4</v>
      </c>
      <c r="B36" s="2" t="s">
        <v>78</v>
      </c>
      <c r="C36" s="2">
        <v>5</v>
      </c>
      <c r="D36" s="2" t="s">
        <v>76</v>
      </c>
      <c r="E36" s="2" t="s">
        <v>40</v>
      </c>
      <c r="F36" t="str">
        <f>IF(ISNUMBER(SEARCH(" by", E36)), LEFT(E36, FIND(" by ",E36) - 1),E36)</f>
        <v>Breath of Heaven</v>
      </c>
      <c r="G36" t="str">
        <f>LEFT(F36,IF(ISNUMBER(SEARCH(" (",F36)),FIND(" (",F36)-1,LEN(F36)))</f>
        <v>Breath of Heaven</v>
      </c>
      <c r="H36" t="str">
        <f>IF(ISNUMBER(SEARCH("(",F36)), LEFT(RIGHT(F36, LEN(F36) - FIND("(",F36)), LEN(RIGHT(F36, LEN(F36) - FIND("(",F36))) - 1), "")</f>
        <v/>
      </c>
      <c r="I36" t="str">
        <f>IF(ISNUMBER(SEARCH(" by",E36)),RIGHT(E36, LEN(E36) - FIND(" by ",E36) - 3),"")</f>
        <v>Amy Grant</v>
      </c>
      <c r="J36">
        <v>57</v>
      </c>
      <c r="K36" t="s">
        <v>5</v>
      </c>
    </row>
    <row r="37" spans="1:11" x14ac:dyDescent="0.25">
      <c r="A37" s="2">
        <v>4</v>
      </c>
      <c r="B37" s="2" t="s">
        <v>78</v>
      </c>
      <c r="C37" s="2">
        <v>6</v>
      </c>
      <c r="D37" s="2" t="s">
        <v>76</v>
      </c>
      <c r="E37" s="2" t="s">
        <v>45</v>
      </c>
      <c r="F37" t="str">
        <f>IF(ISNUMBER(SEARCH(" by", E37)), LEFT(E37, FIND(" by ",E37) - 1),E37)</f>
        <v>Face of God</v>
      </c>
      <c r="G37" t="str">
        <f>LEFT(F37,IF(ISNUMBER(SEARCH(" (",F37)),FIND(" (",F37)-1,LEN(F37)))</f>
        <v>Face of God</v>
      </c>
      <c r="H37" t="str">
        <f>IF(ISNUMBER(SEARCH("(",F37)), LEFT(RIGHT(F37, LEN(F37) - FIND("(",F37)), LEN(RIGHT(F37, LEN(F37) - FIND("(",F37))) - 1), "")</f>
        <v/>
      </c>
      <c r="I37" t="str">
        <f>IF(ISNUMBER(SEARCH(" by",E37)),RIGHT(E37, LEN(E37) - FIND(" by ",E37) - 3),"")</f>
        <v/>
      </c>
      <c r="J37">
        <v>70</v>
      </c>
      <c r="K37" t="s">
        <v>44</v>
      </c>
    </row>
    <row r="38" spans="1:11" x14ac:dyDescent="0.25">
      <c r="A38" s="2">
        <v>4</v>
      </c>
      <c r="B38" s="2" t="s">
        <v>78</v>
      </c>
      <c r="C38" s="2">
        <v>7</v>
      </c>
      <c r="D38" s="2" t="s">
        <v>76</v>
      </c>
      <c r="E38" s="2" t="s">
        <v>48</v>
      </c>
      <c r="F38" t="str">
        <f>IF(ISNUMBER(SEARCH(" by", E38)), LEFT(E38, FIND(" by ",E38) - 1),E38)</f>
        <v>What Child Is This</v>
      </c>
      <c r="G38" t="str">
        <f>LEFT(F38,IF(ISNUMBER(SEARCH(" (",F38)),FIND(" (",F38)-1,LEN(F38)))</f>
        <v>What Child Is This</v>
      </c>
      <c r="H38" t="str">
        <f>IF(ISNUMBER(SEARCH("(",F38)), LEFT(RIGHT(F38, LEN(F38) - FIND("(",F38)), LEN(RIGHT(F38, LEN(F38) - FIND("(",F38))) - 1), "")</f>
        <v/>
      </c>
      <c r="I38" t="str">
        <f>IF(ISNUMBER(SEARCH(" by",E38)),RIGHT(E38, LEN(E38) - FIND(" by ",E38) - 3),"")</f>
        <v/>
      </c>
      <c r="J38">
        <v>110</v>
      </c>
      <c r="K38" t="s">
        <v>47</v>
      </c>
    </row>
    <row r="39" spans="1:11" x14ac:dyDescent="0.25">
      <c r="A39" s="2">
        <v>4</v>
      </c>
      <c r="B39" s="2" t="s">
        <v>78</v>
      </c>
      <c r="C39" s="2">
        <v>8</v>
      </c>
      <c r="D39" s="2" t="s">
        <v>76</v>
      </c>
      <c r="E39" s="2" t="s">
        <v>50</v>
      </c>
      <c r="F39" t="str">
        <f>IF(ISNUMBER(SEARCH(" by", E39)), LEFT(E39, FIND(" by ",E39) - 1),E39)</f>
        <v>Away in a Manger</v>
      </c>
      <c r="G39" t="str">
        <f>LEFT(F39,IF(ISNUMBER(SEARCH(" (",F39)),FIND(" (",F39)-1,LEN(F39)))</f>
        <v>Away in a Manger</v>
      </c>
      <c r="H39" t="str">
        <f>IF(ISNUMBER(SEARCH("(",F39)), LEFT(RIGHT(F39, LEN(F39) - FIND("(",F39)), LEN(RIGHT(F39, LEN(F39) - FIND("(",F39))) - 1), "")</f>
        <v/>
      </c>
      <c r="I39" t="str">
        <f>IF(ISNUMBER(SEARCH(" by",E39)),RIGHT(E39, LEN(E39) - FIND(" by ",E39) - 3),"")</f>
        <v/>
      </c>
      <c r="J39">
        <v>73</v>
      </c>
      <c r="K39" t="s">
        <v>47</v>
      </c>
    </row>
    <row r="40" spans="1:11" x14ac:dyDescent="0.25">
      <c r="A40" s="2">
        <v>4</v>
      </c>
      <c r="B40" s="2" t="s">
        <v>78</v>
      </c>
      <c r="C40" s="2">
        <v>9</v>
      </c>
      <c r="D40" s="2" t="s">
        <v>76</v>
      </c>
      <c r="E40" s="2" t="s">
        <v>39</v>
      </c>
      <c r="F40" t="str">
        <f>IF(ISNUMBER(SEARCH(" by", E40)), LEFT(E40, FIND(" by ",E40) - 1),E40)</f>
        <v>Winter Snow</v>
      </c>
      <c r="G40" t="str">
        <f>LEFT(F40,IF(ISNUMBER(SEARCH(" (",F40)),FIND(" (",F40)-1,LEN(F40)))</f>
        <v>Winter Snow</v>
      </c>
      <c r="H40" t="str">
        <f>IF(ISNUMBER(SEARCH("(",F40)), LEFT(RIGHT(F40, LEN(F40) - FIND("(",F40)), LEN(RIGHT(F40, LEN(F40) - FIND("(",F40))) - 1), "")</f>
        <v/>
      </c>
      <c r="I40" t="str">
        <f>IF(ISNUMBER(SEARCH(" by",E40)),RIGHT(E40, LEN(E40) - FIND(" by ",E40) - 3),"")</f>
        <v>Audrey Assad</v>
      </c>
      <c r="J40">
        <v>71</v>
      </c>
      <c r="K40" t="s">
        <v>0</v>
      </c>
    </row>
    <row r="41" spans="1:11" x14ac:dyDescent="0.25">
      <c r="A41" s="2">
        <v>4</v>
      </c>
      <c r="B41" s="2" t="s">
        <v>78</v>
      </c>
      <c r="C41" s="2">
        <v>10</v>
      </c>
      <c r="D41" s="2" t="s">
        <v>76</v>
      </c>
      <c r="E41" s="2" t="s">
        <v>43</v>
      </c>
      <c r="F41" t="str">
        <f>IF(ISNUMBER(SEARCH(" by", E41)), LEFT(E41, FIND(" by ",E41) - 1),E41)</f>
        <v>It Came Upon A Midnight Clear</v>
      </c>
      <c r="G41" t="str">
        <f>LEFT(F41,IF(ISNUMBER(SEARCH(" (",F41)),FIND(" (",F41)-1,LEN(F41)))</f>
        <v>It Came Upon A Midnight Clear</v>
      </c>
      <c r="H41" t="str">
        <f>IF(ISNUMBER(SEARCH("(",F41)), LEFT(RIGHT(F41, LEN(F41) - FIND("(",F41)), LEN(RIGHT(F41, LEN(F41) - FIND("(",F41))) - 1), "")</f>
        <v/>
      </c>
      <c r="I41" t="str">
        <f>IF(ISNUMBER(SEARCH(" by",E41)),RIGHT(E41, LEN(E41) - FIND(" by ",E41) - 3),"")</f>
        <v/>
      </c>
      <c r="J41">
        <v>67</v>
      </c>
      <c r="K41" t="s">
        <v>14</v>
      </c>
    </row>
    <row r="42" spans="1:11" x14ac:dyDescent="0.25">
      <c r="A42">
        <v>5</v>
      </c>
      <c r="B42" t="s">
        <v>80</v>
      </c>
      <c r="C42" s="2">
        <v>1</v>
      </c>
      <c r="D42" t="s">
        <v>79</v>
      </c>
      <c r="E42" t="s">
        <v>59</v>
      </c>
      <c r="F42" t="str">
        <f>IF(ISNUMBER(SEARCH(" by", E42)), LEFT(E42, FIND(" by ",E42) - 1),E42)</f>
        <v>Psalm 46 (Lord of Hosts)</v>
      </c>
      <c r="G42" t="str">
        <f>LEFT(F42,IF(ISNUMBER(SEARCH(" (",F42)),FIND(" (",F42)-1,LEN(F42)))</f>
        <v>Psalm 46</v>
      </c>
      <c r="H42" t="str">
        <f>IF(ISNUMBER(SEARCH("(",F42)), LEFT(RIGHT(F42, LEN(F42) - FIND("(",F42)), LEN(RIGHT(F42, LEN(F42) - FIND("(",F42))) - 1), "")</f>
        <v>Lord of Hosts</v>
      </c>
      <c r="I42" t="str">
        <f>IF(ISNUMBER(SEARCH(" by",E42)),RIGHT(E42, LEN(E42) - FIND(" by ",E42) - 3),"")</f>
        <v>Shane &amp; Shane</v>
      </c>
      <c r="J42">
        <v>69</v>
      </c>
      <c r="K42" t="s">
        <v>3</v>
      </c>
    </row>
    <row r="43" spans="1:11" x14ac:dyDescent="0.25">
      <c r="A43">
        <v>5</v>
      </c>
      <c r="B43" t="s">
        <v>80</v>
      </c>
      <c r="C43" s="2">
        <v>2</v>
      </c>
      <c r="D43" t="s">
        <v>79</v>
      </c>
      <c r="E43" t="s">
        <v>63</v>
      </c>
      <c r="F43" t="str">
        <f>IF(ISNUMBER(SEARCH(" by", E43)), LEFT(E43, FIND(" by ",E43) - 1),E43)</f>
        <v>Psalm 45 (Fairest of All)</v>
      </c>
      <c r="G43" t="str">
        <f>LEFT(F43,IF(ISNUMBER(SEARCH(" (",F43)),FIND(" (",F43)-1,LEN(F43)))</f>
        <v>Psalm 45</v>
      </c>
      <c r="H43" t="str">
        <f>IF(ISNUMBER(SEARCH("(",F43)), LEFT(RIGHT(F43, LEN(F43) - FIND("(",F43)), LEN(RIGHT(F43, LEN(F43) - FIND("(",F43))) - 1), "")</f>
        <v>Fairest of All</v>
      </c>
      <c r="I43" t="str">
        <f>IF(ISNUMBER(SEARCH(" by",E43)),RIGHT(E43, LEN(E43) - FIND(" by ",E43) - 3),"")</f>
        <v>Shane &amp; Shane</v>
      </c>
      <c r="J43">
        <v>106</v>
      </c>
      <c r="K43" t="s">
        <v>3</v>
      </c>
    </row>
    <row r="44" spans="1:11" x14ac:dyDescent="0.25">
      <c r="A44">
        <v>5</v>
      </c>
      <c r="B44" t="s">
        <v>80</v>
      </c>
      <c r="C44" s="2">
        <v>3</v>
      </c>
      <c r="D44" t="s">
        <v>79</v>
      </c>
      <c r="E44" t="s">
        <v>61</v>
      </c>
      <c r="F44" t="str">
        <f>IF(ISNUMBER(SEARCH(" by", E44)), LEFT(E44, FIND(" by ",E44) - 1),E44)</f>
        <v>Psalm 34 (Taste and See)</v>
      </c>
      <c r="G44" t="str">
        <f>LEFT(F44,IF(ISNUMBER(SEARCH(" (",F44)),FIND(" (",F44)-1,LEN(F44)))</f>
        <v>Psalm 34</v>
      </c>
      <c r="H44" t="str">
        <f>IF(ISNUMBER(SEARCH("(",F44)), LEFT(RIGHT(F44, LEN(F44) - FIND("(",F44)), LEN(RIGHT(F44, LEN(F44) - FIND("(",F44))) - 1), "")</f>
        <v>Taste and See</v>
      </c>
      <c r="I44" t="str">
        <f>IF(ISNUMBER(SEARCH(" by",E44)),RIGHT(E44, LEN(E44) - FIND(" by ",E44) - 3),"")</f>
        <v>Shane &amp; Shane</v>
      </c>
      <c r="J44">
        <v>57</v>
      </c>
      <c r="K44" t="s">
        <v>0</v>
      </c>
    </row>
    <row r="45" spans="1:11" x14ac:dyDescent="0.25">
      <c r="A45">
        <v>5</v>
      </c>
      <c r="B45" t="s">
        <v>80</v>
      </c>
      <c r="C45" s="2">
        <v>4</v>
      </c>
      <c r="D45" t="s">
        <v>79</v>
      </c>
      <c r="E45" t="s">
        <v>70</v>
      </c>
      <c r="F45" t="str">
        <f>IF(ISNUMBER(SEARCH(" by", E45)), LEFT(E45, FIND(" by ",E45) - 1),E45)</f>
        <v>Psalm 51 (Wisdom in the Secret Heart)</v>
      </c>
      <c r="G45" t="str">
        <f>LEFT(F45,IF(ISNUMBER(SEARCH(" (",F45)),FIND(" (",F45)-1,LEN(F45)))</f>
        <v>Psalm 51</v>
      </c>
      <c r="H45" t="str">
        <f>IF(ISNUMBER(SEARCH("(",F45)), LEFT(RIGHT(F45, LEN(F45) - FIND("(",F45)), LEN(RIGHT(F45, LEN(F45) - FIND("(",F45))) - 1), "")</f>
        <v>Wisdom in the Secret Heart</v>
      </c>
      <c r="I45" t="str">
        <f>IF(ISNUMBER(SEARCH(" by",E45)),RIGHT(E45, LEN(E45) - FIND(" by ",E45) - 3),"")</f>
        <v>Shane &amp; Shane</v>
      </c>
      <c r="J45">
        <v>97</v>
      </c>
      <c r="K45" t="s">
        <v>0</v>
      </c>
    </row>
    <row r="46" spans="1:11" x14ac:dyDescent="0.25">
      <c r="A46">
        <v>5</v>
      </c>
      <c r="B46" t="s">
        <v>80</v>
      </c>
      <c r="C46" s="2">
        <v>5</v>
      </c>
      <c r="D46" t="s">
        <v>79</v>
      </c>
      <c r="E46" t="s">
        <v>64</v>
      </c>
      <c r="F46" t="str">
        <f>IF(ISNUMBER(SEARCH(" by", E46)), LEFT(E46, FIND(" by ",E46) - 1),E46)</f>
        <v>Psalm 139 (Far Too Wonderful)</v>
      </c>
      <c r="G46" t="str">
        <f>LEFT(F46,IF(ISNUMBER(SEARCH(" (",F46)),FIND(" (",F46)-1,LEN(F46)))</f>
        <v>Psalm 139</v>
      </c>
      <c r="H46" t="str">
        <f>IF(ISNUMBER(SEARCH("(",F46)), LEFT(RIGHT(F46, LEN(F46) - FIND("(",F46)), LEN(RIGHT(F46, LEN(F46) - FIND("(",F46))) - 1), "")</f>
        <v>Far Too Wonderful</v>
      </c>
      <c r="I46" t="str">
        <f>IF(ISNUMBER(SEARCH(" by",E46)),RIGHT(E46, LEN(E46) - FIND(" by ",E46) - 3),"")</f>
        <v>Shane &amp; Shane</v>
      </c>
      <c r="J46">
        <v>107</v>
      </c>
      <c r="K46" t="s">
        <v>0</v>
      </c>
    </row>
    <row r="47" spans="1:11" x14ac:dyDescent="0.25">
      <c r="A47">
        <v>5</v>
      </c>
      <c r="B47" t="s">
        <v>80</v>
      </c>
      <c r="C47" s="2">
        <v>6</v>
      </c>
      <c r="D47" t="s">
        <v>79</v>
      </c>
      <c r="E47" t="s">
        <v>69</v>
      </c>
      <c r="F47" t="str">
        <f>IF(ISNUMBER(SEARCH(" by", E47)), LEFT(E47, FIND(" by ",E47) - 1),E47)</f>
        <v>Psalm 98 (Sing Unto The Lord)</v>
      </c>
      <c r="G47" t="str">
        <f>LEFT(F47,IF(ISNUMBER(SEARCH(" (",F47)),FIND(" (",F47)-1,LEN(F47)))</f>
        <v>Psalm 98</v>
      </c>
      <c r="H47" t="str">
        <f>IF(ISNUMBER(SEARCH("(",F47)), LEFT(RIGHT(F47, LEN(F47) - FIND("(",F47)), LEN(RIGHT(F47, LEN(F47) - FIND("(",F47))) - 1), "")</f>
        <v>Sing Unto The Lord</v>
      </c>
      <c r="I47" t="str">
        <f>IF(ISNUMBER(SEARCH(" by",E47)),RIGHT(E47, LEN(E47) - FIND(" by ",E47) - 3),"")</f>
        <v>Shane &amp; Shane</v>
      </c>
      <c r="J47">
        <v>123</v>
      </c>
      <c r="K47" t="s">
        <v>0</v>
      </c>
    </row>
    <row r="48" spans="1:11" x14ac:dyDescent="0.25">
      <c r="A48">
        <v>5</v>
      </c>
      <c r="B48" t="s">
        <v>80</v>
      </c>
      <c r="C48" s="2">
        <v>7</v>
      </c>
      <c r="D48" t="s">
        <v>79</v>
      </c>
      <c r="E48" t="s">
        <v>67</v>
      </c>
      <c r="F48" t="str">
        <f>IF(ISNUMBER(SEARCH(" by", E48)), LEFT(E48, FIND(" by ",E48) - 1),E48)</f>
        <v>Psalm 91 (On Eagles' Wings)</v>
      </c>
      <c r="G48" t="str">
        <f>LEFT(F48,IF(ISNUMBER(SEARCH(" (",F48)),FIND(" (",F48)-1,LEN(F48)))</f>
        <v>Psalm 91</v>
      </c>
      <c r="H48" t="str">
        <f>IF(ISNUMBER(SEARCH("(",F48)), LEFT(RIGHT(F48, LEN(F48) - FIND("(",F48)), LEN(RIGHT(F48, LEN(F48) - FIND("(",F48))) - 1), "")</f>
        <v>On Eagles' Wings</v>
      </c>
      <c r="I48" t="str">
        <f>IF(ISNUMBER(SEARCH(" by",E48)),RIGHT(E48, LEN(E48) - FIND(" by ",E48) - 3),"")</f>
        <v>Shane &amp; Shane</v>
      </c>
      <c r="J48">
        <v>62</v>
      </c>
      <c r="K48" t="s">
        <v>44</v>
      </c>
    </row>
    <row r="49" spans="1:11" x14ac:dyDescent="0.25">
      <c r="A49">
        <v>5</v>
      </c>
      <c r="B49" t="s">
        <v>80</v>
      </c>
      <c r="C49" s="2">
        <v>8</v>
      </c>
      <c r="D49" t="s">
        <v>79</v>
      </c>
      <c r="E49" t="s">
        <v>66</v>
      </c>
      <c r="F49" t="str">
        <f>IF(ISNUMBER(SEARCH(" by", E49)), LEFT(E49, FIND(" by ",E49) - 1),E49)</f>
        <v>Psalm 63 (Better than Life)</v>
      </c>
      <c r="G49" t="str">
        <f>LEFT(F49,IF(ISNUMBER(SEARCH(" (",F49)),FIND(" (",F49)-1,LEN(F49)))</f>
        <v>Psalm 63</v>
      </c>
      <c r="H49" t="str">
        <f>IF(ISNUMBER(SEARCH("(",F49)), LEFT(RIGHT(F49, LEN(F49) - FIND("(",F49)), LEN(RIGHT(F49, LEN(F49) - FIND("(",F49))) - 1), "")</f>
        <v>Better than Life</v>
      </c>
      <c r="I49" t="str">
        <f>IF(ISNUMBER(SEARCH(" by",E49)),RIGHT(E49, LEN(E49) - FIND(" by ",E49) - 3),"")</f>
        <v>Shane &amp; Shane</v>
      </c>
      <c r="J49">
        <v>73</v>
      </c>
      <c r="K49" t="s">
        <v>8</v>
      </c>
    </row>
    <row r="50" spans="1:11" x14ac:dyDescent="0.25">
      <c r="A50">
        <v>5</v>
      </c>
      <c r="B50" t="s">
        <v>80</v>
      </c>
      <c r="C50" s="2">
        <v>9</v>
      </c>
      <c r="D50" t="s">
        <v>79</v>
      </c>
      <c r="E50" t="s">
        <v>65</v>
      </c>
      <c r="F50" t="str">
        <f>IF(ISNUMBER(SEARCH(" by", E50)), LEFT(E50, FIND(" by ",E50) - 1),E50)</f>
        <v>Psalm 16 (Fullness of Joy)</v>
      </c>
      <c r="G50" t="str">
        <f>LEFT(F50,IF(ISNUMBER(SEARCH(" (",F50)),FIND(" (",F50)-1,LEN(F50)))</f>
        <v>Psalm 16</v>
      </c>
      <c r="H50" t="str">
        <f>IF(ISNUMBER(SEARCH("(",F50)), LEFT(RIGHT(F50, LEN(F50) - FIND("(",F50)), LEN(RIGHT(F50, LEN(F50) - FIND("(",F50))) - 1), "")</f>
        <v>Fullness of Joy</v>
      </c>
      <c r="I50" t="str">
        <f>IF(ISNUMBER(SEARCH(" by",E50)),RIGHT(E50, LEN(E50) - FIND(" by ",E50) - 3),"")</f>
        <v>Shane &amp; Shane</v>
      </c>
      <c r="J50">
        <v>123</v>
      </c>
      <c r="K50" t="s">
        <v>8</v>
      </c>
    </row>
    <row r="51" spans="1:11" x14ac:dyDescent="0.25">
      <c r="A51">
        <v>5</v>
      </c>
      <c r="B51" t="s">
        <v>80</v>
      </c>
      <c r="C51" s="2">
        <v>10</v>
      </c>
      <c r="D51" t="s">
        <v>79</v>
      </c>
      <c r="E51" t="s">
        <v>68</v>
      </c>
      <c r="F51" t="str">
        <f>IF(ISNUMBER(SEARCH(" by", E51)), LEFT(E51, FIND(" by ",E51) - 1),E51)</f>
        <v>Take Over</v>
      </c>
      <c r="G51" t="str">
        <f>LEFT(F51,IF(ISNUMBER(SEARCH(" (",F51)),FIND(" (",F51)-1,LEN(F51)))</f>
        <v>Take Over</v>
      </c>
      <c r="H51" t="str">
        <f>IF(ISNUMBER(SEARCH("(",F51)), LEFT(RIGHT(F51, LEN(F51) - FIND("(",F51)), LEN(RIGHT(F51, LEN(F51) - FIND("(",F51))) - 1), "")</f>
        <v/>
      </c>
      <c r="I51" t="str">
        <f>IF(ISNUMBER(SEARCH(" by",E51)),RIGHT(E51, LEN(E51) - FIND(" by ",E51) - 3),"")</f>
        <v>Shane &amp; Shane</v>
      </c>
      <c r="J51">
        <v>60</v>
      </c>
      <c r="K51" t="s">
        <v>8</v>
      </c>
    </row>
    <row r="52" spans="1:11" x14ac:dyDescent="0.25">
      <c r="A52">
        <v>5</v>
      </c>
      <c r="B52" t="s">
        <v>80</v>
      </c>
      <c r="C52" s="2">
        <v>11</v>
      </c>
      <c r="D52" t="s">
        <v>79</v>
      </c>
      <c r="E52" t="s">
        <v>60</v>
      </c>
      <c r="F52" t="str">
        <f>IF(ISNUMBER(SEARCH(" by", E52)), LEFT(E52, FIND(" by ",E52) - 1),E52)</f>
        <v>Psalm 27 (One Thing)</v>
      </c>
      <c r="G52" t="str">
        <f>LEFT(F52,IF(ISNUMBER(SEARCH(" (",F52)),FIND(" (",F52)-1,LEN(F52)))</f>
        <v>Psalm 27</v>
      </c>
      <c r="H52" t="str">
        <f>IF(ISNUMBER(SEARCH("(",F52)), LEFT(RIGHT(F52, LEN(F52) - FIND("(",F52)), LEN(RIGHT(F52, LEN(F52) - FIND("(",F52))) - 1), "")</f>
        <v>One Thing</v>
      </c>
      <c r="I52" t="str">
        <f>IF(ISNUMBER(SEARCH(" by",E52)),RIGHT(E52, LEN(E52) - FIND(" by ",E52) - 3),"")</f>
        <v>Shane &amp; Shane</v>
      </c>
      <c r="J52">
        <v>69</v>
      </c>
      <c r="K52" t="s">
        <v>5</v>
      </c>
    </row>
    <row r="53" spans="1:11" x14ac:dyDescent="0.25">
      <c r="A53">
        <v>5</v>
      </c>
      <c r="B53" t="s">
        <v>80</v>
      </c>
      <c r="C53" s="2">
        <v>12</v>
      </c>
      <c r="D53" t="s">
        <v>79</v>
      </c>
      <c r="E53" t="s">
        <v>62</v>
      </c>
      <c r="F53" t="str">
        <f>IF(ISNUMBER(SEARCH(" by", E53)), LEFT(E53, FIND(" by ",E53) - 1),E53)</f>
        <v>Psalm 23 (Surely Goodness, Surely Mercy)</v>
      </c>
      <c r="G53" t="str">
        <f>LEFT(F53,IF(ISNUMBER(SEARCH(" (",F53)),FIND(" (",F53)-1,LEN(F53)))</f>
        <v>Psalm 23</v>
      </c>
      <c r="H53" t="str">
        <f>IF(ISNUMBER(SEARCH("(",F53)), LEFT(RIGHT(F53, LEN(F53) - FIND("(",F53)), LEN(RIGHT(F53, LEN(F53) - FIND("(",F53))) - 1), "")</f>
        <v>Surely Goodness, Surely Mercy</v>
      </c>
      <c r="I53" t="str">
        <f>IF(ISNUMBER(SEARCH(" by",E53)),RIGHT(E53, LEN(E53) - FIND(" by ",E53) - 3),"")</f>
        <v>Shane &amp; Shane</v>
      </c>
      <c r="J53">
        <v>55</v>
      </c>
      <c r="K53" t="s">
        <v>5</v>
      </c>
    </row>
    <row r="54" spans="1:11" x14ac:dyDescent="0.25">
      <c r="A54">
        <v>6</v>
      </c>
      <c r="B54" t="s">
        <v>96</v>
      </c>
      <c r="C54" s="2">
        <v>1</v>
      </c>
      <c r="D54" t="s">
        <v>95</v>
      </c>
      <c r="E54" t="s">
        <v>84</v>
      </c>
      <c r="F54" t="str">
        <f>IF(ISNUMBER(SEARCH(" by", E54)), LEFT(E54, FIND(" by ",E54) - 1),E54)</f>
        <v>Battle Belongs</v>
      </c>
      <c r="G54" t="str">
        <f>LEFT(F54,IF(ISNUMBER(SEARCH(" (",F54)),FIND(" (",F54)-1,LEN(F54)))</f>
        <v>Battle Belongs</v>
      </c>
      <c r="H54" t="str">
        <f>IF(ISNUMBER(SEARCH("(",F54)), LEFT(RIGHT(F54, LEN(F54) - FIND("(",F54)), LEN(RIGHT(F54, LEN(F54) - FIND("(",F54))) - 1), "")</f>
        <v/>
      </c>
      <c r="I54" t="str">
        <f>IF(ISNUMBER(SEARCH(" by",E54)),RIGHT(E54, LEN(E54) - FIND(" by ",E54) - 3),"")</f>
        <v>Phil Wickham</v>
      </c>
      <c r="J54">
        <v>81</v>
      </c>
      <c r="K54" t="s">
        <v>83</v>
      </c>
    </row>
    <row r="55" spans="1:11" x14ac:dyDescent="0.25">
      <c r="A55">
        <v>6</v>
      </c>
      <c r="B55" t="s">
        <v>96</v>
      </c>
      <c r="C55">
        <v>2</v>
      </c>
      <c r="D55" t="s">
        <v>95</v>
      </c>
      <c r="E55" t="s">
        <v>89</v>
      </c>
      <c r="F55" t="str">
        <f>IF(ISNUMBER(SEARCH(" by", E55)), LEFT(E55, FIND(" by ",E55) - 1),E55)</f>
        <v>At Your Name (Lite)</v>
      </c>
      <c r="G55" t="str">
        <f>LEFT(F55,IF(ISNUMBER(SEARCH(" (",F55)),FIND(" (",F55)-1,LEN(F55)))</f>
        <v>At Your Name</v>
      </c>
      <c r="H55" t="str">
        <f>IF(ISNUMBER(SEARCH("(",F55)), LEFT(RIGHT(F55, LEN(F55) - FIND("(",F55)), LEN(RIGHT(F55, LEN(F55) - FIND("(",F55))) - 1), "")</f>
        <v>Lite</v>
      </c>
      <c r="I55" t="str">
        <f>IF(ISNUMBER(SEARCH(" by",E55)),RIGHT(E55, LEN(E55) - FIND(" by ",E55) - 3),"")</f>
        <v>Phil Wickham</v>
      </c>
      <c r="J55">
        <v>84</v>
      </c>
      <c r="K55" t="s">
        <v>44</v>
      </c>
    </row>
    <row r="56" spans="1:11" x14ac:dyDescent="0.25">
      <c r="A56">
        <v>6</v>
      </c>
      <c r="B56" t="s">
        <v>96</v>
      </c>
      <c r="C56">
        <v>3</v>
      </c>
      <c r="D56" t="s">
        <v>95</v>
      </c>
      <c r="E56" t="s">
        <v>87</v>
      </c>
      <c r="F56" t="str">
        <f>IF(ISNUMBER(SEARCH(" by", E56)), LEFT(E56, FIND(" by ",E56) - 1),E56)</f>
        <v>Raise A Hallelujah (Lite)</v>
      </c>
      <c r="G56" t="str">
        <f>LEFT(F56,IF(ISNUMBER(SEARCH(" (",F56)),FIND(" (",F56)-1,LEN(F56)))</f>
        <v>Raise A Hallelujah</v>
      </c>
      <c r="H56" t="str">
        <f>IF(ISNUMBER(SEARCH("(",F56)), LEFT(RIGHT(F56, LEN(F56) - FIND("(",F56)), LEN(RIGHT(F56, LEN(F56) - FIND("(",F56))) - 1), "")</f>
        <v>Lite</v>
      </c>
      <c r="I56" t="str">
        <f>IF(ISNUMBER(SEARCH(" by",E56)),RIGHT(E56, LEN(E56) - FIND(" by ",E56) - 3),"")</f>
        <v>Jonathan David &amp; Melissa Helser</v>
      </c>
      <c r="J56">
        <v>82</v>
      </c>
      <c r="K56" t="s">
        <v>5</v>
      </c>
    </row>
    <row r="57" spans="1:11" x14ac:dyDescent="0.25">
      <c r="A57">
        <v>6</v>
      </c>
      <c r="B57" t="s">
        <v>96</v>
      </c>
      <c r="C57">
        <v>4</v>
      </c>
      <c r="D57" t="s">
        <v>95</v>
      </c>
      <c r="E57" t="s">
        <v>92</v>
      </c>
      <c r="F57" t="str">
        <f>IF(ISNUMBER(SEARCH(" by", E57)), LEFT(E57, FIND(" by ",E57) - 1),E57)</f>
        <v>Peace (Lite)</v>
      </c>
      <c r="G57" t="str">
        <f>LEFT(F57,IF(ISNUMBER(SEARCH(" (",F57)),FIND(" (",F57)-1,LEN(F57)))</f>
        <v>Peace</v>
      </c>
      <c r="H57" t="str">
        <f>IF(ISNUMBER(SEARCH("(",F57)), LEFT(RIGHT(F57, LEN(F57) - FIND("(",F57)), LEN(RIGHT(F57, LEN(F57) - FIND("(",F57))) - 1), "")</f>
        <v>Lite</v>
      </c>
      <c r="I57" t="str">
        <f>IF(ISNUMBER(SEARCH(" by",E57)),RIGHT(E57, LEN(E57) - FIND(" by ",E57) - 3),"")</f>
        <v>Hillsong Young &amp; Free</v>
      </c>
      <c r="J57">
        <v>64</v>
      </c>
      <c r="K57" t="s">
        <v>0</v>
      </c>
    </row>
    <row r="58" spans="1:11" x14ac:dyDescent="0.25">
      <c r="A58">
        <v>6</v>
      </c>
      <c r="B58" t="s">
        <v>96</v>
      </c>
      <c r="C58">
        <v>5</v>
      </c>
      <c r="D58" t="s">
        <v>95</v>
      </c>
      <c r="E58" t="s">
        <v>91</v>
      </c>
      <c r="F58" t="str">
        <f>IF(ISNUMBER(SEARCH(" by", E58)), LEFT(E58, FIND(" by ",E58) - 1),E58)</f>
        <v>Bigger Than I Thought (Lite)</v>
      </c>
      <c r="G58" t="str">
        <f>LEFT(F58,IF(ISNUMBER(SEARCH(" (",F58)),FIND(" (",F58)-1,LEN(F58)))</f>
        <v>Bigger Than I Thought</v>
      </c>
      <c r="H58" t="str">
        <f>IF(ISNUMBER(SEARCH("(",F58)), LEFT(RIGHT(F58, LEN(F58) - FIND("(",F58)), LEN(RIGHT(F58, LEN(F58) - FIND("(",F58))) - 1), "")</f>
        <v>Lite</v>
      </c>
      <c r="I58" t="str">
        <f>IF(ISNUMBER(SEARCH(" by",E58)),RIGHT(E58, LEN(E58) - FIND(" by ",E58) - 3),"")</f>
        <v>Passion</v>
      </c>
      <c r="J58">
        <v>63</v>
      </c>
      <c r="K58" t="s">
        <v>14</v>
      </c>
    </row>
    <row r="59" spans="1:11" x14ac:dyDescent="0.25">
      <c r="A59">
        <v>6</v>
      </c>
      <c r="B59" t="s">
        <v>96</v>
      </c>
      <c r="C59">
        <v>6</v>
      </c>
      <c r="D59" t="s">
        <v>95</v>
      </c>
      <c r="E59" t="s">
        <v>93</v>
      </c>
      <c r="F59" t="str">
        <f>IF(ISNUMBER(SEARCH(" by", E59)), LEFT(E59, FIND(" by ",E59) - 1),E59)</f>
        <v>Sinking Deep (Lite)</v>
      </c>
      <c r="G59" t="str">
        <f>LEFT(F59,IF(ISNUMBER(SEARCH(" (",F59)),FIND(" (",F59)-1,LEN(F59)))</f>
        <v>Sinking Deep</v>
      </c>
      <c r="H59" t="str">
        <f>IF(ISNUMBER(SEARCH("(",F59)), LEFT(RIGHT(F59, LEN(F59) - FIND("(",F59)), LEN(RIGHT(F59, LEN(F59) - FIND("(",F59))) - 1), "")</f>
        <v>Lite</v>
      </c>
      <c r="I59" t="str">
        <f>IF(ISNUMBER(SEARCH(" by",E59)),RIGHT(E59, LEN(E59) - FIND(" by ",E59) - 3),"")</f>
        <v>Hillsong Young &amp; Free</v>
      </c>
      <c r="J59">
        <v>70</v>
      </c>
      <c r="K59" t="s">
        <v>44</v>
      </c>
    </row>
    <row r="60" spans="1:11" x14ac:dyDescent="0.25">
      <c r="A60">
        <v>6</v>
      </c>
      <c r="B60" t="s">
        <v>96</v>
      </c>
      <c r="C60" s="2">
        <v>7</v>
      </c>
      <c r="D60" t="s">
        <v>95</v>
      </c>
      <c r="E60" t="s">
        <v>85</v>
      </c>
      <c r="F60" t="str">
        <f>IF(ISNUMBER(SEARCH(" by", E60)), LEFT(E60, FIND(" by ",E60) - 1),E60)</f>
        <v>Psalm 145 (Lite)</v>
      </c>
      <c r="G60" t="str">
        <f>LEFT(F60,IF(ISNUMBER(SEARCH(" (",F60)),FIND(" (",F60)-1,LEN(F60)))</f>
        <v>Psalm 145</v>
      </c>
      <c r="H60" t="str">
        <f>IF(ISNUMBER(SEARCH("(",F60)), LEFT(RIGHT(F60, LEN(F60) - FIND("(",F60)), LEN(RIGHT(F60, LEN(F60) - FIND("(",F60))) - 1), "")</f>
        <v>Lite</v>
      </c>
      <c r="I60" t="str">
        <f>IF(ISNUMBER(SEARCH(" by",E60)),RIGHT(E60, LEN(E60) - FIND(" by ",E60) - 3),"")</f>
        <v>Shane &amp; Shane</v>
      </c>
      <c r="J60">
        <v>80</v>
      </c>
      <c r="K60" t="s">
        <v>29</v>
      </c>
    </row>
    <row r="61" spans="1:11" x14ac:dyDescent="0.25">
      <c r="A61">
        <v>6</v>
      </c>
      <c r="B61" t="s">
        <v>96</v>
      </c>
      <c r="C61" s="2">
        <v>8</v>
      </c>
      <c r="D61" t="s">
        <v>95</v>
      </c>
      <c r="E61" t="s">
        <v>86</v>
      </c>
      <c r="F61" t="str">
        <f>IF(ISNUMBER(SEARCH(" by", E61)), LEFT(E61, FIND(" by ",E61) - 1),E61)</f>
        <v>Psalm 13 (Lite)</v>
      </c>
      <c r="G61" t="str">
        <f>LEFT(F61,IF(ISNUMBER(SEARCH(" (",F61)),FIND(" (",F61)-1,LEN(F61)))</f>
        <v>Psalm 13</v>
      </c>
      <c r="H61" t="str">
        <f>IF(ISNUMBER(SEARCH("(",F61)), LEFT(RIGHT(F61, LEN(F61) - FIND("(",F61)), LEN(RIGHT(F61, LEN(F61) - FIND("(",F61))) - 1), "")</f>
        <v>Lite</v>
      </c>
      <c r="I61" t="str">
        <f>IF(ISNUMBER(SEARCH(" by",E61)),RIGHT(E61, LEN(E61) - FIND(" by ",E61) - 3),"")</f>
        <v>Shane &amp; Shane</v>
      </c>
      <c r="J61">
        <v>80</v>
      </c>
      <c r="K61" t="s">
        <v>0</v>
      </c>
    </row>
    <row r="62" spans="1:11" x14ac:dyDescent="0.25">
      <c r="A62">
        <v>6</v>
      </c>
      <c r="B62" t="s">
        <v>96</v>
      </c>
      <c r="C62">
        <v>9</v>
      </c>
      <c r="D62" t="s">
        <v>95</v>
      </c>
      <c r="E62" t="s">
        <v>90</v>
      </c>
      <c r="F62" t="str">
        <f>IF(ISNUMBER(SEARCH(" by", E62)), LEFT(E62, FIND(" by ",E62) - 1),E62)</f>
        <v>The One You'll Find (Lite)</v>
      </c>
      <c r="G62" t="str">
        <f>LEFT(F62,IF(ISNUMBER(SEARCH(" (",F62)),FIND(" (",F62)-1,LEN(F62)))</f>
        <v>The One You'll Find</v>
      </c>
      <c r="H62" t="str">
        <f>IF(ISNUMBER(SEARCH("(",F62)), LEFT(RIGHT(F62, LEN(F62) - FIND("(",F62)), LEN(RIGHT(F62, LEN(F62) - FIND("(",F62))) - 1), "")</f>
        <v>Lite</v>
      </c>
      <c r="I62" t="str">
        <f>IF(ISNUMBER(SEARCH(" by",E62)),RIGHT(E62, LEN(E62) - FIND(" by ",E62) - 3),"")</f>
        <v>Shane &amp; Shane</v>
      </c>
      <c r="J62">
        <v>118</v>
      </c>
      <c r="K62" t="s">
        <v>0</v>
      </c>
    </row>
    <row r="63" spans="1:11" x14ac:dyDescent="0.25">
      <c r="A63">
        <v>6</v>
      </c>
      <c r="B63" t="s">
        <v>96</v>
      </c>
      <c r="C63">
        <v>10</v>
      </c>
      <c r="D63" t="s">
        <v>95</v>
      </c>
      <c r="E63" t="s">
        <v>88</v>
      </c>
      <c r="F63" t="str">
        <f>IF(ISNUMBER(SEARCH(" by", E63)), LEFT(E63, FIND(" by ",E63) - 1),E63)</f>
        <v>Great Reward (Lite)</v>
      </c>
      <c r="G63" t="str">
        <f>LEFT(F63,IF(ISNUMBER(SEARCH(" (",F63)),FIND(" (",F63)-1,LEN(F63)))</f>
        <v>Great Reward</v>
      </c>
      <c r="H63" t="str">
        <f>IF(ISNUMBER(SEARCH("(",F63)), LEFT(RIGHT(F63, LEN(F63) - FIND("(",F63)), LEN(RIGHT(F63, LEN(F63) - FIND("(",F63))) - 1), "")</f>
        <v>Lite</v>
      </c>
      <c r="I63" t="str">
        <f>IF(ISNUMBER(SEARCH(" by",E63)),RIGHT(E63, LEN(E63) - FIND(" by ",E63) - 3),"")</f>
        <v>Shane &amp; Shane</v>
      </c>
      <c r="J63">
        <v>72</v>
      </c>
      <c r="K63" t="s">
        <v>8</v>
      </c>
    </row>
    <row r="64" spans="1:11" x14ac:dyDescent="0.25">
      <c r="A64">
        <v>7</v>
      </c>
      <c r="B64" t="s">
        <v>98</v>
      </c>
      <c r="C64">
        <v>1</v>
      </c>
      <c r="D64" t="s">
        <v>97</v>
      </c>
      <c r="E64" t="s">
        <v>94</v>
      </c>
      <c r="F64" t="str">
        <f>IF(ISNUMBER(SEARCH(" by", E64)), LEFT(E64, FIND(" by ",E64) - 1),E64)</f>
        <v>Run</v>
      </c>
      <c r="G64" t="str">
        <f>LEFT(F64,IF(ISNUMBER(SEARCH(" (",F64)),FIND(" (",F64)-1,LEN(F64)))</f>
        <v>Run</v>
      </c>
      <c r="H64" t="str">
        <f>IF(ISNUMBER(SEARCH("(",F64)), LEFT(RIGHT(F64, LEN(F64) - FIND("(",F64)), LEN(RIGHT(F64, LEN(F64) - FIND("(",F64))) - 1), "")</f>
        <v/>
      </c>
      <c r="I64" t="str">
        <f>IF(ISNUMBER(SEARCH(" by",E64)),RIGHT(E64, LEN(E64) - FIND(" by ",E64) - 3),"")</f>
        <v>Liberty Worship Collective</v>
      </c>
      <c r="J64">
        <v>85</v>
      </c>
      <c r="K64" t="s">
        <v>8</v>
      </c>
    </row>
  </sheetData>
  <sortState xmlns:xlrd2="http://schemas.microsoft.com/office/spreadsheetml/2017/richdata2" ref="A2:K64">
    <sortCondition ref="A2:A64"/>
    <sortCondition ref="C2:C6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2021-01-05T21:16:19Z</dcterms:created>
  <dcterms:modified xsi:type="dcterms:W3CDTF">2021-01-06T05:25:09Z</dcterms:modified>
</cp:coreProperties>
</file>