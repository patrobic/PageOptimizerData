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ShaneAndShane\"/>
    </mc:Choice>
  </mc:AlternateContent>
  <xr:revisionPtr revIDLastSave="0" documentId="13_ncr:1_{6BC7E216-03DD-4ACC-A4DC-E3682F72DC47}" xr6:coauthVersionLast="46" xr6:coauthVersionMax="46" xr10:uidLastSave="{00000000-0000-0000-0000-000000000000}"/>
  <bookViews>
    <workbookView xWindow="32475" yWindow="3675" windowWidth="21600" windowHeight="11505" activeTab="1" xr2:uid="{1898BBCD-4A5D-4B3F-9317-061045B18130}"/>
  </bookViews>
  <sheets>
    <sheet name="Statistics" sheetId="5" r:id="rId1"/>
    <sheet name="Albums" sheetId="4" r:id="rId2"/>
    <sheet name="Songs" sheetId="1" r:id="rId3"/>
  </sheets>
  <definedNames>
    <definedName name="_xlnm._FilterDatabase" localSheetId="1" hidden="1">Albums!$A$1:$L$45</definedName>
    <definedName name="_xlnm._FilterDatabase" localSheetId="2" hidden="1">Songs!$A$1:$V$447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2" i="1"/>
  <c r="A2" i="1"/>
  <c r="E3" i="4" l="1"/>
  <c r="E5" i="4"/>
  <c r="E4" i="4"/>
  <c r="E6" i="4"/>
  <c r="E8" i="4"/>
  <c r="E10" i="4"/>
  <c r="E11" i="4"/>
  <c r="E9" i="4"/>
  <c r="E45" i="4" l="1"/>
  <c r="E13" i="4"/>
  <c r="E14" i="4"/>
  <c r="E15" i="4"/>
  <c r="E16" i="4"/>
  <c r="E17" i="4"/>
  <c r="E18" i="4"/>
  <c r="E19" i="4"/>
  <c r="E20" i="4"/>
  <c r="E21" i="4"/>
  <c r="E23" i="4"/>
  <c r="E25" i="4"/>
  <c r="E28" i="4"/>
  <c r="E29" i="4"/>
  <c r="E30" i="4"/>
  <c r="E33" i="4"/>
  <c r="E34" i="4"/>
  <c r="E37" i="4"/>
  <c r="E38" i="4"/>
  <c r="E39" i="4"/>
  <c r="E40" i="4"/>
  <c r="E41" i="4"/>
  <c r="E42" i="4"/>
  <c r="E43" i="4"/>
  <c r="E2" i="4"/>
  <c r="E22" i="4"/>
  <c r="E24" i="4"/>
  <c r="E7" i="4"/>
  <c r="E26" i="4"/>
  <c r="E27" i="4"/>
  <c r="E36" i="4"/>
  <c r="E31" i="4"/>
  <c r="E35" i="4"/>
  <c r="E32" i="4"/>
  <c r="E44" i="4"/>
  <c r="E12" i="4"/>
  <c r="B18" i="5" l="1"/>
  <c r="F17" i="5"/>
  <c r="F13" i="5"/>
  <c r="F5" i="5"/>
  <c r="V403" i="1" l="1"/>
  <c r="V394" i="1"/>
  <c r="V386" i="1"/>
  <c r="V384" i="1"/>
  <c r="V379" i="1"/>
  <c r="V377" i="1"/>
  <c r="V375" i="1"/>
  <c r="V371" i="1"/>
  <c r="V369" i="1"/>
  <c r="V342" i="1"/>
  <c r="V339" i="1"/>
  <c r="V338" i="1"/>
  <c r="V337" i="1"/>
  <c r="V335" i="1"/>
  <c r="V334" i="1"/>
  <c r="V333" i="1"/>
  <c r="V331" i="1"/>
  <c r="V307" i="1"/>
  <c r="V304" i="1"/>
  <c r="V303" i="1"/>
  <c r="V300" i="1"/>
  <c r="V299" i="1"/>
  <c r="V298" i="1"/>
  <c r="V297" i="1"/>
  <c r="V294" i="1"/>
  <c r="V290" i="1"/>
  <c r="V264" i="1"/>
  <c r="V263" i="1"/>
  <c r="V260" i="1"/>
  <c r="V259" i="1"/>
  <c r="V257" i="1"/>
  <c r="V221" i="1"/>
  <c r="V220" i="1"/>
  <c r="V219" i="1"/>
  <c r="V218" i="1"/>
  <c r="V217" i="1"/>
  <c r="V216" i="1"/>
  <c r="V213" i="1"/>
  <c r="V206" i="1"/>
  <c r="V205" i="1"/>
  <c r="V204" i="1"/>
  <c r="V199" i="1"/>
  <c r="V192" i="1"/>
  <c r="V184" i="1"/>
  <c r="V183" i="1"/>
  <c r="V181" i="1"/>
  <c r="V180" i="1"/>
  <c r="V179" i="1"/>
  <c r="V178" i="1"/>
  <c r="V175" i="1"/>
  <c r="V174" i="1"/>
  <c r="V172" i="1"/>
  <c r="V171" i="1"/>
  <c r="V170" i="1"/>
  <c r="V169" i="1"/>
  <c r="V162" i="1"/>
  <c r="V159" i="1"/>
  <c r="V157" i="1"/>
  <c r="V151" i="1"/>
  <c r="V150" i="1"/>
  <c r="V149" i="1"/>
  <c r="V148" i="1"/>
  <c r="V143" i="1"/>
  <c r="V141" i="1"/>
  <c r="V140" i="1"/>
  <c r="V139" i="1"/>
  <c r="V137" i="1"/>
  <c r="V136" i="1"/>
  <c r="V135" i="1"/>
  <c r="V133" i="1"/>
  <c r="V130" i="1"/>
  <c r="V129" i="1"/>
  <c r="V126" i="1"/>
  <c r="V125" i="1"/>
  <c r="V124" i="1"/>
  <c r="V123" i="1"/>
  <c r="V122" i="1"/>
  <c r="V243" i="1"/>
  <c r="V242" i="1"/>
  <c r="V238" i="1"/>
  <c r="V237" i="1"/>
</calcChain>
</file>

<file path=xl/sharedStrings.xml><?xml version="1.0" encoding="utf-8"?>
<sst xmlns="http://schemas.openxmlformats.org/spreadsheetml/2006/main" count="2673" uniqueCount="773">
  <si>
    <t>G</t>
  </si>
  <si>
    <t>O Come All Ye Faithful</t>
  </si>
  <si>
    <t>C</t>
  </si>
  <si>
    <t>Angels We Have Heard On High</t>
  </si>
  <si>
    <t>B</t>
  </si>
  <si>
    <t>Go Tell It On The Mountain</t>
  </si>
  <si>
    <t>Silent Night</t>
  </si>
  <si>
    <t>E</t>
  </si>
  <si>
    <t>Joy To The World</t>
  </si>
  <si>
    <t>F#</t>
  </si>
  <si>
    <t>What Child Is This</t>
  </si>
  <si>
    <t>Come Thou Long Expected Jesus</t>
  </si>
  <si>
    <t>F</t>
  </si>
  <si>
    <t>O Little Town of Bethlehem</t>
  </si>
  <si>
    <t>Hark the Herald Angels Sing</t>
  </si>
  <si>
    <t>A</t>
  </si>
  <si>
    <t>Face of God</t>
  </si>
  <si>
    <t>Away in a Manger</t>
  </si>
  <si>
    <t>Bb</t>
  </si>
  <si>
    <t>It Came Upon A Midnight Clear</t>
  </si>
  <si>
    <t>D</t>
  </si>
  <si>
    <t>Eb</t>
  </si>
  <si>
    <t>Ab</t>
  </si>
  <si>
    <t>Crown Him With Many Crowns</t>
  </si>
  <si>
    <t>My Jesus I Love Thee</t>
  </si>
  <si>
    <t>All Hail The Power of Jesus Name</t>
  </si>
  <si>
    <t>Db</t>
  </si>
  <si>
    <t>Tempo</t>
  </si>
  <si>
    <t>Key</t>
  </si>
  <si>
    <t>The Worship Initiative</t>
  </si>
  <si>
    <t>Title</t>
  </si>
  <si>
    <t>Author</t>
  </si>
  <si>
    <t>Alt Title</t>
  </si>
  <si>
    <t>The Worship Initiative, Vol. 10</t>
  </si>
  <si>
    <t>The Worship Initiative, Vol. 11</t>
  </si>
  <si>
    <t>The Worship Initiative, Vol. 12</t>
  </si>
  <si>
    <t>The Worship Initiative, Vol. 13</t>
  </si>
  <si>
    <t>The Worship Initiative, Vol. 14</t>
  </si>
  <si>
    <t>The Worship Initiative, Vol. 15</t>
  </si>
  <si>
    <t>The Worship Initiative, Vol. 16</t>
  </si>
  <si>
    <t>The Worship Initiative, Vol. 17</t>
  </si>
  <si>
    <t>The Worship Initiative, Vol. 18</t>
  </si>
  <si>
    <t>The Worship Initiative, Vol. 19</t>
  </si>
  <si>
    <t>The Worship Initiative, Vol. 20</t>
  </si>
  <si>
    <t>The Worship Initiative, Vol. 21</t>
  </si>
  <si>
    <t>The Worship Initiative, Vol. 22</t>
  </si>
  <si>
    <t>The Worship Initiative, Vol. 23</t>
  </si>
  <si>
    <t>Done</t>
  </si>
  <si>
    <t>N/A</t>
  </si>
  <si>
    <t>NoNumber</t>
  </si>
  <si>
    <t>Status</t>
  </si>
  <si>
    <t>Joel Houston</t>
  </si>
  <si>
    <t>4/4</t>
  </si>
  <si>
    <t>Hillsong Music Publishing Australia</t>
  </si>
  <si>
    <t>Original Key</t>
  </si>
  <si>
    <t>Tempo (BPM)</t>
  </si>
  <si>
    <t>Time Signature</t>
  </si>
  <si>
    <t>CCLI Song #</t>
  </si>
  <si>
    <t>Publication Year</t>
  </si>
  <si>
    <t>Copyright Holder</t>
  </si>
  <si>
    <t>Chris Tomlin, John Newton</t>
  </si>
  <si>
    <t>sixsteps Music</t>
  </si>
  <si>
    <t>Matt Redman</t>
  </si>
  <si>
    <t>Thankyou Music</t>
  </si>
  <si>
    <t>Ben Fielding, Reuben Morgan</t>
  </si>
  <si>
    <t>3/4</t>
  </si>
  <si>
    <t>Anthony Skinner, Chris McClarney</t>
  </si>
  <si>
    <t>Martin Smith, Stuart Garrard</t>
  </si>
  <si>
    <t>Curious? Music UK</t>
  </si>
  <si>
    <t>Chris Tomlin, Daniel Carson</t>
  </si>
  <si>
    <t>Chris Tomlin, Jesse Reeves</t>
  </si>
  <si>
    <t>Marc Byrd, Steve Hindalong</t>
  </si>
  <si>
    <t>Ab,Bb</t>
  </si>
  <si>
    <t>Never Say Never Songs</t>
  </si>
  <si>
    <t>Billy J. Foote</t>
  </si>
  <si>
    <t>worshiptogether.com songs</t>
  </si>
  <si>
    <t>Stuart Townend</t>
  </si>
  <si>
    <t>Chris Brown, Mack Brock</t>
  </si>
  <si>
    <t>6/8</t>
  </si>
  <si>
    <t>Elevation Worship Publishing</t>
  </si>
  <si>
    <t>Brian Johnson, Hunter Thompson</t>
  </si>
  <si>
    <t>Bethel Music Publishing</t>
  </si>
  <si>
    <t>Anthony Brown, Pat Barrett</t>
  </si>
  <si>
    <t>Capitol CMG Paragon</t>
  </si>
  <si>
    <t>Jonathan D. Helser, Brian Johnson</t>
  </si>
  <si>
    <t>Chris Tomlin, Ed Cash</t>
  </si>
  <si>
    <t>Countless Wonder Publishing</t>
  </si>
  <si>
    <t>Brenton Brown, Brian Johnson</t>
  </si>
  <si>
    <t>Meaux Mercy</t>
  </si>
  <si>
    <t>Ben Fielding, Brooke Ligertwood</t>
  </si>
  <si>
    <t>Jason Ingram, Kristian Stanfill</t>
  </si>
  <si>
    <t>Chris Tomlin, Jason Ingram</t>
  </si>
  <si>
    <t>S. D. G. Publishing</t>
  </si>
  <si>
    <t>Jared Anderson</t>
  </si>
  <si>
    <t>Integrity Worship Music</t>
  </si>
  <si>
    <t>Benjamin Hastings, Dean Ussher</t>
  </si>
  <si>
    <t>Kristian Stanfill, Jason Ingram</t>
  </si>
  <si>
    <t>Kristian Stanfill Publishing Designee</t>
  </si>
  <si>
    <t>John M. McMillan, Sarah McMillan</t>
  </si>
  <si>
    <t>Meaux Jeaux Music</t>
  </si>
  <si>
    <t>Brett Younker, Karl Martin</t>
  </si>
  <si>
    <t>Kaple Music</t>
  </si>
  <si>
    <t>Cory Asbury, Caleb Culver</t>
  </si>
  <si>
    <t>Cory Asbury Publishing</t>
  </si>
  <si>
    <t>Jonas Myrin, Reuben Morgan</t>
  </si>
  <si>
    <t xml:space="preserve"> Hillsong Music Publishing Australia</t>
  </si>
  <si>
    <t>Andres Figueroa, Hank Bentley</t>
  </si>
  <si>
    <t>All Essential Music</t>
  </si>
  <si>
    <t>Phil Wickham, Brian Johnson</t>
  </si>
  <si>
    <t>Phil Wickham Music</t>
  </si>
  <si>
    <t>Joel Houston, Benjamin Hastings</t>
  </si>
  <si>
    <t>2/2</t>
  </si>
  <si>
    <t>Kristene DiMarco, Horatio Spafford</t>
  </si>
  <si>
    <t>3/4+4/4</t>
  </si>
  <si>
    <t>Brooke Ligertwood</t>
  </si>
  <si>
    <t>Joel Houston, Jonas Myrin</t>
  </si>
  <si>
    <t>Jonny Robinson, Rich Thompson</t>
  </si>
  <si>
    <t>CityAlight Music</t>
  </si>
  <si>
    <t>Brooke Ligertwood, Scott Ligertwood</t>
  </si>
  <si>
    <t>Jeff Pardo, Ben Glover</t>
  </si>
  <si>
    <t>9t One Songs</t>
  </si>
  <si>
    <t>Chris Davenport, Joel Houston</t>
  </si>
  <si>
    <t>John W. Chapman, Mark Hall</t>
  </si>
  <si>
    <t>My Refuge Music</t>
  </si>
  <si>
    <t>Joel Houston, Matt Crocker</t>
  </si>
  <si>
    <t>Jeremy Riddle, Josh Farro</t>
  </si>
  <si>
    <t>David Leonard, Leslie Jordan</t>
  </si>
  <si>
    <t>Integrity's Alleluia! Music</t>
  </si>
  <si>
    <t>Christy Nockels, Daniel Carson</t>
  </si>
  <si>
    <t>Keith Getty, Stuart Townend</t>
  </si>
  <si>
    <t>Jonas Myrin, Matt Redman</t>
  </si>
  <si>
    <t>Atlas Mountain Songs</t>
  </si>
  <si>
    <t>Alletrop Music</t>
  </si>
  <si>
    <t>Brenton Brown, Paul Baloche</t>
  </si>
  <si>
    <t>Matt Redman, Jonas Myrin</t>
  </si>
  <si>
    <t>Dennis Jernigan</t>
  </si>
  <si>
    <t>Shepherd's Heart Music, Inc.</t>
  </si>
  <si>
    <t>Paul Baloche</t>
  </si>
  <si>
    <t>Integrity's Hosanna! Music</t>
  </si>
  <si>
    <t>SHOUT! Music Publishing Australia</t>
  </si>
  <si>
    <t>Darlene Zschech</t>
  </si>
  <si>
    <t>Wondrous Worship</t>
  </si>
  <si>
    <t>Charitie L. Bancroft, Vikki Cook</t>
  </si>
  <si>
    <t>Sovereign Grace Worship</t>
  </si>
  <si>
    <t>Tim Hughes</t>
  </si>
  <si>
    <t>Beth Redman, Matt Redman</t>
  </si>
  <si>
    <t>Public Domain</t>
  </si>
  <si>
    <t>Mike Guglielmucci</t>
  </si>
  <si>
    <t>Planetshakers Ministries Int. Inc.</t>
  </si>
  <si>
    <t>Edward Mote, Eric Liljero</t>
  </si>
  <si>
    <t>Elvina M. Hall</t>
  </si>
  <si>
    <t>Krissy Nordhoff, Michael Neale</t>
  </si>
  <si>
    <t>Integrity's Praise! Music</t>
  </si>
  <si>
    <t>Chris Tomlin, Isaac Watts</t>
  </si>
  <si>
    <t>Gloria Gaither, William J. Gaither</t>
  </si>
  <si>
    <t>Hanna Street Music</t>
  </si>
  <si>
    <t>Jennie L. Riddle</t>
  </si>
  <si>
    <t>Gateway Create Publishing</t>
  </si>
  <si>
    <t>Thomas Chisholm, William Runyan</t>
  </si>
  <si>
    <t>Chris Tomlin</t>
  </si>
  <si>
    <t>Brian Johnson, Christa B. Gifford</t>
  </si>
  <si>
    <t>ChristaJoy Music Publishing</t>
  </si>
  <si>
    <t>Matt Maher</t>
  </si>
  <si>
    <t>CCWS?</t>
  </si>
  <si>
    <t>Yes</t>
  </si>
  <si>
    <t>Where You Are</t>
  </si>
  <si>
    <t>Better</t>
  </si>
  <si>
    <t>By The Grace of God</t>
  </si>
  <si>
    <t>Make Room</t>
  </si>
  <si>
    <t>Psalm 13</t>
  </si>
  <si>
    <t>Notes</t>
  </si>
  <si>
    <t>Brian Johnson, Christa Black Gifford</t>
  </si>
  <si>
    <t>Kari Jobe Carnes Music</t>
  </si>
  <si>
    <t>David Leonard, Jason Ingram</t>
  </si>
  <si>
    <t> Integrity's Alleluia! Music</t>
  </si>
  <si>
    <t>Brooke Ligertwood, Matt Crocker</t>
  </si>
  <si>
    <t>Steven Furtick, Matt Redman</t>
  </si>
  <si>
    <t>Said And Done Music</t>
  </si>
  <si>
    <t>CCLI# Accurate</t>
  </si>
  <si>
    <t>Hymns, Vol. 1</t>
  </si>
  <si>
    <t>Hymns, Vol. 2</t>
  </si>
  <si>
    <t>dup</t>
  </si>
  <si>
    <t>WI Lite</t>
  </si>
  <si>
    <t>Lite</t>
  </si>
  <si>
    <t>WI Singles</t>
  </si>
  <si>
    <t>Year</t>
  </si>
  <si>
    <t>Kickstarter Project</t>
  </si>
  <si>
    <t>Prerelease</t>
  </si>
  <si>
    <t>Psalms</t>
  </si>
  <si>
    <t>Not on TWI</t>
  </si>
  <si>
    <t>A Worship Initiative Christmas, Vol. 2</t>
  </si>
  <si>
    <t>Mainly duplicates of Vol. 1</t>
  </si>
  <si>
    <t>Hymns (Live)</t>
  </si>
  <si>
    <t>Lots of duplicates</t>
  </si>
  <si>
    <t>Played live but not included on any album</t>
  </si>
  <si>
    <t>Is He Worthy</t>
  </si>
  <si>
    <t>Tis So Sweet</t>
  </si>
  <si>
    <t>How Great Thou Art</t>
  </si>
  <si>
    <t>Come Thou Fount</t>
  </si>
  <si>
    <t>His Mercy is More</t>
  </si>
  <si>
    <t>Amazing Grace</t>
  </si>
  <si>
    <t>The Lord is My Salvation</t>
  </si>
  <si>
    <t>Holy, Holy, Holy</t>
  </si>
  <si>
    <t>He Will Hold Me Fast</t>
  </si>
  <si>
    <t>There is A Fountain</t>
  </si>
  <si>
    <t>My Worth Is Not In What I Own</t>
  </si>
  <si>
    <t>In Christ Alone</t>
  </si>
  <si>
    <t>Category</t>
  </si>
  <si>
    <t>Count</t>
  </si>
  <si>
    <t>Volume</t>
  </si>
  <si>
    <t>TWI Total</t>
  </si>
  <si>
    <t>Volume 1</t>
  </si>
  <si>
    <t>Vol. 1-12</t>
  </si>
  <si>
    <t>ALL CCWS</t>
  </si>
  <si>
    <t>Hymns</t>
  </si>
  <si>
    <t>ALL Other</t>
  </si>
  <si>
    <t>Volume 2</t>
  </si>
  <si>
    <t>Vol. 13-23</t>
  </si>
  <si>
    <t>TWI Special</t>
  </si>
  <si>
    <t>Christmas</t>
  </si>
  <si>
    <t>From CCWS Xmas</t>
  </si>
  <si>
    <t>From CCWS</t>
  </si>
  <si>
    <t>Extra</t>
  </si>
  <si>
    <t>Other</t>
  </si>
  <si>
    <t>Oceans</t>
  </si>
  <si>
    <t/>
  </si>
  <si>
    <t>Hillsong</t>
  </si>
  <si>
    <t>This Is Amazing Grace</t>
  </si>
  <si>
    <t>Phil Wickham</t>
  </si>
  <si>
    <t>All the Poor and Powerless</t>
  </si>
  <si>
    <t>All Sons &amp; Daughters</t>
  </si>
  <si>
    <t>Lord I Need You</t>
  </si>
  <si>
    <t>Passion</t>
  </si>
  <si>
    <t>Beautiful Things</t>
  </si>
  <si>
    <t>Gungor</t>
  </si>
  <si>
    <t>Vol. 1</t>
  </si>
  <si>
    <t>10,000 Reasons</t>
  </si>
  <si>
    <t>Whom Shall I Fear</t>
  </si>
  <si>
    <t>God of Angel Armies</t>
  </si>
  <si>
    <t>Happy Day</t>
  </si>
  <si>
    <t>Heart Starts Beating</t>
  </si>
  <si>
    <t>Tim Neufeld</t>
  </si>
  <si>
    <t>Hosanna</t>
  </si>
  <si>
    <t>Praise is Rising</t>
  </si>
  <si>
    <t>Forever Reign</t>
  </si>
  <si>
    <t>Mercy</t>
  </si>
  <si>
    <t>How Great Is Our God</t>
  </si>
  <si>
    <t>You Are My All In All</t>
  </si>
  <si>
    <t>We Exalt Thee</t>
  </si>
  <si>
    <t>Pete Sanchez Jr.</t>
  </si>
  <si>
    <t>Our God</t>
  </si>
  <si>
    <t>Open the Eyes of My Heart</t>
  </si>
  <si>
    <t>Better Is One Day</t>
  </si>
  <si>
    <t>So I Can Love</t>
  </si>
  <si>
    <t>I Will Follow</t>
  </si>
  <si>
    <t>Liberty</t>
  </si>
  <si>
    <t>Shane &amp; Shane</t>
  </si>
  <si>
    <t>Oh Lord, You're Beautiful</t>
  </si>
  <si>
    <t>Keith Green</t>
  </si>
  <si>
    <t>How He Loves</t>
  </si>
  <si>
    <t>John Mark McMillan</t>
  </si>
  <si>
    <t>Never Once</t>
  </si>
  <si>
    <t>Shout to the Lord</t>
  </si>
  <si>
    <t>Before The Throne of God Above</t>
  </si>
  <si>
    <t>Beautiful One</t>
  </si>
  <si>
    <t>Blessed Be Your Name</t>
  </si>
  <si>
    <t>I Stand Amazed</t>
  </si>
  <si>
    <t>How Marvelous</t>
  </si>
  <si>
    <t>Our God Is Love</t>
  </si>
  <si>
    <t>Holy Is The Lord</t>
  </si>
  <si>
    <t>Here For You</t>
  </si>
  <si>
    <t>Always</t>
  </si>
  <si>
    <t>Here I Am To Worship</t>
  </si>
  <si>
    <t>Worthy of Affection</t>
  </si>
  <si>
    <t>Healer</t>
  </si>
  <si>
    <t>It Is Well</t>
  </si>
  <si>
    <t>Hymn</t>
  </si>
  <si>
    <t>O Praise Him</t>
  </si>
  <si>
    <t>All This For a King</t>
  </si>
  <si>
    <t>Crowder</t>
  </si>
  <si>
    <t>Cornerstone</t>
  </si>
  <si>
    <t>Reign In Us</t>
  </si>
  <si>
    <t>Starfield</t>
  </si>
  <si>
    <t>Cannons</t>
  </si>
  <si>
    <t>Though You Slay Me</t>
  </si>
  <si>
    <t>Let My Words Be Few</t>
  </si>
  <si>
    <t>I Am Set Free</t>
  </si>
  <si>
    <t>Give Us Clean Hands</t>
  </si>
  <si>
    <t>Jesus Paid It All</t>
  </si>
  <si>
    <t>Your Great Name</t>
  </si>
  <si>
    <t>Natalie Grant</t>
  </si>
  <si>
    <t>The Wonderful Cross</t>
  </si>
  <si>
    <t>Because He Lives</t>
  </si>
  <si>
    <t>William Gaither</t>
  </si>
  <si>
    <t>Now and Always</t>
  </si>
  <si>
    <t>Revelation Song</t>
  </si>
  <si>
    <t>Kari Jobe</t>
  </si>
  <si>
    <t>Great Is Thy Faithfulness</t>
  </si>
  <si>
    <t>The Cross Stands</t>
  </si>
  <si>
    <t>Marvelous Light</t>
  </si>
  <si>
    <t>Charlie Hall</t>
  </si>
  <si>
    <t>Forever</t>
  </si>
  <si>
    <t>Sing Praise</t>
  </si>
  <si>
    <t>One Thing Remains</t>
  </si>
  <si>
    <t>Brian Johnson</t>
  </si>
  <si>
    <t>Lead Me to the Cross</t>
  </si>
  <si>
    <t>Your Grace is Enough</t>
  </si>
  <si>
    <t>You're Beautiful</t>
  </si>
  <si>
    <t>Mighty to Save</t>
  </si>
  <si>
    <t>Glorify Thy Name</t>
  </si>
  <si>
    <t>The Maranatha! Singers</t>
  </si>
  <si>
    <t>Desert Song</t>
  </si>
  <si>
    <t>Holy and Anointed One</t>
  </si>
  <si>
    <t>Brian Doerksen</t>
  </si>
  <si>
    <t>Where Would I Be</t>
  </si>
  <si>
    <t>Patrick Ryan Clark</t>
  </si>
  <si>
    <t>Everything is Different</t>
  </si>
  <si>
    <t>Everlasting God</t>
  </si>
  <si>
    <t>Brenton Brown</t>
  </si>
  <si>
    <t>I Will Exalt You</t>
  </si>
  <si>
    <t>The Stand</t>
  </si>
  <si>
    <t>Indescribable</t>
  </si>
  <si>
    <t>I Give You My Heart</t>
  </si>
  <si>
    <t>Nothing But The Blood</t>
  </si>
  <si>
    <t>No Sweeter Name</t>
  </si>
  <si>
    <t>You Never Let Go</t>
  </si>
  <si>
    <t>Enough</t>
  </si>
  <si>
    <t>My Chains Are Gone</t>
  </si>
  <si>
    <t>Alive Again</t>
  </si>
  <si>
    <t>Yearn</t>
  </si>
  <si>
    <t>Your Love Is Strong</t>
  </si>
  <si>
    <t>Jon Foreman</t>
  </si>
  <si>
    <t>I'm Yours</t>
  </si>
  <si>
    <t>Heart of Worship</t>
  </si>
  <si>
    <t>From The Inside Out</t>
  </si>
  <si>
    <t>Stronger</t>
  </si>
  <si>
    <t>That's How You Forgive</t>
  </si>
  <si>
    <t>Christ Is Risen</t>
  </si>
  <si>
    <t>He is Exalted</t>
  </si>
  <si>
    <t>Twila Paris</t>
  </si>
  <si>
    <t>When the Stars Burn Down</t>
  </si>
  <si>
    <t>Phillips Craig &amp; Dean</t>
  </si>
  <si>
    <t>Your Name</t>
  </si>
  <si>
    <t>God is Able</t>
  </si>
  <si>
    <t>Your Love Never Fails</t>
  </si>
  <si>
    <t>Chris McClarney</t>
  </si>
  <si>
    <t>Your Grace Finds Me</t>
  </si>
  <si>
    <t>I Found It All</t>
  </si>
  <si>
    <t>Majesty</t>
  </si>
  <si>
    <t>Delirious</t>
  </si>
  <si>
    <t>Jesus Messiah</t>
  </si>
  <si>
    <t>I Will Rise</t>
  </si>
  <si>
    <t>God of Wonders</t>
  </si>
  <si>
    <t>Third Day</t>
  </si>
  <si>
    <t>You Are My King</t>
  </si>
  <si>
    <t>Amazing Love</t>
  </si>
  <si>
    <t>How Deep the Father's Love for Us</t>
  </si>
  <si>
    <t>God of Ages Past</t>
  </si>
  <si>
    <t>Seas of Crimson</t>
  </si>
  <si>
    <t>This I Believe</t>
  </si>
  <si>
    <t>Scandal of Grace</t>
  </si>
  <si>
    <t>Hillsong United</t>
  </si>
  <si>
    <t>We Sing Hallelujah</t>
  </si>
  <si>
    <t>Jesus Loves Me</t>
  </si>
  <si>
    <t>Christ Be All Around Me</t>
  </si>
  <si>
    <t>You Make Me Brave</t>
  </si>
  <si>
    <t>Amanda Cook</t>
  </si>
  <si>
    <t>Great Are You Lord</t>
  </si>
  <si>
    <t>Man of Sorrows</t>
  </si>
  <si>
    <t>O Come To The Altar</t>
  </si>
  <si>
    <t>Elevation Worship</t>
  </si>
  <si>
    <t>Open Up The Heavens</t>
  </si>
  <si>
    <t>Vertical</t>
  </si>
  <si>
    <t>Be Enthroned</t>
  </si>
  <si>
    <t>Jeremy Riddle</t>
  </si>
  <si>
    <t>Good Good Father</t>
  </si>
  <si>
    <t>HouseFires</t>
  </si>
  <si>
    <t>Holy Spirit</t>
  </si>
  <si>
    <t>Bryan &amp; Katie Torwalt</t>
  </si>
  <si>
    <t>Girls</t>
  </si>
  <si>
    <t>No Longer Slaves</t>
  </si>
  <si>
    <t>Jonathan David &amp; Melissa Helser</t>
  </si>
  <si>
    <t>At The Cross</t>
  </si>
  <si>
    <t>Love Ran Red</t>
  </si>
  <si>
    <t>Praise The King</t>
  </si>
  <si>
    <t>Corey Voss</t>
  </si>
  <si>
    <t>Sovereign Over Us</t>
  </si>
  <si>
    <t>Aaron Keyes</t>
  </si>
  <si>
    <t>Trust You</t>
  </si>
  <si>
    <t>You're Worthy of It All</t>
  </si>
  <si>
    <t>Jesus We Love You</t>
  </si>
  <si>
    <t>Paul McClure</t>
  </si>
  <si>
    <t>Lion and The Lamb</t>
  </si>
  <si>
    <t>Leeland</t>
  </si>
  <si>
    <t>Alive</t>
  </si>
  <si>
    <t>Hillsong Young &amp; Free</t>
  </si>
  <si>
    <t>Ever Be</t>
  </si>
  <si>
    <t>Kalley Heiligenthal</t>
  </si>
  <si>
    <t>Guys</t>
  </si>
  <si>
    <t>What A Beautiful Name</t>
  </si>
  <si>
    <t>Hillsong Worship</t>
  </si>
  <si>
    <t>Once For All</t>
  </si>
  <si>
    <t>Come As You Are</t>
  </si>
  <si>
    <t>The Lord Our God</t>
  </si>
  <si>
    <t>Even So Come</t>
  </si>
  <si>
    <t>Great I Am</t>
  </si>
  <si>
    <t>O Praise The Name</t>
  </si>
  <si>
    <t>How Can It Be</t>
  </si>
  <si>
    <t>Lauren Daigle</t>
  </si>
  <si>
    <t>Love So Great</t>
  </si>
  <si>
    <t>Glorious Day</t>
  </si>
  <si>
    <t>King of My Heart</t>
  </si>
  <si>
    <t>John Mark &amp; Sarah McMillan</t>
  </si>
  <si>
    <t>God I Look To You</t>
  </si>
  <si>
    <t>Jenn Johnson</t>
  </si>
  <si>
    <t>Worthy of Your Name</t>
  </si>
  <si>
    <t>Build My Life</t>
  </si>
  <si>
    <t>Housefires</t>
  </si>
  <si>
    <t>Lamb of God</t>
  </si>
  <si>
    <t>Here's My Heart</t>
  </si>
  <si>
    <t>Death Was Arrested</t>
  </si>
  <si>
    <t>North Point InsideOut</t>
  </si>
  <si>
    <t>Reckless Love</t>
  </si>
  <si>
    <t>Cory Asbury</t>
  </si>
  <si>
    <t>Your Love Awakens Me</t>
  </si>
  <si>
    <t>Christ Is Enough</t>
  </si>
  <si>
    <t>Tremble</t>
  </si>
  <si>
    <t>Mosaic MSC</t>
  </si>
  <si>
    <t>Resurrecting</t>
  </si>
  <si>
    <t>Elevation</t>
  </si>
  <si>
    <t>Life Defined</t>
  </si>
  <si>
    <t>Do It Again</t>
  </si>
  <si>
    <t>Living Hope</t>
  </si>
  <si>
    <t>Who You Say I Am</t>
  </si>
  <si>
    <t>This We Know</t>
  </si>
  <si>
    <t>Behold</t>
  </si>
  <si>
    <t>Then Sings My Soul</t>
  </si>
  <si>
    <t>So Will I</t>
  </si>
  <si>
    <t>100 Billion X</t>
  </si>
  <si>
    <t>Let It Be Jesus</t>
  </si>
  <si>
    <t>Look To The Son</t>
  </si>
  <si>
    <t>Chain Breaker</t>
  </si>
  <si>
    <t>Zach Williams</t>
  </si>
  <si>
    <t>Goodness of God</t>
  </si>
  <si>
    <t>Touch the Sky</t>
  </si>
  <si>
    <t>Lean Back</t>
  </si>
  <si>
    <t>Capital City Worship</t>
  </si>
  <si>
    <t>Give Us Your Heart</t>
  </si>
  <si>
    <t>Melanie Tierce-Slay</t>
  </si>
  <si>
    <t>Isn't He</t>
  </si>
  <si>
    <t>The Belonging Co.</t>
  </si>
  <si>
    <t>Kristene DiMarco</t>
  </si>
  <si>
    <t>Jesus is Better</t>
  </si>
  <si>
    <t>Austin Stone Worship</t>
  </si>
  <si>
    <t>New Wine</t>
  </si>
  <si>
    <t>I Shall Not Want</t>
  </si>
  <si>
    <t>Audrey Assad</t>
  </si>
  <si>
    <t>Holy Ground</t>
  </si>
  <si>
    <t>Defender</t>
  </si>
  <si>
    <t>Rita Springer</t>
  </si>
  <si>
    <t>Broken Vessels</t>
  </si>
  <si>
    <t>All Hail King Jesus</t>
  </si>
  <si>
    <t>Yet Not I But Through Christ in Me</t>
  </si>
  <si>
    <t>CityAlight</t>
  </si>
  <si>
    <t>How Great is Your Love</t>
  </si>
  <si>
    <t>King of Kings</t>
  </si>
  <si>
    <t>Jesus You Alone</t>
  </si>
  <si>
    <t>Highlands Worship</t>
  </si>
  <si>
    <t>Stand in Your Love</t>
  </si>
  <si>
    <t>Josh Baldwin</t>
  </si>
  <si>
    <t>The Way</t>
  </si>
  <si>
    <t>New Horizon</t>
  </si>
  <si>
    <t>Pat Barrett</t>
  </si>
  <si>
    <t>Yes I Will</t>
  </si>
  <si>
    <t>Vertical Worship</t>
  </si>
  <si>
    <t>Hallelujah For The Cross</t>
  </si>
  <si>
    <t>Great Things</t>
  </si>
  <si>
    <t>Another In the Fire</t>
  </si>
  <si>
    <t>Alabaster Heart</t>
  </si>
  <si>
    <t>Kalley</t>
  </si>
  <si>
    <t>Yes and Amen</t>
  </si>
  <si>
    <t>Heart of God</t>
  </si>
  <si>
    <t>Only A Holy God</t>
  </si>
  <si>
    <t>Christ Is Mine Forevermore</t>
  </si>
  <si>
    <t>All I Have Is Christ</t>
  </si>
  <si>
    <t>Jordan Kauflin</t>
  </si>
  <si>
    <t>Faithful</t>
  </si>
  <si>
    <t>Erik Nieder</t>
  </si>
  <si>
    <t>Blessed Assurance</t>
  </si>
  <si>
    <t>King of Glory</t>
  </si>
  <si>
    <t>Passion Music</t>
  </si>
  <si>
    <t>Behold the Lamb</t>
  </si>
  <si>
    <t>The Passion</t>
  </si>
  <si>
    <t>You Cannot Be Stopped</t>
  </si>
  <si>
    <t>Phil Wickham and Chris Quilala</t>
  </si>
  <si>
    <t>His Heart Beats</t>
  </si>
  <si>
    <t>Andrew Peterson</t>
  </si>
  <si>
    <t>Jesus, Only Jesus</t>
  </si>
  <si>
    <t>Christ Our Hope in Life and Death</t>
  </si>
  <si>
    <t>Getty Music</t>
  </si>
  <si>
    <t>My Victory</t>
  </si>
  <si>
    <t>Living He Loved Me</t>
  </si>
  <si>
    <t>Casting Crowns</t>
  </si>
  <si>
    <t>Overcome</t>
  </si>
  <si>
    <t>There's A River</t>
  </si>
  <si>
    <t>Bethany Barnard</t>
  </si>
  <si>
    <t>Doxology//Amen</t>
  </si>
  <si>
    <t>Graves Into Gardens</t>
  </si>
  <si>
    <t>What A Friend We Have In Jesus</t>
  </si>
  <si>
    <t>Sing To Jesus</t>
  </si>
  <si>
    <t>Fernando Ortega</t>
  </si>
  <si>
    <t>Faithful To the End</t>
  </si>
  <si>
    <t>Paul and Hannah McClure</t>
  </si>
  <si>
    <t>Hymn of Surrender</t>
  </si>
  <si>
    <t>I Surrender All</t>
  </si>
  <si>
    <t>All I Am</t>
  </si>
  <si>
    <t>There's Nothing That Our God Can't Do</t>
  </si>
  <si>
    <t>The Blessing</t>
  </si>
  <si>
    <t>Kari Jobe, Cody Carnes, Elevation Worship</t>
  </si>
  <si>
    <t>Come Ye Sinners</t>
  </si>
  <si>
    <t>New Jerusalem</t>
  </si>
  <si>
    <t>Jon Guerra</t>
  </si>
  <si>
    <t>Promises</t>
  </si>
  <si>
    <t>Maverick City</t>
  </si>
  <si>
    <t>Nothing Without You</t>
  </si>
  <si>
    <t>United Pursuit</t>
  </si>
  <si>
    <t>Such An Awesome God</t>
  </si>
  <si>
    <t>Maverick City, Anthony Evans</t>
  </si>
  <si>
    <t>At Your Name</t>
  </si>
  <si>
    <t>You Keep On Getting Better</t>
  </si>
  <si>
    <t>The Story I'll Tell</t>
  </si>
  <si>
    <t>Jesus, Firm Foundation</t>
  </si>
  <si>
    <t>Robbie Seay</t>
  </si>
  <si>
    <t>Crowns</t>
  </si>
  <si>
    <t>My Truest Praise</t>
  </si>
  <si>
    <t>Run To the Father</t>
  </si>
  <si>
    <t>Cody Carnes</t>
  </si>
  <si>
    <t>You Keep Hope Alive</t>
  </si>
  <si>
    <t>Jon Reddick, Mandisa</t>
  </si>
  <si>
    <t>Miracle Or Not</t>
  </si>
  <si>
    <t>Alisa Turner</t>
  </si>
  <si>
    <t>No One Ever Cared For Me Like Jesus</t>
  </si>
  <si>
    <t>Steffany Gretzinger</t>
  </si>
  <si>
    <t>Give Me Jesus</t>
  </si>
  <si>
    <t>Above All Else</t>
  </si>
  <si>
    <t>Keith &amp; Kristyn Getty</t>
  </si>
  <si>
    <t>We Bow Before Thee</t>
  </si>
  <si>
    <t>In Christ Alone [Hymns]</t>
  </si>
  <si>
    <t>Keith Getty</t>
  </si>
  <si>
    <t>There Is A Fountain</t>
  </si>
  <si>
    <t>Full of Love</t>
  </si>
  <si>
    <t>I Will Wait For You</t>
  </si>
  <si>
    <t>Psalm 130</t>
  </si>
  <si>
    <t>Be Thou My Vision</t>
  </si>
  <si>
    <t>Lord You Are</t>
  </si>
  <si>
    <t>Turn Your Eyes Upon Jesus</t>
  </si>
  <si>
    <t>Praise to the Lord</t>
  </si>
  <si>
    <t>Joyful, Joyful</t>
  </si>
  <si>
    <t>Oh Lord Almighty</t>
  </si>
  <si>
    <t>Power of the Cross</t>
  </si>
  <si>
    <t>Keith and Kristyn Getty</t>
  </si>
  <si>
    <t>Come Behold the Wondrous Mystery</t>
  </si>
  <si>
    <t>Matt Boswell</t>
  </si>
  <si>
    <t>Living Waters</t>
  </si>
  <si>
    <t>As the Deer</t>
  </si>
  <si>
    <t>O Holy Night</t>
  </si>
  <si>
    <t>The First Noel</t>
  </si>
  <si>
    <t>O Come O Come Emmanuel</t>
  </si>
  <si>
    <t>Little Drummer Boy</t>
  </si>
  <si>
    <t>Love Comes Down</t>
  </si>
  <si>
    <t>Michael Farren</t>
  </si>
  <si>
    <t>Joy to the World</t>
  </si>
  <si>
    <t>Breath of Heaven</t>
  </si>
  <si>
    <t>Amy Grant</t>
  </si>
  <si>
    <t>Winter Snow</t>
  </si>
  <si>
    <t>Sing We The Song of Emmanuel</t>
  </si>
  <si>
    <t>Vol. 3</t>
  </si>
  <si>
    <t>Oh Holy Night</t>
  </si>
  <si>
    <t>Psalm 46</t>
  </si>
  <si>
    <t>Lord of Hosts</t>
  </si>
  <si>
    <t>Psalm 45</t>
  </si>
  <si>
    <t>Fairest of All</t>
  </si>
  <si>
    <t>Psalm 34</t>
  </si>
  <si>
    <t>Taste and See</t>
  </si>
  <si>
    <t>Psalm 51</t>
  </si>
  <si>
    <t>Wisdom in the Secret Heart</t>
  </si>
  <si>
    <t>Psalm 139</t>
  </si>
  <si>
    <t>Far Too Wonderful</t>
  </si>
  <si>
    <t>Psalm 98</t>
  </si>
  <si>
    <t>Sing Unto The Lord</t>
  </si>
  <si>
    <t>Psalm 91</t>
  </si>
  <si>
    <t>On Eagles' Wings</t>
  </si>
  <si>
    <t>Psalm 63</t>
  </si>
  <si>
    <t>Better than Life</t>
  </si>
  <si>
    <t>Psalm 16</t>
  </si>
  <si>
    <t>Fullness of Joy</t>
  </si>
  <si>
    <t>Take Over</t>
  </si>
  <si>
    <t>Psalm 27</t>
  </si>
  <si>
    <t>One Thing</t>
  </si>
  <si>
    <t>Psalm 23</t>
  </si>
  <si>
    <t>Surely Goodness, Surely Mercy</t>
  </si>
  <si>
    <t>Battle Belongs</t>
  </si>
  <si>
    <t>Raise A Hallelujah</t>
  </si>
  <si>
    <t>Peace</t>
  </si>
  <si>
    <t>Bigger Than I Thought</t>
  </si>
  <si>
    <t>Sinking Deep</t>
  </si>
  <si>
    <t>Psalm 145</t>
  </si>
  <si>
    <t>The One You'll Find</t>
  </si>
  <si>
    <t>Great Reward</t>
  </si>
  <si>
    <t>Run</t>
  </si>
  <si>
    <t>Liberty Worship Collective</t>
  </si>
  <si>
    <t>CCLI#</t>
  </si>
  <si>
    <t>Album</t>
  </si>
  <si>
    <t>Band</t>
  </si>
  <si>
    <t>Type</t>
  </si>
  <si>
    <t>TWI</t>
  </si>
  <si>
    <t>Unreleased</t>
  </si>
  <si>
    <t>Live</t>
  </si>
  <si>
    <t>Tracks</t>
  </si>
  <si>
    <t>Studio</t>
  </si>
  <si>
    <t>In List?</t>
  </si>
  <si>
    <t>A Worship Initiative Christmas, Vol. 1</t>
  </si>
  <si>
    <t>The Worship Initiative, Vol. 01</t>
  </si>
  <si>
    <t>The Worship Initiative, Vol. 02</t>
  </si>
  <si>
    <t>The Worship Initiative, Vol. 03</t>
  </si>
  <si>
    <t>The Worship Initiative, Vol. 04</t>
  </si>
  <si>
    <t>The Worship Initiative, Vol. 05</t>
  </si>
  <si>
    <t>The Worship Initiative, Vol. 06</t>
  </si>
  <si>
    <t>The Worship Initiative, Vol. 07</t>
  </si>
  <si>
    <t>The Worship Initiative, Vol. 08</t>
  </si>
  <si>
    <t>The Worship Initiative, Vol. 09</t>
  </si>
  <si>
    <t>Release Date</t>
  </si>
  <si>
    <t>Psalms, Vol. 2</t>
  </si>
  <si>
    <t>Psalms, Vol. 1</t>
  </si>
  <si>
    <t>Track</t>
  </si>
  <si>
    <t>Meredith Willson</t>
  </si>
  <si>
    <t>Irving Berlin</t>
  </si>
  <si>
    <t>Shane Barnard</t>
  </si>
  <si>
    <t>Barnard, Shane Everett</t>
  </si>
  <si>
    <t>Psalms 98</t>
  </si>
  <si>
    <t>Psalms 145</t>
  </si>
  <si>
    <t>Psalms 13</t>
  </si>
  <si>
    <t>Psalms 46</t>
  </si>
  <si>
    <t>Psalms 45</t>
  </si>
  <si>
    <t>Psalms 91</t>
  </si>
  <si>
    <t>Psalms 34</t>
  </si>
  <si>
    <t>Psalms 63</t>
  </si>
  <si>
    <t>Psalms 23</t>
  </si>
  <si>
    <t>Exclude</t>
  </si>
  <si>
    <t>Breath of God</t>
  </si>
  <si>
    <t>Unto You</t>
  </si>
  <si>
    <t>The Answer</t>
  </si>
  <si>
    <t>Waiting Room</t>
  </si>
  <si>
    <t>Job 19</t>
  </si>
  <si>
    <t>Praise the Name of Jesus</t>
  </si>
  <si>
    <t>We've Come to Declare</t>
  </si>
  <si>
    <t>You Said</t>
  </si>
  <si>
    <t>Hosea</t>
  </si>
  <si>
    <t>It's Beginning to Look Like Christmas</t>
  </si>
  <si>
    <t>Born to Die</t>
  </si>
  <si>
    <t>White Christmas</t>
  </si>
  <si>
    <t>Holiday</t>
  </si>
  <si>
    <t>Glory in the Highest</t>
  </si>
  <si>
    <t>O Come Let Us Adore Him</t>
  </si>
  <si>
    <t>Revive Me</t>
  </si>
  <si>
    <t>Psalm 143</t>
  </si>
  <si>
    <t>This Is the Day</t>
  </si>
  <si>
    <t>Psalm 118</t>
  </si>
  <si>
    <t>James Huey</t>
  </si>
  <si>
    <t>Barnard, Kendall Combs</t>
  </si>
  <si>
    <t>Carry Away</t>
  </si>
  <si>
    <t>Barnard, Will Hunt</t>
  </si>
  <si>
    <t>Upstairs</t>
  </si>
  <si>
    <t>Barnard</t>
  </si>
  <si>
    <t>Barnard, Robbie Seay</t>
  </si>
  <si>
    <t>Martin Nystrom</t>
  </si>
  <si>
    <t>Clean</t>
  </si>
  <si>
    <t>Pages</t>
  </si>
  <si>
    <t>Barnard, Everett</t>
  </si>
  <si>
    <t>Barnard, Matt Maher, David Nassar</t>
  </si>
  <si>
    <t>Everything Is Different</t>
  </si>
  <si>
    <t>The Lord's Prayer</t>
  </si>
  <si>
    <t>I'm Alive</t>
  </si>
  <si>
    <t>For the Good</t>
  </si>
  <si>
    <t>Rain Down</t>
  </si>
  <si>
    <t>This is Who I Am</t>
  </si>
  <si>
    <t>Turn Down the Music</t>
  </si>
  <si>
    <t>My Hope is Built</t>
  </si>
  <si>
    <t>Shane Barnard, Shane Everett, Jimmy Needham</t>
  </si>
  <si>
    <t>Barnard, Everett, Jason Ingram</t>
  </si>
  <si>
    <t>Barnard, Everett, Ingram</t>
  </si>
  <si>
    <t>The One You Need</t>
  </si>
  <si>
    <t>Bring Your Nothing</t>
  </si>
  <si>
    <t>My Audience</t>
  </si>
  <si>
    <t>With One Word</t>
  </si>
  <si>
    <t>Before the Throne</t>
  </si>
  <si>
    <t>Our God Is Greater</t>
  </si>
  <si>
    <t>Barren Land</t>
  </si>
  <si>
    <t>Be Near</t>
  </si>
  <si>
    <t>Mercy Reigns</t>
  </si>
  <si>
    <t>Song of Surrender</t>
  </si>
  <si>
    <t>I Want It All</t>
  </si>
  <si>
    <t>When I Think About the Lord</t>
  </si>
  <si>
    <t>Beauty for Ashes</t>
  </si>
  <si>
    <t>Sweet Illumination</t>
  </si>
  <si>
    <t>Hearts of Servants</t>
  </si>
  <si>
    <t>The Blood</t>
  </si>
  <si>
    <t>Water of the Word</t>
  </si>
  <si>
    <t>Holy</t>
  </si>
  <si>
    <t>I Miss You</t>
  </si>
  <si>
    <t>May the Few</t>
  </si>
  <si>
    <t>Still at Shore</t>
  </si>
  <si>
    <t>Chapter One</t>
  </si>
  <si>
    <t>Saved by Grace</t>
  </si>
  <si>
    <t>Fringes</t>
  </si>
  <si>
    <t>He Is Exalted</t>
  </si>
  <si>
    <t>Waging War</t>
  </si>
  <si>
    <t>Make Believe Jesus</t>
  </si>
  <si>
    <t>You and I</t>
  </si>
  <si>
    <t>God Did</t>
  </si>
  <si>
    <t>Acres of Hope</t>
  </si>
  <si>
    <t>There Is None Like You</t>
  </si>
  <si>
    <t>Your Grace Is Sufficient</t>
  </si>
  <si>
    <t>Vision of You</t>
  </si>
  <si>
    <t>We Love You Jesus</t>
  </si>
  <si>
    <t>Burns Us Up</t>
  </si>
  <si>
    <t>Over the Sun</t>
  </si>
  <si>
    <t>Interlude</t>
  </si>
  <si>
    <t>Beg</t>
  </si>
  <si>
    <t>In You</t>
  </si>
  <si>
    <t>Psalm 62</t>
  </si>
  <si>
    <t>Bad Days Better</t>
  </si>
  <si>
    <t>Embracing Accusation</t>
  </si>
  <si>
    <t>Before the Throne of God Above</t>
  </si>
  <si>
    <t>Wounded</t>
  </si>
  <si>
    <t>Healed</t>
  </si>
  <si>
    <t>You Say, I'm Rich</t>
  </si>
  <si>
    <t>Your Love</t>
  </si>
  <si>
    <t>Without You</t>
  </si>
  <si>
    <t>Future Vision</t>
  </si>
  <si>
    <t>Because He's God</t>
  </si>
  <si>
    <t>Miracle</t>
  </si>
  <si>
    <t>Victory</t>
  </si>
  <si>
    <t>Running to You</t>
  </si>
  <si>
    <t>Grace Is Sufficient</t>
  </si>
  <si>
    <t>Lift Up the Light</t>
  </si>
  <si>
    <t>Praise Him</t>
  </si>
  <si>
    <t>I Came Alive</t>
  </si>
  <si>
    <t>You Loved My Heart to Death</t>
  </si>
  <si>
    <t>Eyes on You</t>
  </si>
  <si>
    <t>In A Little While</t>
  </si>
  <si>
    <t>Crucify Him</t>
  </si>
  <si>
    <t>Without Jesus</t>
  </si>
  <si>
    <t>Faith to Believe</t>
  </si>
  <si>
    <t>Radio Version</t>
  </si>
  <si>
    <t>My Portion</t>
  </si>
  <si>
    <t>Psalm 73</t>
  </si>
  <si>
    <t>Original</t>
  </si>
  <si>
    <t>April 22, 2003</t>
  </si>
  <si>
    <t>May 18, 2004</t>
  </si>
  <si>
    <t>October 19, 2004</t>
  </si>
  <si>
    <t>August 28, 2007</t>
  </si>
  <si>
    <t>Good God</t>
  </si>
  <si>
    <t>Brian and Jenn Johnson</t>
  </si>
  <si>
    <t>Community Music, Elyssa Smith, The Church Will Sing</t>
  </si>
  <si>
    <t>Mission House</t>
  </si>
  <si>
    <t>AlbumArt</t>
  </si>
  <si>
    <t>Glory in the Highest, A Christmas Record</t>
  </si>
  <si>
    <t>Dare 2 Share, Unending Worship</t>
  </si>
  <si>
    <t>YES</t>
  </si>
  <si>
    <t>Psalms (Live)</t>
  </si>
  <si>
    <t>A Worship Initiative Christmas, Vol. 3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</si>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</sst>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C2A29"/>
      <name val="Calibri"/>
      <family val="2"/>
      <scheme val="minor"/>
    </font>
    <font>
      <sz val="10"/>
      <color rgb="FF999999"/>
      <name val="Adelle"/>
    </font>
    <font>
      <sz val="8"/>
      <name val="Calibri"/>
      <family val="2"/>
      <scheme val="minor"/>
    </font>
    <font>
      <sz val="11"/>
      <color rgb="FF202122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applyFont="1"/>
    <xf numFmtId="16" fontId="0" fillId="0" borderId="0" xfId="0" quotePrefix="1" applyNumberFormat="1" applyAlignment="1">
      <alignment horizontal="left"/>
    </xf>
    <xf numFmtId="0" fontId="0" fillId="0" borderId="0" xfId="0" applyFont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/>
    <xf numFmtId="0" fontId="0" fillId="0" borderId="6" xfId="0" applyBorder="1"/>
    <xf numFmtId="0" fontId="0" fillId="0" borderId="7" xfId="0" applyBorder="1"/>
    <xf numFmtId="0" fontId="1" fillId="0" borderId="5" xfId="0" applyFont="1" applyBorder="1"/>
    <xf numFmtId="0" fontId="0" fillId="0" borderId="8" xfId="0" applyBorder="1"/>
    <xf numFmtId="0" fontId="1" fillId="0" borderId="9" xfId="0" applyFont="1" applyBorder="1"/>
    <xf numFmtId="0" fontId="0" fillId="0" borderId="9" xfId="0" applyBorder="1"/>
    <xf numFmtId="0" fontId="0" fillId="0" borderId="9" xfId="0" applyFont="1" applyBorder="1"/>
    <xf numFmtId="15" fontId="6" fillId="0" borderId="9" xfId="0" applyNumberFormat="1" applyFont="1" applyBorder="1"/>
    <xf numFmtId="15" fontId="7" fillId="0" borderId="9" xfId="0" applyNumberFormat="1" applyFont="1" applyBorder="1"/>
    <xf numFmtId="0" fontId="1" fillId="0" borderId="0" xfId="0" applyFont="1" applyBorder="1"/>
    <xf numFmtId="0" fontId="0" fillId="0" borderId="0" xfId="0" applyBorder="1"/>
    <xf numFmtId="0" fontId="0" fillId="0" borderId="0" xfId="0" applyFont="1" applyBorder="1"/>
    <xf numFmtId="0" fontId="4" fillId="0" borderId="9" xfId="0" applyFont="1" applyBorder="1"/>
    <xf numFmtId="20" fontId="0" fillId="0" borderId="0" xfId="0" applyNumberFormat="1" applyFont="1"/>
    <xf numFmtId="15" fontId="0" fillId="0" borderId="9" xfId="0" applyNumberFormat="1" applyBorder="1"/>
    <xf numFmtId="15" fontId="6" fillId="0" borderId="0" xfId="0" applyNumberFormat="1" applyFont="1" applyBorder="1"/>
    <xf numFmtId="15" fontId="0" fillId="0" borderId="0" xfId="0" applyNumberFormat="1" applyBorder="1"/>
    <xf numFmtId="15" fontId="0" fillId="0" borderId="0" xfId="0" applyNumberFormat="1" applyFont="1" applyBorder="1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CC93B-3F7D-4E4A-86E4-184C84FED0D7}">
  <dimension ref="A1:F18"/>
  <sheetViews>
    <sheetView workbookViewId="0"/>
  </sheetViews>
  <sheetFormatPr defaultRowHeight="15"/>
  <cols>
    <col min="1" max="1" width="16.42578125" bestFit="1" customWidth="1"/>
    <col min="2" max="2" width="6.28515625" bestFit="1" customWidth="1"/>
    <col min="4" max="4" width="9.42578125" bestFit="1" customWidth="1"/>
    <col min="5" max="5" width="16.42578125" bestFit="1" customWidth="1"/>
    <col min="6" max="6" width="6.28515625" bestFit="1" customWidth="1"/>
  </cols>
  <sheetData>
    <row r="1" spans="1:6">
      <c r="A1" s="11" t="s">
        <v>207</v>
      </c>
      <c r="B1" s="12" t="s">
        <v>208</v>
      </c>
      <c r="D1" s="11" t="s">
        <v>209</v>
      </c>
      <c r="E1" s="13" t="s">
        <v>207</v>
      </c>
      <c r="F1" s="12" t="s">
        <v>208</v>
      </c>
    </row>
    <row r="2" spans="1:6">
      <c r="A2" s="14" t="s">
        <v>210</v>
      </c>
      <c r="B2" s="15">
        <v>232</v>
      </c>
      <c r="D2" s="16" t="s">
        <v>211</v>
      </c>
      <c r="E2" t="s">
        <v>212</v>
      </c>
      <c r="F2" s="15">
        <v>124</v>
      </c>
    </row>
    <row r="3" spans="1:6">
      <c r="A3" s="14" t="s">
        <v>213</v>
      </c>
      <c r="B3" s="15">
        <v>186</v>
      </c>
      <c r="D3" s="14"/>
      <c r="E3" t="s">
        <v>214</v>
      </c>
      <c r="F3" s="15">
        <v>20</v>
      </c>
    </row>
    <row r="4" spans="1:6">
      <c r="A4" s="17" t="s">
        <v>215</v>
      </c>
      <c r="B4" s="18">
        <v>163</v>
      </c>
      <c r="D4" s="14"/>
      <c r="E4" t="s">
        <v>188</v>
      </c>
      <c r="F4" s="15">
        <v>12</v>
      </c>
    </row>
    <row r="5" spans="1:6">
      <c r="D5" s="14"/>
      <c r="F5" s="19">
        <f>SUM(F2:F4)</f>
        <v>156</v>
      </c>
    </row>
    <row r="6" spans="1:6">
      <c r="A6" s="11" t="s">
        <v>207</v>
      </c>
      <c r="B6" s="12" t="s">
        <v>208</v>
      </c>
      <c r="D6" s="14"/>
      <c r="F6" s="15"/>
    </row>
    <row r="7" spans="1:6">
      <c r="A7" s="14" t="s">
        <v>212</v>
      </c>
      <c r="B7" s="15">
        <v>124</v>
      </c>
      <c r="D7" s="16" t="s">
        <v>216</v>
      </c>
      <c r="E7" t="s">
        <v>217</v>
      </c>
      <c r="F7" s="15">
        <v>98</v>
      </c>
    </row>
    <row r="8" spans="1:6">
      <c r="A8" s="14" t="s">
        <v>217</v>
      </c>
      <c r="B8" s="15">
        <v>98</v>
      </c>
      <c r="D8" s="14"/>
      <c r="E8" t="s">
        <v>218</v>
      </c>
      <c r="F8" s="15">
        <v>10</v>
      </c>
    </row>
    <row r="9" spans="1:6">
      <c r="A9" s="14" t="s">
        <v>218</v>
      </c>
      <c r="B9" s="15">
        <v>10</v>
      </c>
      <c r="D9" s="14"/>
      <c r="E9" t="s">
        <v>182</v>
      </c>
      <c r="F9" s="15">
        <v>10</v>
      </c>
    </row>
    <row r="10" spans="1:6">
      <c r="A10" s="14" t="s">
        <v>182</v>
      </c>
      <c r="B10" s="15">
        <v>10</v>
      </c>
      <c r="D10" s="14"/>
      <c r="E10" t="s">
        <v>184</v>
      </c>
      <c r="F10" s="15">
        <v>1</v>
      </c>
    </row>
    <row r="11" spans="1:6">
      <c r="A11" s="14" t="s">
        <v>184</v>
      </c>
      <c r="B11" s="15">
        <v>1</v>
      </c>
      <c r="D11" s="14"/>
      <c r="E11" t="s">
        <v>219</v>
      </c>
      <c r="F11" s="15">
        <v>20</v>
      </c>
    </row>
    <row r="12" spans="1:6">
      <c r="A12" s="14" t="s">
        <v>214</v>
      </c>
      <c r="B12" s="15">
        <v>20</v>
      </c>
      <c r="D12" s="14"/>
      <c r="E12" t="s">
        <v>220</v>
      </c>
      <c r="F12" s="15">
        <v>6</v>
      </c>
    </row>
    <row r="13" spans="1:6">
      <c r="A13" s="14" t="s">
        <v>219</v>
      </c>
      <c r="B13" s="15">
        <v>20</v>
      </c>
      <c r="D13" s="14"/>
      <c r="F13" s="19">
        <f>SUM(F7:F12)</f>
        <v>145</v>
      </c>
    </row>
    <row r="14" spans="1:6">
      <c r="A14" s="14" t="s">
        <v>188</v>
      </c>
      <c r="B14" s="15">
        <v>12</v>
      </c>
      <c r="D14" s="14"/>
      <c r="F14" s="15"/>
    </row>
    <row r="15" spans="1:6">
      <c r="A15" s="14" t="s">
        <v>221</v>
      </c>
      <c r="B15" s="15">
        <v>94</v>
      </c>
      <c r="D15" s="16" t="s">
        <v>222</v>
      </c>
      <c r="E15" t="s">
        <v>221</v>
      </c>
      <c r="F15" s="15">
        <v>94</v>
      </c>
    </row>
    <row r="16" spans="1:6">
      <c r="A16" s="14" t="s">
        <v>220</v>
      </c>
      <c r="B16" s="15">
        <v>6</v>
      </c>
      <c r="D16" s="17"/>
      <c r="E16" s="20" t="s">
        <v>223</v>
      </c>
      <c r="F16" s="18">
        <v>69</v>
      </c>
    </row>
    <row r="17" spans="1:6">
      <c r="A17" s="17" t="s">
        <v>223</v>
      </c>
      <c r="B17" s="18">
        <v>69</v>
      </c>
      <c r="F17" s="1">
        <f>SUM(F15:F16)</f>
        <v>163</v>
      </c>
    </row>
    <row r="18" spans="1:6">
      <c r="B18">
        <f>SUM(B7:B17)</f>
        <v>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38DB-1163-456B-BC9E-225A80C0FB38}">
  <dimension ref="A1:L45"/>
  <sheetViews>
    <sheetView tabSelected="1" workbookViewId="0">
      <pane ySplit="1" topLeftCell="A29" activePane="bottomLeft" state="frozen"/>
      <selection pane="bottomLeft" activeCell="K44" sqref="K44"/>
    </sheetView>
  </sheetViews>
  <sheetFormatPr defaultRowHeight="15"/>
  <cols>
    <col min="1" max="1" width="4.28515625" bestFit="1" customWidth="1"/>
    <col min="3" max="3" width="37.28515625" bestFit="1" customWidth="1"/>
    <col min="4" max="5" width="9.140625" customWidth="1"/>
    <col min="7" max="9" width="9.140625" customWidth="1"/>
    <col min="10" max="10" width="15.7109375" style="22" bestFit="1" customWidth="1"/>
    <col min="11" max="11" width="9.140625" style="27" customWidth="1"/>
  </cols>
  <sheetData>
    <row r="1" spans="1:12" s="1" customFormat="1">
      <c r="A1" s="1" t="s">
        <v>772</v>
      </c>
      <c r="B1" s="1" t="s">
        <v>185</v>
      </c>
      <c r="C1" s="1" t="s">
        <v>30</v>
      </c>
      <c r="D1" s="1" t="s">
        <v>618</v>
      </c>
      <c r="E1" s="1" t="s">
        <v>620</v>
      </c>
      <c r="F1" s="1" t="s">
        <v>613</v>
      </c>
      <c r="G1" s="1" t="s">
        <v>614</v>
      </c>
      <c r="H1" s="1" t="s">
        <v>207</v>
      </c>
      <c r="I1" s="1" t="s">
        <v>648</v>
      </c>
      <c r="J1" s="21" t="s">
        <v>631</v>
      </c>
      <c r="K1" s="26" t="s">
        <v>766</v>
      </c>
      <c r="L1" s="1" t="s">
        <v>170</v>
      </c>
    </row>
    <row r="2" spans="1:12">
      <c r="A2">
        <v>1</v>
      </c>
      <c r="B2">
        <v>2002</v>
      </c>
      <c r="C2" t="s">
        <v>633</v>
      </c>
      <c r="D2">
        <v>13</v>
      </c>
      <c r="E2" t="str">
        <f>IF(COUNTIF(Songs!$C:$C,C2)&gt;0,"","NO")</f>
        <v/>
      </c>
      <c r="G2" t="s">
        <v>619</v>
      </c>
      <c r="H2" t="s">
        <v>188</v>
      </c>
      <c r="I2" t="s">
        <v>648</v>
      </c>
      <c r="J2" s="24">
        <v>37411</v>
      </c>
      <c r="K2" s="32" t="s">
        <v>769</v>
      </c>
      <c r="L2" t="s">
        <v>189</v>
      </c>
    </row>
    <row r="3" spans="1:12">
      <c r="A3">
        <v>2</v>
      </c>
      <c r="B3">
        <v>2003</v>
      </c>
      <c r="C3" t="s">
        <v>670</v>
      </c>
      <c r="D3">
        <v>13</v>
      </c>
      <c r="E3" t="str">
        <f>IF(COUNTIF(Songs!$C:$C,C3)&gt;0,"","NO")</f>
        <v/>
      </c>
      <c r="F3" t="s">
        <v>757</v>
      </c>
      <c r="G3" t="s">
        <v>619</v>
      </c>
      <c r="I3" t="s">
        <v>648</v>
      </c>
      <c r="J3" s="24" t="s">
        <v>758</v>
      </c>
      <c r="K3" s="34" t="s">
        <v>769</v>
      </c>
    </row>
    <row r="4" spans="1:12">
      <c r="A4">
        <v>3</v>
      </c>
      <c r="B4">
        <v>2004</v>
      </c>
      <c r="C4" t="s">
        <v>676</v>
      </c>
      <c r="D4">
        <v>11</v>
      </c>
      <c r="E4" t="str">
        <f>IF(COUNTIF(Songs!$C:$C,C4)&gt;0,"","NO")</f>
        <v/>
      </c>
      <c r="F4" t="s">
        <v>757</v>
      </c>
      <c r="G4" t="s">
        <v>619</v>
      </c>
      <c r="I4" t="s">
        <v>648</v>
      </c>
      <c r="J4" s="24" t="s">
        <v>760</v>
      </c>
      <c r="K4" s="34" t="s">
        <v>769</v>
      </c>
    </row>
    <row r="5" spans="1:12">
      <c r="A5">
        <v>4</v>
      </c>
      <c r="B5">
        <v>2004</v>
      </c>
      <c r="C5" t="s">
        <v>672</v>
      </c>
      <c r="D5">
        <v>10</v>
      </c>
      <c r="E5" t="str">
        <f>IF(COUNTIF(Songs!$C:$C,C5)&gt;0,"","NO")</f>
        <v/>
      </c>
      <c r="F5" t="s">
        <v>757</v>
      </c>
      <c r="G5" t="s">
        <v>619</v>
      </c>
      <c r="I5" t="s">
        <v>648</v>
      </c>
      <c r="J5" s="24" t="s">
        <v>759</v>
      </c>
      <c r="K5" s="34" t="s">
        <v>769</v>
      </c>
    </row>
    <row r="6" spans="1:12">
      <c r="A6">
        <v>5</v>
      </c>
      <c r="B6">
        <v>2007</v>
      </c>
      <c r="C6" t="s">
        <v>677</v>
      </c>
      <c r="D6">
        <v>15</v>
      </c>
      <c r="E6" t="str">
        <f>IF(COUNTIF(Songs!$C:$C,C6)&gt;0,"","NO")</f>
        <v/>
      </c>
      <c r="F6" t="s">
        <v>757</v>
      </c>
      <c r="G6" t="s">
        <v>619</v>
      </c>
      <c r="I6" t="s">
        <v>648</v>
      </c>
      <c r="J6" s="24" t="s">
        <v>761</v>
      </c>
      <c r="K6" s="34" t="s">
        <v>769</v>
      </c>
    </row>
    <row r="7" spans="1:12">
      <c r="A7">
        <v>6</v>
      </c>
      <c r="B7">
        <v>2008</v>
      </c>
      <c r="C7" t="s">
        <v>767</v>
      </c>
      <c r="D7">
        <v>10</v>
      </c>
      <c r="E7" t="str">
        <f>IF(COUNTIF(Songs!$C:$C,C7)&gt;0,"","NO")</f>
        <v/>
      </c>
      <c r="G7" t="s">
        <v>619</v>
      </c>
      <c r="H7" t="s">
        <v>219</v>
      </c>
      <c r="I7" t="s">
        <v>648</v>
      </c>
      <c r="J7" s="24">
        <v>39735</v>
      </c>
      <c r="K7" s="32" t="s">
        <v>769</v>
      </c>
      <c r="L7" t="s">
        <v>189</v>
      </c>
    </row>
    <row r="8" spans="1:12">
      <c r="A8">
        <v>7</v>
      </c>
      <c r="B8">
        <v>2009</v>
      </c>
      <c r="C8" t="s">
        <v>680</v>
      </c>
      <c r="D8">
        <v>15</v>
      </c>
      <c r="E8" t="str">
        <f>IF(COUNTIF(Songs!$C:$C,C8)&gt;0,"","NO")</f>
        <v/>
      </c>
      <c r="F8" t="s">
        <v>757</v>
      </c>
      <c r="G8" t="s">
        <v>619</v>
      </c>
      <c r="I8" t="s">
        <v>648</v>
      </c>
      <c r="J8" s="24">
        <v>40120</v>
      </c>
      <c r="K8" s="34" t="s">
        <v>769</v>
      </c>
    </row>
    <row r="9" spans="1:12">
      <c r="A9">
        <v>8</v>
      </c>
      <c r="B9">
        <v>2010</v>
      </c>
      <c r="C9" t="s">
        <v>768</v>
      </c>
      <c r="D9">
        <v>10</v>
      </c>
      <c r="E9" t="str">
        <f>IF(COUNTIF(Songs!$C:$C,C9)&gt;0,"","NO")</f>
        <v/>
      </c>
      <c r="F9" t="s">
        <v>757</v>
      </c>
      <c r="G9" t="s">
        <v>619</v>
      </c>
      <c r="I9" t="s">
        <v>648</v>
      </c>
      <c r="J9" s="24">
        <v>40470</v>
      </c>
      <c r="K9" s="34" t="s">
        <v>769</v>
      </c>
    </row>
    <row r="10" spans="1:12">
      <c r="A10">
        <v>9</v>
      </c>
      <c r="B10">
        <v>2011</v>
      </c>
      <c r="C10" t="s">
        <v>691</v>
      </c>
      <c r="D10">
        <v>12</v>
      </c>
      <c r="E10" t="str">
        <f>IF(COUNTIF(Songs!$C:$C,C10)&gt;0,"","NO")</f>
        <v/>
      </c>
      <c r="F10" t="s">
        <v>757</v>
      </c>
      <c r="G10" t="s">
        <v>619</v>
      </c>
      <c r="I10" t="s">
        <v>648</v>
      </c>
      <c r="J10" s="31">
        <v>40820</v>
      </c>
      <c r="K10" s="33" t="s">
        <v>769</v>
      </c>
    </row>
    <row r="11" spans="1:12">
      <c r="A11">
        <v>10</v>
      </c>
      <c r="B11">
        <v>2013</v>
      </c>
      <c r="C11" t="s">
        <v>692</v>
      </c>
      <c r="D11">
        <v>11</v>
      </c>
      <c r="E11" t="str">
        <f>IF(COUNTIF(Songs!$C:$C,C11)&gt;0,"","NO")</f>
        <v/>
      </c>
      <c r="F11" t="s">
        <v>757</v>
      </c>
      <c r="G11" t="s">
        <v>619</v>
      </c>
      <c r="I11" t="s">
        <v>648</v>
      </c>
      <c r="J11" s="31">
        <v>41408</v>
      </c>
      <c r="K11" s="33" t="s">
        <v>769</v>
      </c>
    </row>
    <row r="12" spans="1:12">
      <c r="A12">
        <v>11</v>
      </c>
      <c r="B12">
        <v>2014</v>
      </c>
      <c r="C12" t="s">
        <v>622</v>
      </c>
      <c r="D12">
        <v>10</v>
      </c>
      <c r="E12" t="str">
        <f>IF(COUNTIF(Songs!$C:$C,C12)&gt;0,"","NO")</f>
        <v/>
      </c>
      <c r="F12" t="s">
        <v>615</v>
      </c>
      <c r="G12" t="s">
        <v>619</v>
      </c>
      <c r="J12" s="24">
        <v>41765</v>
      </c>
      <c r="K12" s="32" t="s">
        <v>769</v>
      </c>
    </row>
    <row r="13" spans="1:12">
      <c r="A13">
        <v>12</v>
      </c>
      <c r="B13">
        <v>2014</v>
      </c>
      <c r="C13" t="s">
        <v>623</v>
      </c>
      <c r="D13">
        <v>10</v>
      </c>
      <c r="E13" t="str">
        <f>IF(COUNTIF(Songs!$C:$C,C13)&gt;0,"","NO")</f>
        <v/>
      </c>
      <c r="F13" t="s">
        <v>615</v>
      </c>
      <c r="G13" t="s">
        <v>619</v>
      </c>
      <c r="J13" s="24">
        <v>41786</v>
      </c>
      <c r="K13" s="32" t="s">
        <v>769</v>
      </c>
    </row>
    <row r="14" spans="1:12">
      <c r="A14">
        <v>13</v>
      </c>
      <c r="B14">
        <v>2014</v>
      </c>
      <c r="C14" t="s">
        <v>624</v>
      </c>
      <c r="D14">
        <v>10</v>
      </c>
      <c r="E14" t="str">
        <f>IF(COUNTIF(Songs!$C:$C,C14)&gt;0,"","NO")</f>
        <v/>
      </c>
      <c r="F14" t="s">
        <v>615</v>
      </c>
      <c r="G14" t="s">
        <v>619</v>
      </c>
      <c r="J14" s="24">
        <v>41807</v>
      </c>
      <c r="K14" s="32" t="s">
        <v>769</v>
      </c>
    </row>
    <row r="15" spans="1:12">
      <c r="A15">
        <v>14</v>
      </c>
      <c r="B15">
        <v>2014</v>
      </c>
      <c r="C15" t="s">
        <v>625</v>
      </c>
      <c r="D15">
        <v>10</v>
      </c>
      <c r="E15" t="str">
        <f>IF(COUNTIF(Songs!$C:$C,C15)&gt;0,"","NO")</f>
        <v/>
      </c>
      <c r="F15" t="s">
        <v>615</v>
      </c>
      <c r="G15" t="s">
        <v>619</v>
      </c>
      <c r="J15" s="24">
        <v>41828</v>
      </c>
      <c r="K15" s="32" t="s">
        <v>769</v>
      </c>
    </row>
    <row r="16" spans="1:12">
      <c r="A16">
        <v>15</v>
      </c>
      <c r="B16">
        <v>2014</v>
      </c>
      <c r="C16" t="s">
        <v>626</v>
      </c>
      <c r="D16">
        <v>10</v>
      </c>
      <c r="E16" t="str">
        <f>IF(COUNTIF(Songs!$C:$C,C16)&gt;0,"","NO")</f>
        <v/>
      </c>
      <c r="F16" t="s">
        <v>615</v>
      </c>
      <c r="G16" t="s">
        <v>619</v>
      </c>
      <c r="J16" s="24">
        <v>41849</v>
      </c>
      <c r="K16" s="32" t="s">
        <v>769</v>
      </c>
    </row>
    <row r="17" spans="1:12">
      <c r="A17">
        <v>16</v>
      </c>
      <c r="B17">
        <v>2014</v>
      </c>
      <c r="C17" t="s">
        <v>627</v>
      </c>
      <c r="D17">
        <v>10</v>
      </c>
      <c r="E17" t="str">
        <f>IF(COUNTIF(Songs!$C:$C,C17)&gt;0,"","NO")</f>
        <v/>
      </c>
      <c r="F17" t="s">
        <v>615</v>
      </c>
      <c r="G17" t="s">
        <v>619</v>
      </c>
      <c r="J17" s="24">
        <v>41872</v>
      </c>
      <c r="K17" s="32" t="s">
        <v>769</v>
      </c>
    </row>
    <row r="18" spans="1:12">
      <c r="A18">
        <v>17</v>
      </c>
      <c r="B18">
        <v>2014</v>
      </c>
      <c r="C18" t="s">
        <v>628</v>
      </c>
      <c r="D18">
        <v>10</v>
      </c>
      <c r="E18" t="str">
        <f>IF(COUNTIF(Songs!$C:$C,C18)&gt;0,"","NO")</f>
        <v/>
      </c>
      <c r="F18" t="s">
        <v>615</v>
      </c>
      <c r="G18" t="s">
        <v>619</v>
      </c>
      <c r="J18" s="24">
        <v>41891</v>
      </c>
      <c r="K18" s="32" t="s">
        <v>769</v>
      </c>
    </row>
    <row r="19" spans="1:12">
      <c r="A19">
        <v>18</v>
      </c>
      <c r="B19">
        <v>2014</v>
      </c>
      <c r="C19" t="s">
        <v>629</v>
      </c>
      <c r="D19">
        <v>10</v>
      </c>
      <c r="E19" t="str">
        <f>IF(COUNTIF(Songs!$C:$C,C19)&gt;0,"","NO")</f>
        <v/>
      </c>
      <c r="F19" t="s">
        <v>615</v>
      </c>
      <c r="G19" t="s">
        <v>619</v>
      </c>
      <c r="J19" s="24">
        <v>41912</v>
      </c>
      <c r="K19" s="32" t="s">
        <v>769</v>
      </c>
    </row>
    <row r="20" spans="1:12">
      <c r="A20">
        <v>19</v>
      </c>
      <c r="B20">
        <v>2014</v>
      </c>
      <c r="C20" t="s">
        <v>630</v>
      </c>
      <c r="D20">
        <v>10</v>
      </c>
      <c r="E20" t="str">
        <f>IF(COUNTIF(Songs!$C:$C,C20)&gt;0,"","NO")</f>
        <v/>
      </c>
      <c r="F20" t="s">
        <v>615</v>
      </c>
      <c r="G20" t="s">
        <v>619</v>
      </c>
      <c r="J20" s="24">
        <v>41933</v>
      </c>
      <c r="K20" s="32" t="s">
        <v>769</v>
      </c>
    </row>
    <row r="21" spans="1:12">
      <c r="A21">
        <v>20</v>
      </c>
      <c r="B21">
        <v>2014</v>
      </c>
      <c r="C21" t="s">
        <v>33</v>
      </c>
      <c r="D21">
        <v>10</v>
      </c>
      <c r="E21" t="str">
        <f>IF(COUNTIF(Songs!$C:$C,C21)&gt;0,"","NO")</f>
        <v/>
      </c>
      <c r="F21" t="s">
        <v>615</v>
      </c>
      <c r="G21" t="s">
        <v>619</v>
      </c>
      <c r="J21" s="24">
        <v>41961</v>
      </c>
      <c r="K21" s="32" t="s">
        <v>769</v>
      </c>
    </row>
    <row r="22" spans="1:12">
      <c r="A22">
        <v>21</v>
      </c>
      <c r="B22">
        <v>2015</v>
      </c>
      <c r="C22" t="s">
        <v>632</v>
      </c>
      <c r="D22">
        <v>12</v>
      </c>
      <c r="E22" t="str">
        <f>IF(COUNTIF(Songs!$C:$C,C22)&gt;0,"","NO")</f>
        <v/>
      </c>
      <c r="G22" t="s">
        <v>619</v>
      </c>
      <c r="H22" t="s">
        <v>188</v>
      </c>
      <c r="J22" s="24">
        <v>42300</v>
      </c>
      <c r="K22" s="32" t="s">
        <v>769</v>
      </c>
    </row>
    <row r="23" spans="1:12">
      <c r="A23">
        <v>22</v>
      </c>
      <c r="B23">
        <v>2015</v>
      </c>
      <c r="C23" t="s">
        <v>29</v>
      </c>
      <c r="D23">
        <v>10</v>
      </c>
      <c r="E23" t="str">
        <f>IF(COUNTIF(Songs!$C:$C,C23)&gt;0,"","NO")</f>
        <v/>
      </c>
      <c r="F23" t="s">
        <v>615</v>
      </c>
      <c r="G23" t="s">
        <v>619</v>
      </c>
      <c r="J23" s="24">
        <v>42122</v>
      </c>
      <c r="K23" s="32" t="s">
        <v>769</v>
      </c>
      <c r="L23" t="s">
        <v>186</v>
      </c>
    </row>
    <row r="24" spans="1:12">
      <c r="A24">
        <v>23</v>
      </c>
      <c r="B24">
        <v>2016</v>
      </c>
      <c r="C24" t="s">
        <v>770</v>
      </c>
      <c r="D24">
        <v>13</v>
      </c>
      <c r="E24" t="str">
        <f>IF(COUNTIF(Songs!$C:$C,C24)&gt;0,"","NO")</f>
        <v/>
      </c>
      <c r="G24" t="s">
        <v>617</v>
      </c>
      <c r="H24" t="s">
        <v>188</v>
      </c>
      <c r="I24" t="s">
        <v>648</v>
      </c>
      <c r="J24" s="24">
        <v>42698</v>
      </c>
      <c r="K24" s="32" t="s">
        <v>769</v>
      </c>
      <c r="L24" t="s">
        <v>189</v>
      </c>
    </row>
    <row r="25" spans="1:12">
      <c r="A25">
        <v>24</v>
      </c>
      <c r="B25">
        <v>2016</v>
      </c>
      <c r="C25" t="s">
        <v>34</v>
      </c>
      <c r="D25">
        <v>11</v>
      </c>
      <c r="E25" t="str">
        <f>IF(COUNTIF(Songs!$C:$C,C25)&gt;0,"","NO")</f>
        <v/>
      </c>
      <c r="F25" t="s">
        <v>615</v>
      </c>
      <c r="G25" t="s">
        <v>619</v>
      </c>
      <c r="J25" s="24">
        <v>42643</v>
      </c>
      <c r="K25" s="32" t="s">
        <v>769</v>
      </c>
    </row>
    <row r="26" spans="1:12">
      <c r="A26">
        <v>25</v>
      </c>
      <c r="B26">
        <v>2017</v>
      </c>
      <c r="C26" s="8" t="s">
        <v>621</v>
      </c>
      <c r="D26">
        <v>10</v>
      </c>
      <c r="E26" t="str">
        <f>IF(COUNTIF(Songs!$C:$C,C26)&gt;0,"","NO")</f>
        <v/>
      </c>
      <c r="G26" t="s">
        <v>619</v>
      </c>
      <c r="H26" t="s">
        <v>219</v>
      </c>
      <c r="J26" s="24">
        <v>42839</v>
      </c>
      <c r="K26" s="32" t="s">
        <v>769</v>
      </c>
    </row>
    <row r="27" spans="1:12">
      <c r="A27">
        <v>26</v>
      </c>
      <c r="B27">
        <v>2017</v>
      </c>
      <c r="C27" t="s">
        <v>190</v>
      </c>
      <c r="D27">
        <v>10</v>
      </c>
      <c r="E27" t="str">
        <f>IF(COUNTIF(Songs!$C:$C,C27)&gt;0,"","NO")</f>
        <v/>
      </c>
      <c r="G27" t="s">
        <v>619</v>
      </c>
      <c r="H27" t="s">
        <v>219</v>
      </c>
      <c r="J27" s="24">
        <v>42839</v>
      </c>
      <c r="K27" s="32" t="s">
        <v>769</v>
      </c>
    </row>
    <row r="28" spans="1:12">
      <c r="A28">
        <v>27</v>
      </c>
      <c r="B28">
        <v>2017</v>
      </c>
      <c r="C28" t="s">
        <v>35</v>
      </c>
      <c r="D28">
        <v>13</v>
      </c>
      <c r="E28" t="str">
        <f>IF(COUNTIF(Songs!$C:$C,C28)&gt;0,"","NO")</f>
        <v/>
      </c>
      <c r="F28" t="s">
        <v>615</v>
      </c>
      <c r="G28" t="s">
        <v>619</v>
      </c>
      <c r="J28" s="24">
        <v>42839</v>
      </c>
      <c r="K28" s="32" t="s">
        <v>769</v>
      </c>
    </row>
    <row r="29" spans="1:12">
      <c r="A29">
        <v>28</v>
      </c>
      <c r="B29">
        <v>2017</v>
      </c>
      <c r="C29" t="s">
        <v>36</v>
      </c>
      <c r="D29">
        <v>5</v>
      </c>
      <c r="E29" t="str">
        <f>IF(COUNTIF(Songs!$C:$C,C29)&gt;0,"","NO")</f>
        <v/>
      </c>
      <c r="F29" t="s">
        <v>615</v>
      </c>
      <c r="G29" t="s">
        <v>619</v>
      </c>
      <c r="J29" s="24">
        <v>43000</v>
      </c>
      <c r="K29" s="32" t="s">
        <v>769</v>
      </c>
    </row>
    <row r="30" spans="1:12">
      <c r="A30">
        <v>29</v>
      </c>
      <c r="B30">
        <v>2017</v>
      </c>
      <c r="C30" t="s">
        <v>37</v>
      </c>
      <c r="D30">
        <v>5</v>
      </c>
      <c r="E30" t="str">
        <f>IF(COUNTIF(Songs!$C:$C,C30)&gt;0,"","NO")</f>
        <v/>
      </c>
      <c r="F30" t="s">
        <v>615</v>
      </c>
      <c r="G30" t="s">
        <v>619</v>
      </c>
      <c r="J30" s="24">
        <v>43039</v>
      </c>
      <c r="K30" s="32" t="s">
        <v>769</v>
      </c>
    </row>
    <row r="31" spans="1:12">
      <c r="A31">
        <v>30</v>
      </c>
      <c r="B31">
        <v>2018</v>
      </c>
      <c r="C31" t="s">
        <v>179</v>
      </c>
      <c r="D31">
        <v>10</v>
      </c>
      <c r="E31" t="str">
        <f>IF(COUNTIF(Songs!$C:$C,C31)&gt;0,"","NO")</f>
        <v/>
      </c>
      <c r="G31" t="s">
        <v>619</v>
      </c>
      <c r="H31" t="s">
        <v>214</v>
      </c>
      <c r="J31" s="24">
        <v>43350</v>
      </c>
      <c r="K31" s="32" t="s">
        <v>769</v>
      </c>
    </row>
    <row r="32" spans="1:12">
      <c r="A32">
        <v>31</v>
      </c>
      <c r="B32">
        <v>2018</v>
      </c>
      <c r="C32" t="s">
        <v>180</v>
      </c>
      <c r="D32">
        <v>10</v>
      </c>
      <c r="E32" t="str">
        <f>IF(COUNTIF(Songs!$C:$C,C32)&gt;0,"","NO")</f>
        <v/>
      </c>
      <c r="G32" t="s">
        <v>619</v>
      </c>
      <c r="H32" t="s">
        <v>214</v>
      </c>
      <c r="J32" s="24">
        <v>43700</v>
      </c>
      <c r="K32" s="32" t="s">
        <v>769</v>
      </c>
    </row>
    <row r="33" spans="1:12">
      <c r="A33">
        <v>32</v>
      </c>
      <c r="B33">
        <v>2018</v>
      </c>
      <c r="C33" t="s">
        <v>38</v>
      </c>
      <c r="D33">
        <v>5</v>
      </c>
      <c r="E33" t="str">
        <f>IF(COUNTIF(Songs!$C:$C,C33)&gt;0,"","NO")</f>
        <v/>
      </c>
      <c r="F33" t="s">
        <v>615</v>
      </c>
      <c r="G33" t="s">
        <v>619</v>
      </c>
      <c r="J33" s="24">
        <v>43145</v>
      </c>
      <c r="K33" s="32" t="s">
        <v>769</v>
      </c>
    </row>
    <row r="34" spans="1:12">
      <c r="A34">
        <v>33</v>
      </c>
      <c r="B34">
        <v>2018</v>
      </c>
      <c r="C34" t="s">
        <v>39</v>
      </c>
      <c r="D34">
        <v>10</v>
      </c>
      <c r="E34" t="str">
        <f>IF(COUNTIF(Songs!$C:$C,C34)&gt;0,"","NO")</f>
        <v/>
      </c>
      <c r="F34" t="s">
        <v>615</v>
      </c>
      <c r="G34" t="s">
        <v>619</v>
      </c>
      <c r="J34" s="24">
        <v>43297</v>
      </c>
      <c r="K34" s="32" t="s">
        <v>769</v>
      </c>
    </row>
    <row r="35" spans="1:12">
      <c r="A35">
        <v>34</v>
      </c>
      <c r="B35">
        <v>2019</v>
      </c>
      <c r="C35" t="s">
        <v>192</v>
      </c>
      <c r="D35">
        <v>13</v>
      </c>
      <c r="E35" t="str">
        <f>IF(COUNTIF(Songs!$C:$C,C35)&gt;0,"","NO")</f>
        <v/>
      </c>
      <c r="G35" t="s">
        <v>617</v>
      </c>
      <c r="H35" t="s">
        <v>214</v>
      </c>
      <c r="J35" s="24">
        <v>43504</v>
      </c>
      <c r="K35" s="32" t="s">
        <v>769</v>
      </c>
      <c r="L35" t="s">
        <v>193</v>
      </c>
    </row>
    <row r="36" spans="1:12">
      <c r="A36">
        <v>35</v>
      </c>
      <c r="B36">
        <v>2019</v>
      </c>
      <c r="C36" t="s">
        <v>771</v>
      </c>
      <c r="D36">
        <v>5</v>
      </c>
      <c r="E36" t="str">
        <f>IF(COUNTIF(Songs!$C:$C,C36)&gt;0,"","NO")</f>
        <v/>
      </c>
      <c r="G36" t="s">
        <v>619</v>
      </c>
      <c r="H36" t="s">
        <v>219</v>
      </c>
      <c r="I36" t="s">
        <v>648</v>
      </c>
      <c r="J36" s="24">
        <v>43797</v>
      </c>
      <c r="K36" s="32" t="s">
        <v>769</v>
      </c>
      <c r="L36" t="s">
        <v>191</v>
      </c>
    </row>
    <row r="37" spans="1:12">
      <c r="A37">
        <v>36</v>
      </c>
      <c r="B37">
        <v>2019</v>
      </c>
      <c r="C37" t="s">
        <v>40</v>
      </c>
      <c r="D37">
        <v>12</v>
      </c>
      <c r="E37" t="str">
        <f>IF(COUNTIF(Songs!$C:$C,C37)&gt;0,"","NO")</f>
        <v/>
      </c>
      <c r="F37" t="s">
        <v>615</v>
      </c>
      <c r="G37" t="s">
        <v>619</v>
      </c>
      <c r="J37" s="24">
        <v>43630</v>
      </c>
      <c r="K37" s="32" t="s">
        <v>769</v>
      </c>
    </row>
    <row r="38" spans="1:12">
      <c r="A38">
        <v>37</v>
      </c>
      <c r="B38">
        <v>2020</v>
      </c>
      <c r="C38" t="s">
        <v>41</v>
      </c>
      <c r="D38">
        <v>10</v>
      </c>
      <c r="E38" t="str">
        <f>IF(COUNTIF(Songs!$C:$C,C38)&gt;0,"","NO")</f>
        <v/>
      </c>
      <c r="F38" t="s">
        <v>615</v>
      </c>
      <c r="G38" t="s">
        <v>619</v>
      </c>
      <c r="J38" s="24">
        <v>43847</v>
      </c>
      <c r="K38" s="32" t="s">
        <v>769</v>
      </c>
    </row>
    <row r="39" spans="1:12">
      <c r="A39">
        <v>38</v>
      </c>
      <c r="B39">
        <v>2020</v>
      </c>
      <c r="C39" t="s">
        <v>42</v>
      </c>
      <c r="D39">
        <v>10</v>
      </c>
      <c r="E39" t="str">
        <f>IF(COUNTIF(Songs!$C:$C,C39)&gt;0,"","NO")</f>
        <v/>
      </c>
      <c r="F39" t="s">
        <v>615</v>
      </c>
      <c r="G39" t="s">
        <v>619</v>
      </c>
      <c r="J39" s="24">
        <v>43889</v>
      </c>
      <c r="K39" s="32" t="s">
        <v>769</v>
      </c>
    </row>
    <row r="40" spans="1:12">
      <c r="A40">
        <v>39</v>
      </c>
      <c r="B40">
        <v>2020</v>
      </c>
      <c r="C40" t="s">
        <v>43</v>
      </c>
      <c r="D40">
        <v>10</v>
      </c>
      <c r="E40" t="str">
        <f>IF(COUNTIF(Songs!$C:$C,C40)&gt;0,"","NO")</f>
        <v/>
      </c>
      <c r="F40" t="s">
        <v>615</v>
      </c>
      <c r="G40" t="s">
        <v>619</v>
      </c>
      <c r="J40" s="25">
        <v>43924</v>
      </c>
      <c r="K40" s="32" t="s">
        <v>769</v>
      </c>
    </row>
    <row r="41" spans="1:12">
      <c r="A41">
        <v>40</v>
      </c>
      <c r="B41">
        <v>2020</v>
      </c>
      <c r="C41" t="s">
        <v>44</v>
      </c>
      <c r="D41">
        <v>10</v>
      </c>
      <c r="E41" t="str">
        <f>IF(COUNTIF(Songs!$C:$C,C41)&gt;0,"","NO")</f>
        <v/>
      </c>
      <c r="F41" t="s">
        <v>615</v>
      </c>
      <c r="G41" t="s">
        <v>619</v>
      </c>
      <c r="J41" s="25">
        <v>44001</v>
      </c>
      <c r="K41" s="32" t="s">
        <v>769</v>
      </c>
    </row>
    <row r="42" spans="1:12">
      <c r="A42">
        <v>41</v>
      </c>
      <c r="B42">
        <v>2020</v>
      </c>
      <c r="C42" t="s">
        <v>45</v>
      </c>
      <c r="D42">
        <v>11</v>
      </c>
      <c r="E42" t="str">
        <f>IF(COUNTIF(Songs!$C:$C,C42)&gt;0,"","NO")</f>
        <v/>
      </c>
      <c r="F42" t="s">
        <v>615</v>
      </c>
      <c r="G42" t="s">
        <v>619</v>
      </c>
      <c r="J42" s="25">
        <v>44099</v>
      </c>
      <c r="K42" s="32" t="s">
        <v>769</v>
      </c>
    </row>
    <row r="43" spans="1:12">
      <c r="A43">
        <v>42</v>
      </c>
      <c r="B43">
        <v>2021</v>
      </c>
      <c r="C43" t="s">
        <v>46</v>
      </c>
      <c r="D43">
        <v>10</v>
      </c>
      <c r="E43" t="str">
        <f>IF(COUNTIF(Songs!$C:$C,C43)&gt;0,"","NO")</f>
        <v/>
      </c>
      <c r="F43" t="s">
        <v>615</v>
      </c>
      <c r="G43" t="s">
        <v>619</v>
      </c>
      <c r="J43" s="24">
        <v>44204</v>
      </c>
      <c r="K43" s="32" t="s">
        <v>769</v>
      </c>
      <c r="L43" t="s">
        <v>187</v>
      </c>
    </row>
    <row r="44" spans="1:12">
      <c r="A44">
        <v>43</v>
      </c>
      <c r="B44">
        <v>2100</v>
      </c>
      <c r="C44" t="s">
        <v>182</v>
      </c>
      <c r="D44">
        <v>10</v>
      </c>
      <c r="E44" t="str">
        <f>IF(COUNTIF(Songs!$C:$C,C44)&gt;0,"","NO")</f>
        <v/>
      </c>
      <c r="G44" t="s">
        <v>616</v>
      </c>
      <c r="H44" t="s">
        <v>616</v>
      </c>
      <c r="L44" t="s">
        <v>194</v>
      </c>
    </row>
    <row r="45" spans="1:12">
      <c r="A45">
        <v>44</v>
      </c>
      <c r="B45">
        <v>2100</v>
      </c>
      <c r="C45" t="s">
        <v>184</v>
      </c>
      <c r="D45">
        <v>1</v>
      </c>
      <c r="E45" t="str">
        <f>IF(COUNTIF(Songs!$C:$C,C45)&gt;0,"","NO")</f>
        <v/>
      </c>
      <c r="G45" t="s">
        <v>616</v>
      </c>
      <c r="H45" t="s">
        <v>616</v>
      </c>
    </row>
  </sheetData>
  <autoFilter ref="A1:L45" xr:uid="{47B56E45-E01A-4B7A-BEB8-C136A2DB0B7A}">
    <sortState xmlns:xlrd2="http://schemas.microsoft.com/office/spreadsheetml/2017/richdata2" ref="A2:L45">
      <sortCondition ref="B2:B45"/>
      <sortCondition ref="C2:C4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5710C-65C8-40EA-B639-B1B45687620A}">
  <dimension ref="A1:V447"/>
  <sheetViews>
    <sheetView zoomScaleNormal="100" workbookViewId="0">
      <pane ySplit="1" topLeftCell="A2" activePane="bottomLeft" state="frozen"/>
      <selection activeCell="D1" sqref="D1"/>
      <selection pane="bottomLeft" activeCell="A2" sqref="A2"/>
    </sheetView>
  </sheetViews>
  <sheetFormatPr defaultRowHeight="15"/>
  <cols>
    <col min="1" max="1" width="4.28515625" bestFit="1" customWidth="1"/>
    <col min="2" max="2" width="9.140625" customWidth="1"/>
    <col min="3" max="3" width="29.5703125" customWidth="1"/>
    <col min="5" max="5" width="35.5703125" bestFit="1" customWidth="1"/>
    <col min="6" max="7" width="9.140625" customWidth="1"/>
    <col min="8" max="10" width="9.140625" style="8" customWidth="1"/>
    <col min="11" max="11" width="9.140625" style="23" customWidth="1"/>
    <col min="12" max="12" width="9.140625" style="27"/>
  </cols>
  <sheetData>
    <row r="1" spans="1:22" s="1" customFormat="1">
      <c r="A1" s="1" t="s">
        <v>772</v>
      </c>
      <c r="B1" s="1" t="s">
        <v>185</v>
      </c>
      <c r="C1" s="1" t="s">
        <v>612</v>
      </c>
      <c r="D1" s="1" t="s">
        <v>634</v>
      </c>
      <c r="E1" s="1" t="s">
        <v>30</v>
      </c>
      <c r="F1" s="1" t="s">
        <v>32</v>
      </c>
      <c r="G1" s="1" t="s">
        <v>31</v>
      </c>
      <c r="H1" s="1" t="s">
        <v>28</v>
      </c>
      <c r="I1" s="1" t="s">
        <v>27</v>
      </c>
      <c r="J1" s="1" t="s">
        <v>611</v>
      </c>
      <c r="K1" s="21" t="s">
        <v>170</v>
      </c>
      <c r="L1" s="26" t="s">
        <v>50</v>
      </c>
      <c r="M1" s="1" t="s">
        <v>163</v>
      </c>
      <c r="N1" s="6" t="s">
        <v>31</v>
      </c>
      <c r="O1" s="6" t="s">
        <v>28</v>
      </c>
      <c r="P1" s="6" t="s">
        <v>54</v>
      </c>
      <c r="Q1" s="6" t="s">
        <v>55</v>
      </c>
      <c r="R1" s="6" t="s">
        <v>56</v>
      </c>
      <c r="S1" s="6" t="s">
        <v>57</v>
      </c>
      <c r="T1" s="6" t="s">
        <v>58</v>
      </c>
      <c r="U1" s="6" t="s">
        <v>59</v>
      </c>
      <c r="V1" s="1" t="s">
        <v>178</v>
      </c>
    </row>
    <row r="2" spans="1:22" s="8" customFormat="1">
      <c r="A2" s="8">
        <f>INDEX(Albums!$A:$A, MATCH(C2,Albums!$C:$C,0))</f>
        <v>1</v>
      </c>
      <c r="B2">
        <f>INDEX(Albums!$B:$B, MATCH(C2,Albums!$C:$C,0))</f>
        <v>2002</v>
      </c>
      <c r="C2" t="s">
        <v>633</v>
      </c>
      <c r="D2" s="8">
        <v>1</v>
      </c>
      <c r="E2" s="8" t="s">
        <v>649</v>
      </c>
      <c r="F2" s="30"/>
      <c r="K2" s="23"/>
      <c r="L2" s="28"/>
      <c r="N2" s="10"/>
      <c r="O2" s="10"/>
      <c r="P2" s="10"/>
      <c r="Q2" s="10"/>
      <c r="R2" s="10"/>
      <c r="S2" s="10"/>
      <c r="T2" s="10"/>
      <c r="U2" s="10"/>
    </row>
    <row r="3" spans="1:22" s="8" customFormat="1">
      <c r="A3" s="8">
        <f>INDEX(Albums!$A:$A, MATCH(C3,Albums!$C:$C,0))</f>
        <v>1</v>
      </c>
      <c r="B3">
        <f>INDEX(Albums!$B:$B, MATCH(C3,Albums!$C:$C,0))</f>
        <v>2002</v>
      </c>
      <c r="C3" t="s">
        <v>633</v>
      </c>
      <c r="D3" s="8">
        <v>2</v>
      </c>
      <c r="E3" s="8" t="s">
        <v>650</v>
      </c>
      <c r="F3" s="30"/>
      <c r="K3" s="23"/>
      <c r="L3" s="28"/>
      <c r="N3" s="10"/>
      <c r="O3" s="10"/>
      <c r="P3" s="10"/>
      <c r="Q3" s="10"/>
      <c r="R3" s="10"/>
      <c r="S3" s="10"/>
      <c r="T3" s="10"/>
      <c r="U3" s="10"/>
    </row>
    <row r="4" spans="1:22" s="8" customFormat="1">
      <c r="A4" s="8">
        <f>INDEX(Albums!$A:$A, MATCH(C4,Albums!$C:$C,0))</f>
        <v>1</v>
      </c>
      <c r="B4">
        <f>INDEX(Albums!$B:$B, MATCH(C4,Albums!$C:$C,0))</f>
        <v>2002</v>
      </c>
      <c r="C4" t="s">
        <v>633</v>
      </c>
      <c r="D4" s="8">
        <v>3</v>
      </c>
      <c r="E4" s="8" t="s">
        <v>664</v>
      </c>
      <c r="F4" s="30" t="s">
        <v>665</v>
      </c>
      <c r="K4" s="23"/>
      <c r="L4" s="28"/>
      <c r="N4" s="10"/>
      <c r="O4" s="10"/>
      <c r="P4" s="10"/>
      <c r="Q4" s="10"/>
      <c r="R4" s="10"/>
      <c r="S4" s="10"/>
      <c r="T4" s="10"/>
      <c r="U4" s="10"/>
    </row>
    <row r="5" spans="1:22" s="8" customFormat="1">
      <c r="A5" s="8">
        <f>INDEX(Albums!$A:$A, MATCH(C5,Albums!$C:$C,0))</f>
        <v>1</v>
      </c>
      <c r="B5">
        <f>INDEX(Albums!$B:$B, MATCH(C5,Albums!$C:$C,0))</f>
        <v>2002</v>
      </c>
      <c r="C5" t="s">
        <v>633</v>
      </c>
      <c r="D5" s="8">
        <v>4</v>
      </c>
      <c r="E5" s="8" t="s">
        <v>651</v>
      </c>
      <c r="F5" s="30"/>
      <c r="K5" s="23"/>
      <c r="L5" s="28"/>
      <c r="N5" s="10"/>
      <c r="O5" s="10"/>
      <c r="P5" s="10"/>
      <c r="Q5" s="10"/>
      <c r="R5" s="10"/>
      <c r="S5" s="10"/>
      <c r="T5" s="10"/>
      <c r="U5" s="10"/>
    </row>
    <row r="6" spans="1:22" s="8" customFormat="1">
      <c r="A6" s="8">
        <f>INDEX(Albums!$A:$A, MATCH(C6,Albums!$C:$C,0))</f>
        <v>1</v>
      </c>
      <c r="B6">
        <f>INDEX(Albums!$B:$B, MATCH(C6,Albums!$C:$C,0))</f>
        <v>2002</v>
      </c>
      <c r="C6" t="s">
        <v>633</v>
      </c>
      <c r="D6" s="8">
        <v>5</v>
      </c>
      <c r="E6" s="8" t="s">
        <v>169</v>
      </c>
      <c r="F6" s="30"/>
      <c r="K6" s="23"/>
      <c r="L6" s="28"/>
      <c r="N6" s="10"/>
      <c r="O6" s="10"/>
      <c r="P6" s="10"/>
      <c r="Q6" s="10"/>
      <c r="R6" s="10"/>
      <c r="S6" s="10"/>
      <c r="T6" s="10"/>
      <c r="U6" s="10"/>
    </row>
    <row r="7" spans="1:22" s="8" customFormat="1">
      <c r="A7" s="8">
        <f>INDEX(Albums!$A:$A, MATCH(C7,Albums!$C:$C,0))</f>
        <v>1</v>
      </c>
      <c r="B7">
        <f>INDEX(Albums!$B:$B, MATCH(C7,Albums!$C:$C,0))</f>
        <v>2002</v>
      </c>
      <c r="C7" t="s">
        <v>633</v>
      </c>
      <c r="D7" s="8">
        <v>6</v>
      </c>
      <c r="E7" s="8" t="s">
        <v>606</v>
      </c>
      <c r="F7" s="30"/>
      <c r="K7" s="23"/>
      <c r="L7" s="28"/>
      <c r="N7" s="10"/>
      <c r="O7" s="10"/>
      <c r="P7" s="10"/>
      <c r="Q7" s="10"/>
      <c r="R7" s="10"/>
      <c r="S7" s="10"/>
      <c r="T7" s="10"/>
      <c r="U7" s="10"/>
    </row>
    <row r="8" spans="1:22" s="8" customFormat="1">
      <c r="A8" s="8">
        <f>INDEX(Albums!$A:$A, MATCH(C8,Albums!$C:$C,0))</f>
        <v>1</v>
      </c>
      <c r="B8">
        <f>INDEX(Albums!$B:$B, MATCH(C8,Albums!$C:$C,0))</f>
        <v>2002</v>
      </c>
      <c r="C8" t="s">
        <v>633</v>
      </c>
      <c r="D8" s="8">
        <v>7</v>
      </c>
      <c r="E8" s="8" t="s">
        <v>652</v>
      </c>
      <c r="F8" s="30"/>
      <c r="K8" s="23"/>
      <c r="L8" s="28"/>
      <c r="N8" s="10"/>
      <c r="O8" s="10"/>
      <c r="P8" s="10"/>
      <c r="Q8" s="10"/>
      <c r="R8" s="10"/>
      <c r="S8" s="10"/>
      <c r="T8" s="10"/>
      <c r="U8" s="10"/>
    </row>
    <row r="9" spans="1:22" s="8" customFormat="1">
      <c r="A9" s="8">
        <f>INDEX(Albums!$A:$A, MATCH(C9,Albums!$C:$C,0))</f>
        <v>1</v>
      </c>
      <c r="B9">
        <f>INDEX(Albums!$B:$B, MATCH(C9,Albums!$C:$C,0))</f>
        <v>2002</v>
      </c>
      <c r="C9" t="s">
        <v>633</v>
      </c>
      <c r="D9" s="8">
        <v>8</v>
      </c>
      <c r="E9" s="8" t="s">
        <v>653</v>
      </c>
      <c r="F9" s="30"/>
      <c r="K9" s="23"/>
      <c r="L9" s="28"/>
      <c r="N9" s="10"/>
      <c r="O9" s="10"/>
      <c r="P9" s="10"/>
      <c r="Q9" s="10"/>
      <c r="R9" s="10"/>
      <c r="S9" s="10"/>
      <c r="T9" s="10"/>
      <c r="U9" s="10"/>
    </row>
    <row r="10" spans="1:22" s="8" customFormat="1">
      <c r="A10" s="8">
        <f>INDEX(Albums!$A:$A, MATCH(C10,Albums!$C:$C,0))</f>
        <v>1</v>
      </c>
      <c r="B10">
        <f>INDEX(Albums!$B:$B, MATCH(C10,Albums!$C:$C,0))</f>
        <v>2002</v>
      </c>
      <c r="C10" t="s">
        <v>633</v>
      </c>
      <c r="D10" s="8">
        <v>9</v>
      </c>
      <c r="E10" s="8" t="s">
        <v>666</v>
      </c>
      <c r="F10" s="30" t="s">
        <v>667</v>
      </c>
      <c r="K10" s="23"/>
      <c r="L10" s="28"/>
      <c r="N10" s="10"/>
      <c r="O10" s="10"/>
      <c r="P10" s="10"/>
      <c r="Q10" s="10"/>
      <c r="R10" s="10"/>
      <c r="S10" s="10"/>
      <c r="T10" s="10"/>
      <c r="U10" s="10"/>
    </row>
    <row r="11" spans="1:22" s="8" customFormat="1">
      <c r="A11" s="8">
        <f>INDEX(Albums!$A:$A, MATCH(C11,Albums!$C:$C,0))</f>
        <v>1</v>
      </c>
      <c r="B11">
        <f>INDEX(Albums!$B:$B, MATCH(C11,Albums!$C:$C,0))</f>
        <v>2002</v>
      </c>
      <c r="C11" t="s">
        <v>633</v>
      </c>
      <c r="D11" s="8">
        <v>10</v>
      </c>
      <c r="E11" s="8" t="s">
        <v>654</v>
      </c>
      <c r="F11" s="30"/>
      <c r="K11" s="23"/>
      <c r="L11" s="28"/>
      <c r="N11" s="10"/>
      <c r="O11" s="10"/>
      <c r="P11" s="10"/>
      <c r="Q11" s="10"/>
      <c r="R11" s="10"/>
      <c r="S11" s="10"/>
      <c r="T11" s="10"/>
      <c r="U11" s="10"/>
    </row>
    <row r="12" spans="1:22" s="8" customFormat="1">
      <c r="A12" s="8">
        <f>INDEX(Albums!$A:$A, MATCH(C12,Albums!$C:$C,0))</f>
        <v>1</v>
      </c>
      <c r="B12">
        <f>INDEX(Albums!$B:$B, MATCH(C12,Albums!$C:$C,0))</f>
        <v>2002</v>
      </c>
      <c r="C12" t="s">
        <v>633</v>
      </c>
      <c r="D12" s="8">
        <v>11</v>
      </c>
      <c r="E12" s="8" t="s">
        <v>655</v>
      </c>
      <c r="F12" s="30"/>
      <c r="K12" s="23"/>
      <c r="L12" s="28"/>
      <c r="N12" s="10"/>
      <c r="O12" s="10"/>
      <c r="P12" s="10"/>
      <c r="Q12" s="10"/>
      <c r="R12" s="10"/>
      <c r="S12" s="10"/>
      <c r="T12" s="10"/>
      <c r="U12" s="10"/>
    </row>
    <row r="13" spans="1:22" s="8" customFormat="1">
      <c r="A13" s="8">
        <f>INDEX(Albums!$A:$A, MATCH(C13,Albums!$C:$C,0))</f>
        <v>1</v>
      </c>
      <c r="B13">
        <f>INDEX(Albums!$B:$B, MATCH(C13,Albums!$C:$C,0))</f>
        <v>2002</v>
      </c>
      <c r="C13" t="s">
        <v>633</v>
      </c>
      <c r="D13" s="8">
        <v>12</v>
      </c>
      <c r="E13" s="8" t="s">
        <v>656</v>
      </c>
      <c r="F13" s="30"/>
      <c r="K13" s="23"/>
      <c r="L13" s="28"/>
      <c r="N13" s="10"/>
      <c r="O13" s="10"/>
      <c r="P13" s="10"/>
      <c r="Q13" s="10"/>
      <c r="R13" s="10"/>
      <c r="S13" s="10"/>
      <c r="T13" s="10"/>
      <c r="U13" s="10"/>
    </row>
    <row r="14" spans="1:22" s="8" customFormat="1">
      <c r="A14" s="8">
        <f>INDEX(Albums!$A:$A, MATCH(C14,Albums!$C:$C,0))</f>
        <v>1</v>
      </c>
      <c r="B14">
        <f>INDEX(Albums!$B:$B, MATCH(C14,Albums!$C:$C,0))</f>
        <v>2002</v>
      </c>
      <c r="C14" t="s">
        <v>633</v>
      </c>
      <c r="D14" s="8">
        <v>13</v>
      </c>
      <c r="E14" s="8" t="s">
        <v>657</v>
      </c>
      <c r="F14" s="30"/>
      <c r="K14" s="23"/>
      <c r="L14" s="28"/>
      <c r="N14" s="10"/>
      <c r="O14" s="10"/>
      <c r="P14" s="10"/>
      <c r="Q14" s="10"/>
      <c r="R14" s="10"/>
      <c r="S14" s="10"/>
      <c r="T14" s="10"/>
      <c r="U14" s="10"/>
    </row>
    <row r="15" spans="1:22" s="8" customFormat="1">
      <c r="A15" s="8">
        <f>INDEX(Albums!$A:$A, MATCH(C15,Albums!$C:$C,0))</f>
        <v>2</v>
      </c>
      <c r="B15">
        <f>INDEX(Albums!$B:$B, MATCH(C15,Albums!$C:$C,0))</f>
        <v>2003</v>
      </c>
      <c r="C15" t="s">
        <v>670</v>
      </c>
      <c r="D15">
        <v>1</v>
      </c>
      <c r="E15" t="s">
        <v>697</v>
      </c>
      <c r="F15"/>
      <c r="G15"/>
      <c r="H15"/>
      <c r="K15" s="23"/>
      <c r="L15" s="27"/>
      <c r="M15"/>
      <c r="N15"/>
      <c r="O15"/>
      <c r="P15"/>
      <c r="Q15"/>
      <c r="R15"/>
      <c r="S15"/>
      <c r="T15"/>
      <c r="U15"/>
      <c r="V15"/>
    </row>
    <row r="16" spans="1:22" s="8" customFormat="1">
      <c r="A16" s="8">
        <f>INDEX(Albums!$A:$A, MATCH(C16,Albums!$C:$C,0))</f>
        <v>2</v>
      </c>
      <c r="B16">
        <f>INDEX(Albums!$B:$B, MATCH(C16,Albums!$C:$C,0))</f>
        <v>2003</v>
      </c>
      <c r="C16" t="s">
        <v>670</v>
      </c>
      <c r="D16">
        <v>2</v>
      </c>
      <c r="E16" t="s">
        <v>670</v>
      </c>
      <c r="F16"/>
      <c r="G16"/>
      <c r="H16"/>
      <c r="K16" s="23"/>
      <c r="L16" s="27"/>
      <c r="M16"/>
      <c r="N16"/>
      <c r="O16"/>
      <c r="P16"/>
      <c r="Q16"/>
      <c r="R16"/>
      <c r="S16"/>
      <c r="T16"/>
      <c r="U16"/>
      <c r="V16"/>
    </row>
    <row r="17" spans="1:22" s="8" customFormat="1">
      <c r="A17" s="8">
        <f>INDEX(Albums!$A:$A, MATCH(C17,Albums!$C:$C,0))</f>
        <v>2</v>
      </c>
      <c r="B17">
        <f>INDEX(Albums!$B:$B, MATCH(C17,Albums!$C:$C,0))</f>
        <v>2003</v>
      </c>
      <c r="C17" t="s">
        <v>670</v>
      </c>
      <c r="D17">
        <v>3</v>
      </c>
      <c r="E17" t="s">
        <v>698</v>
      </c>
      <c r="F17"/>
      <c r="G17"/>
      <c r="H17"/>
      <c r="K17" s="23"/>
      <c r="L17" s="27"/>
      <c r="M17"/>
      <c r="N17"/>
      <c r="O17"/>
      <c r="P17"/>
      <c r="Q17"/>
      <c r="R17"/>
      <c r="S17"/>
      <c r="T17"/>
      <c r="U17"/>
      <c r="V17"/>
    </row>
    <row r="18" spans="1:22" s="8" customFormat="1">
      <c r="A18" s="8">
        <f>INDEX(Albums!$A:$A, MATCH(C18,Albums!$C:$C,0))</f>
        <v>2</v>
      </c>
      <c r="B18">
        <f>INDEX(Albums!$B:$B, MATCH(C18,Albums!$C:$C,0))</f>
        <v>2003</v>
      </c>
      <c r="C18" t="s">
        <v>670</v>
      </c>
      <c r="D18">
        <v>4</v>
      </c>
      <c r="E18" t="s">
        <v>699</v>
      </c>
      <c r="F18"/>
      <c r="G18"/>
      <c r="H18"/>
      <c r="K18" s="23"/>
      <c r="L18" s="27"/>
      <c r="M18"/>
      <c r="N18"/>
      <c r="O18"/>
      <c r="P18"/>
      <c r="Q18"/>
      <c r="R18"/>
      <c r="S18"/>
      <c r="T18"/>
      <c r="U18"/>
      <c r="V18"/>
    </row>
    <row r="19" spans="1:22" s="8" customFormat="1">
      <c r="A19" s="8">
        <f>INDEX(Albums!$A:$A, MATCH(C19,Albums!$C:$C,0))</f>
        <v>2</v>
      </c>
      <c r="B19">
        <f>INDEX(Albums!$B:$B, MATCH(C19,Albums!$C:$C,0))</f>
        <v>2003</v>
      </c>
      <c r="C19" t="s">
        <v>670</v>
      </c>
      <c r="D19">
        <v>5</v>
      </c>
      <c r="E19" t="s">
        <v>700</v>
      </c>
      <c r="F19"/>
      <c r="G19"/>
      <c r="H19"/>
      <c r="K19" s="23"/>
      <c r="L19" s="27"/>
      <c r="M19"/>
      <c r="N19"/>
      <c r="O19"/>
      <c r="P19"/>
      <c r="Q19"/>
      <c r="R19"/>
      <c r="S19"/>
      <c r="T19"/>
      <c r="U19"/>
      <c r="V19"/>
    </row>
    <row r="20" spans="1:22" s="8" customFormat="1">
      <c r="A20" s="8">
        <f>INDEX(Albums!$A:$A, MATCH(C20,Albums!$C:$C,0))</f>
        <v>2</v>
      </c>
      <c r="B20">
        <f>INDEX(Albums!$B:$B, MATCH(C20,Albums!$C:$C,0))</f>
        <v>2003</v>
      </c>
      <c r="C20" t="s">
        <v>670</v>
      </c>
      <c r="D20">
        <v>6</v>
      </c>
      <c r="E20" t="s">
        <v>701</v>
      </c>
      <c r="F20"/>
      <c r="G20"/>
      <c r="H20"/>
      <c r="K20" s="23"/>
      <c r="L20" s="27"/>
      <c r="M20"/>
      <c r="N20"/>
      <c r="O20"/>
      <c r="P20"/>
      <c r="Q20"/>
      <c r="R20"/>
      <c r="S20"/>
      <c r="T20"/>
      <c r="U20"/>
      <c r="V20"/>
    </row>
    <row r="21" spans="1:22" s="8" customFormat="1">
      <c r="A21" s="8">
        <f>INDEX(Albums!$A:$A, MATCH(C21,Albums!$C:$C,0))</f>
        <v>2</v>
      </c>
      <c r="B21">
        <f>INDEX(Albums!$B:$B, MATCH(C21,Albums!$C:$C,0))</f>
        <v>2003</v>
      </c>
      <c r="C21" t="s">
        <v>670</v>
      </c>
      <c r="D21">
        <v>7</v>
      </c>
      <c r="E21" t="s">
        <v>702</v>
      </c>
      <c r="F21"/>
      <c r="G21" t="s">
        <v>668</v>
      </c>
      <c r="H21"/>
      <c r="K21" s="23"/>
      <c r="L21" s="27"/>
      <c r="M21"/>
      <c r="N21"/>
      <c r="O21"/>
      <c r="P21"/>
      <c r="Q21"/>
      <c r="R21"/>
      <c r="S21"/>
      <c r="T21"/>
      <c r="U21"/>
      <c r="V21"/>
    </row>
    <row r="22" spans="1:22" s="8" customFormat="1">
      <c r="A22" s="8">
        <f>INDEX(Albums!$A:$A, MATCH(C22,Albums!$C:$C,0))</f>
        <v>2</v>
      </c>
      <c r="B22">
        <f>INDEX(Albums!$B:$B, MATCH(C22,Albums!$C:$C,0))</f>
        <v>2003</v>
      </c>
      <c r="C22" t="s">
        <v>670</v>
      </c>
      <c r="D22">
        <v>8</v>
      </c>
      <c r="E22" t="s">
        <v>703</v>
      </c>
      <c r="F22"/>
      <c r="G22" t="s">
        <v>669</v>
      </c>
      <c r="H22"/>
      <c r="K22" s="23"/>
      <c r="L22" s="27"/>
      <c r="M22"/>
      <c r="N22"/>
      <c r="O22"/>
      <c r="P22"/>
      <c r="Q22"/>
      <c r="R22"/>
      <c r="S22"/>
      <c r="T22"/>
      <c r="U22"/>
      <c r="V22"/>
    </row>
    <row r="23" spans="1:22" s="8" customFormat="1">
      <c r="A23" s="8">
        <f>INDEX(Albums!$A:$A, MATCH(C23,Albums!$C:$C,0))</f>
        <v>2</v>
      </c>
      <c r="B23">
        <f>INDEX(Albums!$B:$B, MATCH(C23,Albums!$C:$C,0))</f>
        <v>2003</v>
      </c>
      <c r="C23" t="s">
        <v>670</v>
      </c>
      <c r="D23">
        <v>9</v>
      </c>
      <c r="E23" t="s">
        <v>704</v>
      </c>
      <c r="F23"/>
      <c r="G23" t="s">
        <v>638</v>
      </c>
      <c r="H23"/>
      <c r="K23" s="23"/>
      <c r="L23" s="27"/>
      <c r="M23"/>
      <c r="N23"/>
      <c r="O23"/>
      <c r="P23"/>
      <c r="Q23"/>
      <c r="R23"/>
      <c r="S23"/>
      <c r="T23"/>
      <c r="U23"/>
      <c r="V23"/>
    </row>
    <row r="24" spans="1:22" s="8" customFormat="1">
      <c r="A24" s="8">
        <f>INDEX(Albums!$A:$A, MATCH(C24,Albums!$C:$C,0))</f>
        <v>2</v>
      </c>
      <c r="B24">
        <f>INDEX(Albums!$B:$B, MATCH(C24,Albums!$C:$C,0))</f>
        <v>2003</v>
      </c>
      <c r="C24" t="s">
        <v>670</v>
      </c>
      <c r="D24">
        <v>10</v>
      </c>
      <c r="E24" t="s">
        <v>705</v>
      </c>
      <c r="F24"/>
      <c r="G24"/>
      <c r="H24"/>
      <c r="K24" s="23"/>
      <c r="L24" s="27"/>
      <c r="M24"/>
      <c r="N24"/>
      <c r="O24"/>
      <c r="P24"/>
      <c r="Q24"/>
      <c r="R24"/>
      <c r="S24"/>
      <c r="T24"/>
      <c r="U24"/>
      <c r="V24"/>
    </row>
    <row r="25" spans="1:22">
      <c r="A25" s="8">
        <f>INDEX(Albums!$A:$A, MATCH(C25,Albums!$C:$C,0))</f>
        <v>2</v>
      </c>
      <c r="B25">
        <f>INDEX(Albums!$B:$B, MATCH(C25,Albums!$C:$C,0))</f>
        <v>2003</v>
      </c>
      <c r="C25" t="s">
        <v>670</v>
      </c>
      <c r="D25">
        <v>11</v>
      </c>
      <c r="E25" t="s">
        <v>706</v>
      </c>
      <c r="H25"/>
    </row>
    <row r="26" spans="1:22">
      <c r="A26" s="8">
        <f>INDEX(Albums!$A:$A, MATCH(C26,Albums!$C:$C,0))</f>
        <v>2</v>
      </c>
      <c r="B26">
        <f>INDEX(Albums!$B:$B, MATCH(C26,Albums!$C:$C,0))</f>
        <v>2003</v>
      </c>
      <c r="C26" t="s">
        <v>670</v>
      </c>
      <c r="D26">
        <v>12</v>
      </c>
      <c r="E26" t="s">
        <v>707</v>
      </c>
      <c r="H26"/>
    </row>
    <row r="27" spans="1:22">
      <c r="A27" s="8">
        <f>INDEX(Albums!$A:$A, MATCH(C27,Albums!$C:$C,0))</f>
        <v>2</v>
      </c>
      <c r="B27">
        <f>INDEX(Albums!$B:$B, MATCH(C27,Albums!$C:$C,0))</f>
        <v>2003</v>
      </c>
      <c r="C27" t="s">
        <v>670</v>
      </c>
      <c r="D27">
        <v>13</v>
      </c>
      <c r="E27" t="s">
        <v>698</v>
      </c>
      <c r="F27" t="s">
        <v>754</v>
      </c>
      <c r="H27"/>
    </row>
    <row r="28" spans="1:22">
      <c r="A28" s="8">
        <f>INDEX(Albums!$A:$A, MATCH(C28,Albums!$C:$C,0))</f>
        <v>3</v>
      </c>
      <c r="B28">
        <f>INDEX(Albums!$B:$B, MATCH(C28,Albums!$C:$C,0))</f>
        <v>2004</v>
      </c>
      <c r="C28" t="s">
        <v>676</v>
      </c>
      <c r="D28">
        <v>1</v>
      </c>
      <c r="E28" t="s">
        <v>713</v>
      </c>
      <c r="G28" t="s">
        <v>637</v>
      </c>
      <c r="H28"/>
    </row>
    <row r="29" spans="1:22">
      <c r="A29" s="8">
        <f>INDEX(Albums!$A:$A, MATCH(C29,Albums!$C:$C,0))</f>
        <v>3</v>
      </c>
      <c r="B29">
        <f>INDEX(Albums!$B:$B, MATCH(C29,Albums!$C:$C,0))</f>
        <v>2004</v>
      </c>
      <c r="C29" t="s">
        <v>676</v>
      </c>
      <c r="D29">
        <v>2</v>
      </c>
      <c r="E29" t="s">
        <v>714</v>
      </c>
      <c r="G29" t="s">
        <v>673</v>
      </c>
      <c r="H29"/>
    </row>
    <row r="30" spans="1:22">
      <c r="A30" s="8">
        <f>INDEX(Albums!$A:$A, MATCH(C30,Albums!$C:$C,0))</f>
        <v>3</v>
      </c>
      <c r="B30">
        <f>INDEX(Albums!$B:$B, MATCH(C30,Albums!$C:$C,0))</f>
        <v>2004</v>
      </c>
      <c r="C30" t="s">
        <v>676</v>
      </c>
      <c r="D30">
        <v>3</v>
      </c>
      <c r="E30" t="s">
        <v>715</v>
      </c>
      <c r="G30" t="s">
        <v>339</v>
      </c>
      <c r="H30"/>
    </row>
    <row r="31" spans="1:22">
      <c r="A31" s="8">
        <f>INDEX(Albums!$A:$A, MATCH(C31,Albums!$C:$C,0))</f>
        <v>3</v>
      </c>
      <c r="B31">
        <f>INDEX(Albums!$B:$B, MATCH(C31,Albums!$C:$C,0))</f>
        <v>2004</v>
      </c>
      <c r="C31" t="s">
        <v>676</v>
      </c>
      <c r="D31">
        <v>4</v>
      </c>
      <c r="E31" t="s">
        <v>716</v>
      </c>
      <c r="G31" t="s">
        <v>673</v>
      </c>
      <c r="H31"/>
    </row>
    <row r="32" spans="1:22">
      <c r="A32" s="8">
        <f>INDEX(Albums!$A:$A, MATCH(C32,Albums!$C:$C,0))</f>
        <v>3</v>
      </c>
      <c r="B32">
        <f>INDEX(Albums!$B:$B, MATCH(C32,Albums!$C:$C,0))</f>
        <v>2004</v>
      </c>
      <c r="C32" t="s">
        <v>676</v>
      </c>
      <c r="D32">
        <v>5</v>
      </c>
      <c r="E32" t="s">
        <v>717</v>
      </c>
      <c r="G32" t="s">
        <v>673</v>
      </c>
      <c r="H32"/>
    </row>
    <row r="33" spans="1:8">
      <c r="A33" s="8">
        <f>INDEX(Albums!$A:$A, MATCH(C33,Albums!$C:$C,0))</f>
        <v>3</v>
      </c>
      <c r="B33">
        <f>INDEX(Albums!$B:$B, MATCH(C33,Albums!$C:$C,0))</f>
        <v>2004</v>
      </c>
      <c r="C33" t="s">
        <v>676</v>
      </c>
      <c r="D33">
        <v>6</v>
      </c>
      <c r="E33" t="s">
        <v>718</v>
      </c>
      <c r="G33" t="s">
        <v>638</v>
      </c>
      <c r="H33"/>
    </row>
    <row r="34" spans="1:8">
      <c r="A34" s="8">
        <f>INDEX(Albums!$A:$A, MATCH(C34,Albums!$C:$C,0))</f>
        <v>3</v>
      </c>
      <c r="B34">
        <f>INDEX(Albums!$B:$B, MATCH(C34,Albums!$C:$C,0))</f>
        <v>2004</v>
      </c>
      <c r="C34" t="s">
        <v>676</v>
      </c>
      <c r="D34">
        <v>7</v>
      </c>
      <c r="E34" t="s">
        <v>329</v>
      </c>
      <c r="G34" t="s">
        <v>673</v>
      </c>
      <c r="H34"/>
    </row>
    <row r="35" spans="1:8">
      <c r="A35" s="8">
        <f>INDEX(Albums!$A:$A, MATCH(C35,Albums!$C:$C,0))</f>
        <v>3</v>
      </c>
      <c r="B35">
        <f>INDEX(Albums!$B:$B, MATCH(C35,Albums!$C:$C,0))</f>
        <v>2004</v>
      </c>
      <c r="C35" t="s">
        <v>676</v>
      </c>
      <c r="D35">
        <v>8</v>
      </c>
      <c r="E35" t="s">
        <v>719</v>
      </c>
      <c r="G35" t="s">
        <v>673</v>
      </c>
      <c r="H35"/>
    </row>
    <row r="36" spans="1:8">
      <c r="A36" s="8">
        <f>INDEX(Albums!$A:$A, MATCH(C36,Albums!$C:$C,0))</f>
        <v>3</v>
      </c>
      <c r="B36">
        <f>INDEX(Albums!$B:$B, MATCH(C36,Albums!$C:$C,0))</f>
        <v>2004</v>
      </c>
      <c r="C36" t="s">
        <v>676</v>
      </c>
      <c r="D36">
        <v>9</v>
      </c>
      <c r="E36" t="s">
        <v>720</v>
      </c>
      <c r="G36" t="s">
        <v>674</v>
      </c>
      <c r="H36"/>
    </row>
    <row r="37" spans="1:8">
      <c r="A37" s="8">
        <f>INDEX(Albums!$A:$A, MATCH(C37,Albums!$C:$C,0))</f>
        <v>3</v>
      </c>
      <c r="B37">
        <f>INDEX(Albums!$B:$B, MATCH(C37,Albums!$C:$C,0))</f>
        <v>2004</v>
      </c>
      <c r="C37" t="s">
        <v>676</v>
      </c>
      <c r="D37">
        <v>10</v>
      </c>
      <c r="E37" t="s">
        <v>721</v>
      </c>
      <c r="H37"/>
    </row>
    <row r="38" spans="1:8">
      <c r="A38" s="8">
        <f>INDEX(Albums!$A:$A, MATCH(C38,Albums!$C:$C,0))</f>
        <v>3</v>
      </c>
      <c r="B38">
        <f>INDEX(Albums!$B:$B, MATCH(C38,Albums!$C:$C,0))</f>
        <v>2004</v>
      </c>
      <c r="C38" t="s">
        <v>676</v>
      </c>
      <c r="D38">
        <v>11</v>
      </c>
      <c r="E38" t="s">
        <v>722</v>
      </c>
      <c r="G38" t="s">
        <v>675</v>
      </c>
      <c r="H38"/>
    </row>
    <row r="39" spans="1:8">
      <c r="A39" s="8">
        <f>INDEX(Albums!$A:$A, MATCH(C39,Albums!$C:$C,0))</f>
        <v>4</v>
      </c>
      <c r="B39">
        <f>INDEX(Albums!$B:$B, MATCH(C39,Albums!$C:$C,0))</f>
        <v>2004</v>
      </c>
      <c r="C39" t="s">
        <v>672</v>
      </c>
      <c r="D39">
        <v>1</v>
      </c>
      <c r="E39" t="s">
        <v>169</v>
      </c>
      <c r="H39"/>
    </row>
    <row r="40" spans="1:8">
      <c r="A40" s="8">
        <f>INDEX(Albums!$A:$A, MATCH(C40,Albums!$C:$C,0))</f>
        <v>4</v>
      </c>
      <c r="B40">
        <f>INDEX(Albums!$B:$B, MATCH(C40,Albums!$C:$C,0))</f>
        <v>2004</v>
      </c>
      <c r="C40" t="s">
        <v>672</v>
      </c>
      <c r="D40">
        <v>2</v>
      </c>
      <c r="E40" t="s">
        <v>708</v>
      </c>
      <c r="H40"/>
    </row>
    <row r="41" spans="1:8">
      <c r="A41" s="8">
        <f>INDEX(Albums!$A:$A, MATCH(C41,Albums!$C:$C,0))</f>
        <v>4</v>
      </c>
      <c r="B41">
        <f>INDEX(Albums!$B:$B, MATCH(C41,Albums!$C:$C,0))</f>
        <v>2004</v>
      </c>
      <c r="C41" t="s">
        <v>672</v>
      </c>
      <c r="D41">
        <v>3</v>
      </c>
      <c r="E41" t="s">
        <v>709</v>
      </c>
      <c r="G41" t="s">
        <v>671</v>
      </c>
      <c r="H41"/>
    </row>
    <row r="42" spans="1:8">
      <c r="A42" s="8">
        <f>INDEX(Albums!$A:$A, MATCH(C42,Albums!$C:$C,0))</f>
        <v>4</v>
      </c>
      <c r="B42">
        <f>INDEX(Albums!$B:$B, MATCH(C42,Albums!$C:$C,0))</f>
        <v>2004</v>
      </c>
      <c r="C42" t="s">
        <v>672</v>
      </c>
      <c r="D42">
        <v>4</v>
      </c>
      <c r="E42" t="s">
        <v>710</v>
      </c>
      <c r="H42"/>
    </row>
    <row r="43" spans="1:8">
      <c r="A43" s="8">
        <f>INDEX(Albums!$A:$A, MATCH(C43,Albums!$C:$C,0))</f>
        <v>4</v>
      </c>
      <c r="B43">
        <f>INDEX(Albums!$B:$B, MATCH(C43,Albums!$C:$C,0))</f>
        <v>2004</v>
      </c>
      <c r="C43" t="s">
        <v>672</v>
      </c>
      <c r="D43">
        <v>5</v>
      </c>
      <c r="E43" t="s">
        <v>703</v>
      </c>
      <c r="G43" t="s">
        <v>669</v>
      </c>
      <c r="H43"/>
    </row>
    <row r="44" spans="1:8">
      <c r="A44" s="8">
        <f>INDEX(Albums!$A:$A, MATCH(C44,Albums!$C:$C,0))</f>
        <v>4</v>
      </c>
      <c r="B44">
        <f>INDEX(Albums!$B:$B, MATCH(C44,Albums!$C:$C,0))</f>
        <v>2004</v>
      </c>
      <c r="C44" t="s">
        <v>672</v>
      </c>
      <c r="D44">
        <v>6</v>
      </c>
      <c r="E44" t="s">
        <v>711</v>
      </c>
      <c r="H44"/>
    </row>
    <row r="45" spans="1:8">
      <c r="A45" s="8">
        <f>INDEX(Albums!$A:$A, MATCH(C45,Albums!$C:$C,0))</f>
        <v>4</v>
      </c>
      <c r="B45">
        <f>INDEX(Albums!$B:$B, MATCH(C45,Albums!$C:$C,0))</f>
        <v>2004</v>
      </c>
      <c r="C45" t="s">
        <v>672</v>
      </c>
      <c r="D45">
        <v>7</v>
      </c>
      <c r="E45" t="s">
        <v>651</v>
      </c>
      <c r="H45"/>
    </row>
    <row r="46" spans="1:8">
      <c r="A46" s="8">
        <f>INDEX(Albums!$A:$A, MATCH(C46,Albums!$C:$C,0))</f>
        <v>4</v>
      </c>
      <c r="B46">
        <f>INDEX(Albums!$B:$B, MATCH(C46,Albums!$C:$C,0))</f>
        <v>2004</v>
      </c>
      <c r="C46" t="s">
        <v>672</v>
      </c>
      <c r="D46">
        <v>8</v>
      </c>
      <c r="E46" t="s">
        <v>701</v>
      </c>
      <c r="H46"/>
    </row>
    <row r="47" spans="1:8">
      <c r="A47" s="8">
        <f>INDEX(Albums!$A:$A, MATCH(C47,Albums!$C:$C,0))</f>
        <v>4</v>
      </c>
      <c r="B47">
        <f>INDEX(Albums!$B:$B, MATCH(C47,Albums!$C:$C,0))</f>
        <v>2004</v>
      </c>
      <c r="C47" t="s">
        <v>672</v>
      </c>
      <c r="D47">
        <v>9</v>
      </c>
      <c r="E47" t="s">
        <v>329</v>
      </c>
      <c r="H47"/>
    </row>
    <row r="48" spans="1:8">
      <c r="A48" s="8">
        <f>INDEX(Albums!$A:$A, MATCH(C48,Albums!$C:$C,0))</f>
        <v>4</v>
      </c>
      <c r="B48">
        <f>INDEX(Albums!$B:$B, MATCH(C48,Albums!$C:$C,0))</f>
        <v>2004</v>
      </c>
      <c r="C48" t="s">
        <v>672</v>
      </c>
      <c r="D48">
        <v>10</v>
      </c>
      <c r="E48" t="s">
        <v>712</v>
      </c>
      <c r="H48"/>
    </row>
    <row r="49" spans="1:22">
      <c r="A49" s="8">
        <f>INDEX(Albums!$A:$A, MATCH(C49,Albums!$C:$C,0))</f>
        <v>5</v>
      </c>
      <c r="B49">
        <f>INDEX(Albums!$B:$B, MATCH(C49,Albums!$C:$C,0))</f>
        <v>2007</v>
      </c>
      <c r="C49" t="s">
        <v>677</v>
      </c>
      <c r="D49">
        <v>1</v>
      </c>
      <c r="E49" t="s">
        <v>723</v>
      </c>
      <c r="H49"/>
    </row>
    <row r="50" spans="1:22">
      <c r="A50" s="8">
        <f>INDEX(Albums!$A:$A, MATCH(C50,Albums!$C:$C,0))</f>
        <v>5</v>
      </c>
      <c r="B50">
        <f>INDEX(Albums!$B:$B, MATCH(C50,Albums!$C:$C,0))</f>
        <v>2007</v>
      </c>
      <c r="C50" t="s">
        <v>677</v>
      </c>
      <c r="D50">
        <v>2</v>
      </c>
      <c r="E50" t="s">
        <v>724</v>
      </c>
      <c r="H50"/>
    </row>
    <row r="51" spans="1:22">
      <c r="A51" s="8">
        <f>INDEX(Albums!$A:$A, MATCH(C51,Albums!$C:$C,0))</f>
        <v>5</v>
      </c>
      <c r="B51">
        <f>INDEX(Albums!$B:$B, MATCH(C51,Albums!$C:$C,0))</f>
        <v>2007</v>
      </c>
      <c r="C51" t="s">
        <v>677</v>
      </c>
      <c r="D51">
        <v>3</v>
      </c>
      <c r="E51" t="s">
        <v>725</v>
      </c>
      <c r="H51"/>
    </row>
    <row r="52" spans="1:22">
      <c r="A52" s="8">
        <f>INDEX(Albums!$A:$A, MATCH(C52,Albums!$C:$C,0))</f>
        <v>5</v>
      </c>
      <c r="B52">
        <f>INDEX(Albums!$B:$B, MATCH(C52,Albums!$C:$C,0))</f>
        <v>2007</v>
      </c>
      <c r="C52" t="s">
        <v>677</v>
      </c>
      <c r="D52">
        <v>4</v>
      </c>
      <c r="E52" t="s">
        <v>726</v>
      </c>
      <c r="H52"/>
    </row>
    <row r="53" spans="1:22">
      <c r="A53" s="8">
        <f>INDEX(Albums!$A:$A, MATCH(C53,Albums!$C:$C,0))</f>
        <v>5</v>
      </c>
      <c r="B53">
        <f>INDEX(Albums!$B:$B, MATCH(C53,Albums!$C:$C,0))</f>
        <v>2007</v>
      </c>
      <c r="C53" t="s">
        <v>677</v>
      </c>
      <c r="D53">
        <v>5</v>
      </c>
      <c r="E53" t="s">
        <v>727</v>
      </c>
      <c r="H53"/>
    </row>
    <row r="54" spans="1:22">
      <c r="A54" s="8">
        <f>INDEX(Albums!$A:$A, MATCH(C54,Albums!$C:$C,0))</f>
        <v>5</v>
      </c>
      <c r="B54">
        <f>INDEX(Albums!$B:$B, MATCH(C54,Albums!$C:$C,0))</f>
        <v>2007</v>
      </c>
      <c r="C54" t="s">
        <v>677</v>
      </c>
      <c r="D54">
        <v>6</v>
      </c>
      <c r="E54" t="s">
        <v>728</v>
      </c>
      <c r="H54"/>
    </row>
    <row r="55" spans="1:22">
      <c r="A55" s="8">
        <f>INDEX(Albums!$A:$A, MATCH(C55,Albums!$C:$C,0))</f>
        <v>5</v>
      </c>
      <c r="B55">
        <f>INDEX(Albums!$B:$B, MATCH(C55,Albums!$C:$C,0))</f>
        <v>2007</v>
      </c>
      <c r="C55" t="s">
        <v>677</v>
      </c>
      <c r="D55">
        <v>7</v>
      </c>
      <c r="E55" t="s">
        <v>729</v>
      </c>
      <c r="H55"/>
    </row>
    <row r="56" spans="1:22">
      <c r="A56" s="8">
        <f>INDEX(Albums!$A:$A, MATCH(C56,Albums!$C:$C,0))</f>
        <v>5</v>
      </c>
      <c r="B56">
        <f>INDEX(Albums!$B:$B, MATCH(C56,Albums!$C:$C,0))</f>
        <v>2007</v>
      </c>
      <c r="C56" t="s">
        <v>677</v>
      </c>
      <c r="D56">
        <v>8</v>
      </c>
      <c r="E56" t="s">
        <v>661</v>
      </c>
      <c r="H56"/>
    </row>
    <row r="57" spans="1:22">
      <c r="A57" s="8">
        <f>INDEX(Albums!$A:$A, MATCH(C57,Albums!$C:$C,0))</f>
        <v>5</v>
      </c>
      <c r="B57">
        <f>INDEX(Albums!$B:$B, MATCH(C57,Albums!$C:$C,0))</f>
        <v>2007</v>
      </c>
      <c r="C57" t="s">
        <v>677</v>
      </c>
      <c r="D57">
        <v>9</v>
      </c>
      <c r="E57" t="s">
        <v>730</v>
      </c>
      <c r="H57"/>
    </row>
    <row r="58" spans="1:22">
      <c r="A58" s="8">
        <f>INDEX(Albums!$A:$A, MATCH(C58,Albums!$C:$C,0))</f>
        <v>5</v>
      </c>
      <c r="B58">
        <f>INDEX(Albums!$B:$B, MATCH(C58,Albums!$C:$C,0))</f>
        <v>2007</v>
      </c>
      <c r="C58" t="s">
        <v>677</v>
      </c>
      <c r="D58">
        <v>10</v>
      </c>
      <c r="E58" t="s">
        <v>731</v>
      </c>
      <c r="H58"/>
    </row>
    <row r="59" spans="1:22">
      <c r="A59" s="8">
        <f>INDEX(Albums!$A:$A, MATCH(C59,Albums!$C:$C,0))</f>
        <v>5</v>
      </c>
      <c r="B59">
        <f>INDEX(Albums!$B:$B, MATCH(C59,Albums!$C:$C,0))</f>
        <v>2007</v>
      </c>
      <c r="C59" t="s">
        <v>677</v>
      </c>
      <c r="D59">
        <v>11</v>
      </c>
      <c r="E59" t="s">
        <v>732</v>
      </c>
      <c r="H59"/>
    </row>
    <row r="60" spans="1:22">
      <c r="A60" s="8">
        <f>INDEX(Albums!$A:$A, MATCH(C60,Albums!$C:$C,0))</f>
        <v>5</v>
      </c>
      <c r="B60">
        <f>INDEX(Albums!$B:$B, MATCH(C60,Albums!$C:$C,0))</f>
        <v>2007</v>
      </c>
      <c r="C60" t="s">
        <v>677</v>
      </c>
      <c r="D60">
        <v>12</v>
      </c>
      <c r="E60" t="s">
        <v>733</v>
      </c>
      <c r="H60"/>
    </row>
    <row r="61" spans="1:22">
      <c r="A61" s="8">
        <f>INDEX(Albums!$A:$A, MATCH(C61,Albums!$C:$C,0))</f>
        <v>5</v>
      </c>
      <c r="B61">
        <f>INDEX(Albums!$B:$B, MATCH(C61,Albums!$C:$C,0))</f>
        <v>2007</v>
      </c>
      <c r="C61" t="s">
        <v>677</v>
      </c>
      <c r="D61">
        <v>13</v>
      </c>
      <c r="E61" t="s">
        <v>734</v>
      </c>
      <c r="H61"/>
    </row>
    <row r="62" spans="1:22">
      <c r="A62" s="8">
        <f>INDEX(Albums!$A:$A, MATCH(C62,Albums!$C:$C,0))</f>
        <v>5</v>
      </c>
      <c r="B62">
        <f>INDEX(Albums!$B:$B, MATCH(C62,Albums!$C:$C,0))</f>
        <v>2007</v>
      </c>
      <c r="C62" t="s">
        <v>677</v>
      </c>
      <c r="D62">
        <v>14</v>
      </c>
      <c r="E62" t="s">
        <v>735</v>
      </c>
      <c r="H62"/>
    </row>
    <row r="63" spans="1:22">
      <c r="A63" s="8">
        <f>INDEX(Albums!$A:$A, MATCH(C63,Albums!$C:$C,0))</f>
        <v>5</v>
      </c>
      <c r="B63">
        <f>INDEX(Albums!$B:$B, MATCH(C63,Albums!$C:$C,0))</f>
        <v>2007</v>
      </c>
      <c r="C63" t="s">
        <v>677</v>
      </c>
      <c r="D63">
        <v>15</v>
      </c>
      <c r="E63" t="s">
        <v>702</v>
      </c>
      <c r="H63"/>
    </row>
    <row r="64" spans="1:22">
      <c r="A64" s="8">
        <f>INDEX(Albums!$A:$A, MATCH(C64,Albums!$C:$C,0))</f>
        <v>6</v>
      </c>
      <c r="B64">
        <f>INDEX(Albums!$B:$B, MATCH(C64,Albums!$C:$C,0))</f>
        <v>2008</v>
      </c>
      <c r="C64" t="s">
        <v>767</v>
      </c>
      <c r="D64" s="8">
        <v>1</v>
      </c>
      <c r="E64" s="8" t="s">
        <v>565</v>
      </c>
      <c r="F64" s="8"/>
      <c r="G64" s="8"/>
      <c r="L64" s="28"/>
      <c r="M64" s="8"/>
      <c r="N64" s="10"/>
      <c r="O64" s="10"/>
      <c r="P64" s="10"/>
      <c r="Q64" s="10"/>
      <c r="R64" s="10"/>
      <c r="S64" s="10"/>
      <c r="T64" s="10"/>
      <c r="U64" s="10"/>
      <c r="V64" s="8"/>
    </row>
    <row r="65" spans="1:22">
      <c r="A65" s="8">
        <f>INDEX(Albums!$A:$A, MATCH(C65,Albums!$C:$C,0))</f>
        <v>6</v>
      </c>
      <c r="B65">
        <f>INDEX(Albums!$B:$B, MATCH(C65,Albums!$C:$C,0))</f>
        <v>2008</v>
      </c>
      <c r="C65" t="s">
        <v>767</v>
      </c>
      <c r="D65" s="8">
        <v>2</v>
      </c>
      <c r="E65" s="8" t="s">
        <v>567</v>
      </c>
      <c r="F65" s="8"/>
      <c r="G65" s="8"/>
      <c r="L65" s="28"/>
      <c r="M65" s="8"/>
      <c r="N65" s="10"/>
      <c r="O65" s="10"/>
      <c r="P65" s="10"/>
      <c r="Q65" s="10"/>
      <c r="R65" s="10"/>
      <c r="S65" s="10"/>
      <c r="T65" s="10"/>
      <c r="U65" s="10"/>
      <c r="V65" s="8"/>
    </row>
    <row r="66" spans="1:22">
      <c r="A66" s="8">
        <f>INDEX(Albums!$A:$A, MATCH(C66,Albums!$C:$C,0))</f>
        <v>6</v>
      </c>
      <c r="B66">
        <f>INDEX(Albums!$B:$B, MATCH(C66,Albums!$C:$C,0))</f>
        <v>2008</v>
      </c>
      <c r="C66" t="s">
        <v>767</v>
      </c>
      <c r="D66" s="8">
        <v>3</v>
      </c>
      <c r="E66" s="8" t="s">
        <v>17</v>
      </c>
      <c r="F66" s="8"/>
      <c r="G66" s="8"/>
      <c r="L66" s="28"/>
      <c r="M66" s="8"/>
      <c r="N66" s="10"/>
      <c r="O66" s="10"/>
      <c r="P66" s="10"/>
      <c r="Q66" s="10"/>
      <c r="R66" s="10"/>
      <c r="S66" s="10"/>
      <c r="T66" s="10"/>
      <c r="U66" s="10"/>
      <c r="V66" s="8"/>
    </row>
    <row r="67" spans="1:22">
      <c r="A67" s="8">
        <f>INDEX(Albums!$A:$A, MATCH(C67,Albums!$C:$C,0))</f>
        <v>6</v>
      </c>
      <c r="B67">
        <f>INDEX(Albums!$B:$B, MATCH(C67,Albums!$C:$C,0))</f>
        <v>2008</v>
      </c>
      <c r="C67" t="s">
        <v>767</v>
      </c>
      <c r="D67" s="8">
        <v>4</v>
      </c>
      <c r="E67" s="8" t="s">
        <v>658</v>
      </c>
      <c r="F67" s="8"/>
      <c r="G67" s="8" t="s">
        <v>635</v>
      </c>
      <c r="L67" s="28"/>
      <c r="M67" s="8"/>
      <c r="N67" s="10"/>
      <c r="O67" s="10"/>
      <c r="P67" s="10"/>
      <c r="Q67" s="10"/>
      <c r="R67" s="10"/>
      <c r="S67" s="10"/>
      <c r="T67" s="10"/>
      <c r="U67" s="10"/>
      <c r="V67" s="8"/>
    </row>
    <row r="68" spans="1:22">
      <c r="A68" s="8">
        <f>INDEX(Albums!$A:$A, MATCH(C68,Albums!$C:$C,0))</f>
        <v>6</v>
      </c>
      <c r="B68">
        <f>INDEX(Albums!$B:$B, MATCH(C68,Albums!$C:$C,0))</f>
        <v>2008</v>
      </c>
      <c r="C68" t="s">
        <v>767</v>
      </c>
      <c r="D68" s="8">
        <v>5</v>
      </c>
      <c r="E68" s="8" t="s">
        <v>659</v>
      </c>
      <c r="F68" s="8"/>
      <c r="G68" s="8"/>
      <c r="L68" s="28"/>
      <c r="M68" s="8"/>
      <c r="N68" s="10"/>
      <c r="O68" s="10"/>
      <c r="P68" s="10"/>
      <c r="Q68" s="10"/>
      <c r="R68" s="10"/>
      <c r="S68" s="10"/>
      <c r="T68" s="10"/>
      <c r="U68" s="10"/>
      <c r="V68" s="8"/>
    </row>
    <row r="69" spans="1:22">
      <c r="A69" s="8">
        <f>INDEX(Albums!$A:$A, MATCH(C69,Albums!$C:$C,0))</f>
        <v>6</v>
      </c>
      <c r="B69">
        <f>INDEX(Albums!$B:$B, MATCH(C69,Albums!$C:$C,0))</f>
        <v>2008</v>
      </c>
      <c r="C69" t="s">
        <v>767</v>
      </c>
      <c r="D69" s="8">
        <v>6</v>
      </c>
      <c r="E69" s="8" t="s">
        <v>6</v>
      </c>
      <c r="F69" s="8"/>
      <c r="G69" s="8"/>
      <c r="L69" s="28"/>
      <c r="M69" s="8"/>
      <c r="N69" s="10"/>
      <c r="O69" s="10"/>
      <c r="P69" s="10"/>
      <c r="Q69" s="10"/>
      <c r="R69" s="10"/>
      <c r="S69" s="10"/>
      <c r="T69" s="10"/>
      <c r="U69" s="10"/>
      <c r="V69" s="8"/>
    </row>
    <row r="70" spans="1:22">
      <c r="A70" s="8">
        <f>INDEX(Albums!$A:$A, MATCH(C70,Albums!$C:$C,0))</f>
        <v>6</v>
      </c>
      <c r="B70">
        <f>INDEX(Albums!$B:$B, MATCH(C70,Albums!$C:$C,0))</f>
        <v>2008</v>
      </c>
      <c r="C70" t="s">
        <v>767</v>
      </c>
      <c r="D70" s="8">
        <v>7</v>
      </c>
      <c r="E70" s="8" t="s">
        <v>660</v>
      </c>
      <c r="F70" s="8"/>
      <c r="G70" s="8" t="s">
        <v>636</v>
      </c>
      <c r="L70" s="28"/>
      <c r="M70" s="8"/>
      <c r="N70" s="10"/>
      <c r="O70" s="10"/>
      <c r="P70" s="10"/>
      <c r="Q70" s="10"/>
      <c r="R70" s="10"/>
      <c r="S70" s="10"/>
      <c r="T70" s="10"/>
      <c r="U70" s="10"/>
      <c r="V70" s="8"/>
    </row>
    <row r="71" spans="1:22">
      <c r="A71" s="8">
        <f>INDEX(Albums!$A:$A, MATCH(C71,Albums!$C:$C,0))</f>
        <v>6</v>
      </c>
      <c r="B71">
        <f>INDEX(Albums!$B:$B, MATCH(C71,Albums!$C:$C,0))</f>
        <v>2008</v>
      </c>
      <c r="C71" t="s">
        <v>767</v>
      </c>
      <c r="D71" s="8">
        <v>8</v>
      </c>
      <c r="E71" s="8" t="s">
        <v>661</v>
      </c>
      <c r="F71" s="8"/>
      <c r="G71" s="8" t="s">
        <v>637</v>
      </c>
      <c r="L71" s="28"/>
      <c r="M71" s="8"/>
      <c r="N71" s="10"/>
      <c r="O71" s="10"/>
      <c r="P71" s="10"/>
      <c r="Q71" s="10"/>
      <c r="R71" s="10"/>
      <c r="S71" s="10"/>
      <c r="T71" s="10"/>
      <c r="U71" s="10"/>
      <c r="V71" s="8"/>
    </row>
    <row r="72" spans="1:22">
      <c r="A72" s="8">
        <f>INDEX(Albums!$A:$A, MATCH(C72,Albums!$C:$C,0))</f>
        <v>6</v>
      </c>
      <c r="B72">
        <f>INDEX(Albums!$B:$B, MATCH(C72,Albums!$C:$C,0))</f>
        <v>2008</v>
      </c>
      <c r="C72" t="s">
        <v>767</v>
      </c>
      <c r="D72" s="8">
        <v>9</v>
      </c>
      <c r="E72" s="8" t="s">
        <v>662</v>
      </c>
      <c r="F72" s="8"/>
      <c r="G72" s="8" t="s">
        <v>638</v>
      </c>
      <c r="L72" s="28"/>
      <c r="M72" s="8"/>
      <c r="N72" s="10"/>
      <c r="O72" s="10"/>
      <c r="P72" s="10"/>
      <c r="Q72" s="10"/>
      <c r="R72" s="10"/>
      <c r="S72" s="10"/>
      <c r="T72" s="10"/>
      <c r="U72" s="10"/>
      <c r="V72" s="8"/>
    </row>
    <row r="73" spans="1:22">
      <c r="A73" s="8">
        <f>INDEX(Albums!$A:$A, MATCH(C73,Albums!$C:$C,0))</f>
        <v>6</v>
      </c>
      <c r="B73">
        <f>INDEX(Albums!$B:$B, MATCH(C73,Albums!$C:$C,0))</f>
        <v>2008</v>
      </c>
      <c r="C73" t="s">
        <v>767</v>
      </c>
      <c r="D73" s="8">
        <v>10</v>
      </c>
      <c r="E73" s="8" t="s">
        <v>663</v>
      </c>
      <c r="F73" s="8"/>
      <c r="G73" s="8"/>
      <c r="L73" s="28"/>
      <c r="M73" s="8"/>
      <c r="N73" s="10"/>
      <c r="O73" s="10"/>
      <c r="P73" s="10"/>
      <c r="Q73" s="10"/>
      <c r="R73" s="10"/>
      <c r="S73" s="10"/>
      <c r="T73" s="10"/>
      <c r="U73" s="10"/>
      <c r="V73" s="8"/>
    </row>
    <row r="74" spans="1:22">
      <c r="A74" s="8">
        <f>INDEX(Albums!$A:$A, MATCH(C74,Albums!$C:$C,0))</f>
        <v>7</v>
      </c>
      <c r="B74">
        <f>INDEX(Albums!$B:$B, MATCH(C74,Albums!$C:$C,0))</f>
        <v>2009</v>
      </c>
      <c r="C74" t="s">
        <v>680</v>
      </c>
      <c r="D74">
        <v>1</v>
      </c>
      <c r="E74" t="s">
        <v>680</v>
      </c>
      <c r="H74"/>
    </row>
    <row r="75" spans="1:22">
      <c r="A75" s="8">
        <f>INDEX(Albums!$A:$A, MATCH(C75,Albums!$C:$C,0))</f>
        <v>7</v>
      </c>
      <c r="B75">
        <f>INDEX(Albums!$B:$B, MATCH(C75,Albums!$C:$C,0))</f>
        <v>2009</v>
      </c>
      <c r="C75" t="s">
        <v>680</v>
      </c>
      <c r="D75">
        <v>2</v>
      </c>
      <c r="E75" t="s">
        <v>681</v>
      </c>
      <c r="H75"/>
    </row>
    <row r="76" spans="1:22">
      <c r="A76" s="8">
        <f>INDEX(Albums!$A:$A, MATCH(C76,Albums!$C:$C,0))</f>
        <v>7</v>
      </c>
      <c r="B76">
        <f>INDEX(Albums!$B:$B, MATCH(C76,Albums!$C:$C,0))</f>
        <v>2009</v>
      </c>
      <c r="C76" t="s">
        <v>680</v>
      </c>
      <c r="D76">
        <v>3</v>
      </c>
      <c r="E76" t="s">
        <v>273</v>
      </c>
      <c r="G76" t="s">
        <v>638</v>
      </c>
      <c r="H76"/>
    </row>
    <row r="77" spans="1:22">
      <c r="A77" s="8">
        <f>INDEX(Albums!$A:$A, MATCH(C77,Albums!$C:$C,0))</f>
        <v>7</v>
      </c>
      <c r="B77">
        <f>INDEX(Albums!$B:$B, MATCH(C77,Albums!$C:$C,0))</f>
        <v>2009</v>
      </c>
      <c r="C77" t="s">
        <v>680</v>
      </c>
      <c r="D77">
        <v>4</v>
      </c>
      <c r="E77" t="s">
        <v>608</v>
      </c>
      <c r="H77"/>
    </row>
    <row r="78" spans="1:22">
      <c r="A78" s="8">
        <f>INDEX(Albums!$A:$A, MATCH(C78,Albums!$C:$C,0))</f>
        <v>7</v>
      </c>
      <c r="B78">
        <f>INDEX(Albums!$B:$B, MATCH(C78,Albums!$C:$C,0))</f>
        <v>2009</v>
      </c>
      <c r="C78" t="s">
        <v>680</v>
      </c>
      <c r="D78">
        <v>5</v>
      </c>
      <c r="E78" t="s">
        <v>682</v>
      </c>
      <c r="H78"/>
    </row>
    <row r="79" spans="1:22">
      <c r="A79" s="8">
        <f>INDEX(Albums!$A:$A, MATCH(C79,Albums!$C:$C,0))</f>
        <v>7</v>
      </c>
      <c r="B79">
        <f>INDEX(Albums!$B:$B, MATCH(C79,Albums!$C:$C,0))</f>
        <v>2009</v>
      </c>
      <c r="C79" t="s">
        <v>680</v>
      </c>
      <c r="D79">
        <v>6</v>
      </c>
      <c r="E79" t="s">
        <v>755</v>
      </c>
      <c r="F79" t="s">
        <v>756</v>
      </c>
      <c r="H79"/>
    </row>
    <row r="80" spans="1:22">
      <c r="A80" s="8">
        <f>INDEX(Albums!$A:$A, MATCH(C80,Albums!$C:$C,0))</f>
        <v>7</v>
      </c>
      <c r="B80">
        <f>INDEX(Albums!$B:$B, MATCH(C80,Albums!$C:$C,0))</f>
        <v>2009</v>
      </c>
      <c r="C80" t="s">
        <v>680</v>
      </c>
      <c r="D80">
        <v>7</v>
      </c>
      <c r="E80" t="s">
        <v>736</v>
      </c>
      <c r="H80"/>
    </row>
    <row r="81" spans="1:8">
      <c r="A81" s="8">
        <f>INDEX(Albums!$A:$A, MATCH(C81,Albums!$C:$C,0))</f>
        <v>7</v>
      </c>
      <c r="B81">
        <f>INDEX(Albums!$B:$B, MATCH(C81,Albums!$C:$C,0))</f>
        <v>2009</v>
      </c>
      <c r="C81" t="s">
        <v>680</v>
      </c>
      <c r="D81">
        <v>8</v>
      </c>
      <c r="E81" t="s">
        <v>683</v>
      </c>
      <c r="H81"/>
    </row>
    <row r="82" spans="1:8">
      <c r="A82" s="8">
        <f>INDEX(Albums!$A:$A, MATCH(C82,Albums!$C:$C,0))</f>
        <v>7</v>
      </c>
      <c r="B82">
        <f>INDEX(Albums!$B:$B, MATCH(C82,Albums!$C:$C,0))</f>
        <v>2009</v>
      </c>
      <c r="C82" t="s">
        <v>680</v>
      </c>
      <c r="D82">
        <v>9</v>
      </c>
      <c r="E82" t="s">
        <v>684</v>
      </c>
      <c r="G82" t="s">
        <v>678</v>
      </c>
      <c r="H82"/>
    </row>
    <row r="83" spans="1:8">
      <c r="A83" s="8">
        <f>INDEX(Albums!$A:$A, MATCH(C83,Albums!$C:$C,0))</f>
        <v>7</v>
      </c>
      <c r="B83">
        <f>INDEX(Albums!$B:$B, MATCH(C83,Albums!$C:$C,0))</f>
        <v>2009</v>
      </c>
      <c r="C83" t="s">
        <v>680</v>
      </c>
      <c r="D83">
        <v>10</v>
      </c>
      <c r="E83" t="s">
        <v>685</v>
      </c>
      <c r="H83"/>
    </row>
    <row r="84" spans="1:8">
      <c r="A84" s="8">
        <f>INDEX(Albums!$A:$A, MATCH(C84,Albums!$C:$C,0))</f>
        <v>7</v>
      </c>
      <c r="B84">
        <f>INDEX(Albums!$B:$B, MATCH(C84,Albums!$C:$C,0))</f>
        <v>2009</v>
      </c>
      <c r="C84" t="s">
        <v>680</v>
      </c>
      <c r="D84">
        <v>11</v>
      </c>
      <c r="E84" t="s">
        <v>686</v>
      </c>
      <c r="G84" t="s">
        <v>679</v>
      </c>
      <c r="H84"/>
    </row>
    <row r="85" spans="1:8">
      <c r="A85" s="8">
        <f>INDEX(Albums!$A:$A, MATCH(C85,Albums!$C:$C,0))</f>
        <v>7</v>
      </c>
      <c r="B85">
        <f>INDEX(Albums!$B:$B, MATCH(C85,Albums!$C:$C,0))</f>
        <v>2009</v>
      </c>
      <c r="C85" t="s">
        <v>680</v>
      </c>
      <c r="D85">
        <v>12</v>
      </c>
      <c r="E85" t="s">
        <v>687</v>
      </c>
      <c r="F85" t="s">
        <v>754</v>
      </c>
      <c r="G85" t="s">
        <v>678</v>
      </c>
      <c r="H85"/>
    </row>
    <row r="86" spans="1:8">
      <c r="A86" s="8">
        <f>INDEX(Albums!$A:$A, MATCH(C86,Albums!$C:$C,0))</f>
        <v>7</v>
      </c>
      <c r="B86">
        <f>INDEX(Albums!$B:$B, MATCH(C86,Albums!$C:$C,0))</f>
        <v>2009</v>
      </c>
      <c r="C86" t="s">
        <v>680</v>
      </c>
      <c r="D86">
        <v>13</v>
      </c>
      <c r="E86" t="s">
        <v>682</v>
      </c>
      <c r="F86" t="s">
        <v>754</v>
      </c>
      <c r="H86"/>
    </row>
    <row r="87" spans="1:8">
      <c r="A87" s="8">
        <f>INDEX(Albums!$A:$A, MATCH(C87,Albums!$C:$C,0))</f>
        <v>7</v>
      </c>
      <c r="B87">
        <f>INDEX(Albums!$B:$B, MATCH(C87,Albums!$C:$C,0))</f>
        <v>2009</v>
      </c>
      <c r="C87" t="s">
        <v>680</v>
      </c>
      <c r="D87">
        <v>14</v>
      </c>
      <c r="E87" t="s">
        <v>680</v>
      </c>
      <c r="F87" t="s">
        <v>754</v>
      </c>
      <c r="H87"/>
    </row>
    <row r="88" spans="1:8">
      <c r="A88" s="8">
        <f>INDEX(Albums!$A:$A, MATCH(C88,Albums!$C:$C,0))</f>
        <v>7</v>
      </c>
      <c r="B88">
        <f>INDEX(Albums!$B:$B, MATCH(C88,Albums!$C:$C,0))</f>
        <v>2009</v>
      </c>
      <c r="C88" t="s">
        <v>680</v>
      </c>
      <c r="D88">
        <v>15</v>
      </c>
      <c r="E88" t="s">
        <v>684</v>
      </c>
      <c r="F88" t="s">
        <v>754</v>
      </c>
      <c r="G88" t="s">
        <v>678</v>
      </c>
      <c r="H88"/>
    </row>
    <row r="89" spans="1:8">
      <c r="A89" s="8">
        <f>INDEX(Albums!$A:$A, MATCH(C89,Albums!$C:$C,0))</f>
        <v>8</v>
      </c>
      <c r="B89">
        <f>INDEX(Albums!$B:$B, MATCH(C89,Albums!$C:$C,0))</f>
        <v>2010</v>
      </c>
      <c r="C89" t="s">
        <v>768</v>
      </c>
      <c r="D89">
        <v>1</v>
      </c>
      <c r="E89" t="s">
        <v>693</v>
      </c>
      <c r="H89"/>
    </row>
    <row r="90" spans="1:8">
      <c r="A90" s="8">
        <f>INDEX(Albums!$A:$A, MATCH(C90,Albums!$C:$C,0))</f>
        <v>8</v>
      </c>
      <c r="B90">
        <f>INDEX(Albums!$B:$B, MATCH(C90,Albums!$C:$C,0))</f>
        <v>2010</v>
      </c>
      <c r="C90" t="s">
        <v>768</v>
      </c>
      <c r="D90">
        <v>2</v>
      </c>
      <c r="E90" t="s">
        <v>694</v>
      </c>
      <c r="H90"/>
    </row>
    <row r="91" spans="1:8">
      <c r="A91" s="8">
        <f>INDEX(Albums!$A:$A, MATCH(C91,Albums!$C:$C,0))</f>
        <v>8</v>
      </c>
      <c r="B91">
        <f>INDEX(Albums!$B:$B, MATCH(C91,Albums!$C:$C,0))</f>
        <v>2010</v>
      </c>
      <c r="C91" t="s">
        <v>768</v>
      </c>
      <c r="D91">
        <v>3</v>
      </c>
      <c r="E91" t="s">
        <v>244</v>
      </c>
      <c r="H91"/>
    </row>
    <row r="92" spans="1:8">
      <c r="A92" s="8">
        <f>INDEX(Albums!$A:$A, MATCH(C92,Albums!$C:$C,0))</f>
        <v>8</v>
      </c>
      <c r="B92">
        <f>INDEX(Albums!$B:$B, MATCH(C92,Albums!$C:$C,0))</f>
        <v>2010</v>
      </c>
      <c r="C92" t="s">
        <v>768</v>
      </c>
      <c r="D92">
        <v>4</v>
      </c>
      <c r="E92" t="s">
        <v>295</v>
      </c>
      <c r="H92"/>
    </row>
    <row r="93" spans="1:8">
      <c r="A93" s="8">
        <f>INDEX(Albums!$A:$A, MATCH(C93,Albums!$C:$C,0))</f>
        <v>8</v>
      </c>
      <c r="B93">
        <f>INDEX(Albums!$B:$B, MATCH(C93,Albums!$C:$C,0))</f>
        <v>2010</v>
      </c>
      <c r="C93" t="s">
        <v>768</v>
      </c>
      <c r="D93">
        <v>5</v>
      </c>
      <c r="E93" t="s">
        <v>317</v>
      </c>
      <c r="H93"/>
    </row>
    <row r="94" spans="1:8">
      <c r="A94" s="8">
        <f>INDEX(Albums!$A:$A, MATCH(C94,Albums!$C:$C,0))</f>
        <v>8</v>
      </c>
      <c r="B94">
        <f>INDEX(Albums!$B:$B, MATCH(C94,Albums!$C:$C,0))</f>
        <v>2010</v>
      </c>
      <c r="C94" t="s">
        <v>768</v>
      </c>
      <c r="D94">
        <v>6</v>
      </c>
      <c r="E94" t="s">
        <v>695</v>
      </c>
      <c r="H94"/>
    </row>
    <row r="95" spans="1:8">
      <c r="A95" s="8">
        <f>INDEX(Albums!$A:$A, MATCH(C95,Albums!$C:$C,0))</f>
        <v>8</v>
      </c>
      <c r="B95">
        <f>INDEX(Albums!$B:$B, MATCH(C95,Albums!$C:$C,0))</f>
        <v>2010</v>
      </c>
      <c r="C95" t="s">
        <v>768</v>
      </c>
      <c r="D95">
        <v>7</v>
      </c>
      <c r="E95" t="s">
        <v>273</v>
      </c>
      <c r="H95"/>
    </row>
    <row r="96" spans="1:8">
      <c r="A96" s="8">
        <f>INDEX(Albums!$A:$A, MATCH(C96,Albums!$C:$C,0))</f>
        <v>8</v>
      </c>
      <c r="B96">
        <f>INDEX(Albums!$B:$B, MATCH(C96,Albums!$C:$C,0))</f>
        <v>2010</v>
      </c>
      <c r="C96" t="s">
        <v>768</v>
      </c>
      <c r="D96">
        <v>8</v>
      </c>
      <c r="E96" t="s">
        <v>337</v>
      </c>
      <c r="H96"/>
    </row>
    <row r="97" spans="1:8">
      <c r="A97" s="8">
        <f>INDEX(Albums!$A:$A, MATCH(C97,Albums!$C:$C,0))</f>
        <v>8</v>
      </c>
      <c r="B97">
        <f>INDEX(Albums!$B:$B, MATCH(C97,Albums!$C:$C,0))</f>
        <v>2010</v>
      </c>
      <c r="C97" t="s">
        <v>768</v>
      </c>
      <c r="D97">
        <v>9</v>
      </c>
      <c r="E97" t="s">
        <v>696</v>
      </c>
      <c r="H97"/>
    </row>
    <row r="98" spans="1:8">
      <c r="A98" s="8">
        <f>INDEX(Albums!$A:$A, MATCH(C98,Albums!$C:$C,0))</f>
        <v>8</v>
      </c>
      <c r="B98">
        <f>INDEX(Albums!$B:$B, MATCH(C98,Albums!$C:$C,0))</f>
        <v>2010</v>
      </c>
      <c r="C98" t="s">
        <v>768</v>
      </c>
      <c r="D98">
        <v>10</v>
      </c>
      <c r="E98" t="s">
        <v>680</v>
      </c>
      <c r="H98"/>
    </row>
    <row r="99" spans="1:8">
      <c r="A99" s="8">
        <f>INDEX(Albums!$A:$A, MATCH(C99,Albums!$C:$C,0))</f>
        <v>9</v>
      </c>
      <c r="B99">
        <f>INDEX(Albums!$B:$B, MATCH(C99,Albums!$C:$C,0))</f>
        <v>2011</v>
      </c>
      <c r="C99" t="s">
        <v>691</v>
      </c>
      <c r="D99">
        <v>1</v>
      </c>
      <c r="E99" t="s">
        <v>255</v>
      </c>
      <c r="H99"/>
    </row>
    <row r="100" spans="1:8">
      <c r="A100" s="8">
        <f>INDEX(Albums!$A:$A, MATCH(C100,Albums!$C:$C,0))</f>
        <v>9</v>
      </c>
      <c r="B100">
        <f>INDEX(Albums!$B:$B, MATCH(C100,Albums!$C:$C,0))</f>
        <v>2011</v>
      </c>
      <c r="C100" t="s">
        <v>691</v>
      </c>
      <c r="D100">
        <v>2</v>
      </c>
      <c r="E100" t="s">
        <v>737</v>
      </c>
      <c r="H100"/>
    </row>
    <row r="101" spans="1:8">
      <c r="A101" s="8">
        <f>INDEX(Albums!$A:$A, MATCH(C101,Albums!$C:$C,0))</f>
        <v>9</v>
      </c>
      <c r="B101">
        <f>INDEX(Albums!$B:$B, MATCH(C101,Albums!$C:$C,0))</f>
        <v>2011</v>
      </c>
      <c r="C101" t="s">
        <v>691</v>
      </c>
      <c r="D101">
        <v>3</v>
      </c>
      <c r="E101" t="s">
        <v>738</v>
      </c>
      <c r="H101"/>
    </row>
    <row r="102" spans="1:8">
      <c r="A102" s="8">
        <f>INDEX(Albums!$A:$A, MATCH(C102,Albums!$C:$C,0))</f>
        <v>9</v>
      </c>
      <c r="B102">
        <f>INDEX(Albums!$B:$B, MATCH(C102,Albums!$C:$C,0))</f>
        <v>2011</v>
      </c>
      <c r="C102" t="s">
        <v>691</v>
      </c>
      <c r="D102">
        <v>4</v>
      </c>
      <c r="E102" t="s">
        <v>739</v>
      </c>
      <c r="G102" t="s">
        <v>688</v>
      </c>
      <c r="H102"/>
    </row>
    <row r="103" spans="1:8">
      <c r="A103" s="8">
        <f>INDEX(Albums!$A:$A, MATCH(C103,Albums!$C:$C,0))</f>
        <v>9</v>
      </c>
      <c r="B103">
        <f>INDEX(Albums!$B:$B, MATCH(C103,Albums!$C:$C,0))</f>
        <v>2011</v>
      </c>
      <c r="C103" t="s">
        <v>691</v>
      </c>
      <c r="D103">
        <v>5</v>
      </c>
      <c r="E103" t="s">
        <v>740</v>
      </c>
      <c r="H103"/>
    </row>
    <row r="104" spans="1:8">
      <c r="A104" s="8">
        <f>INDEX(Albums!$A:$A, MATCH(C104,Albums!$C:$C,0))</f>
        <v>9</v>
      </c>
      <c r="B104">
        <f>INDEX(Albums!$B:$B, MATCH(C104,Albums!$C:$C,0))</f>
        <v>2011</v>
      </c>
      <c r="C104" t="s">
        <v>691</v>
      </c>
      <c r="D104">
        <v>6</v>
      </c>
      <c r="E104" t="s">
        <v>691</v>
      </c>
      <c r="G104" t="s">
        <v>689</v>
      </c>
      <c r="H104"/>
    </row>
    <row r="105" spans="1:8">
      <c r="A105" s="8">
        <f>INDEX(Albums!$A:$A, MATCH(C105,Albums!$C:$C,0))</f>
        <v>9</v>
      </c>
      <c r="B105">
        <f>INDEX(Albums!$B:$B, MATCH(C105,Albums!$C:$C,0))</f>
        <v>2011</v>
      </c>
      <c r="C105" t="s">
        <v>691</v>
      </c>
      <c r="D105">
        <v>7</v>
      </c>
      <c r="E105" t="s">
        <v>741</v>
      </c>
      <c r="H105"/>
    </row>
    <row r="106" spans="1:8">
      <c r="A106" s="8">
        <f>INDEX(Albums!$A:$A, MATCH(C106,Albums!$C:$C,0))</f>
        <v>9</v>
      </c>
      <c r="B106">
        <f>INDEX(Albums!$B:$B, MATCH(C106,Albums!$C:$C,0))</f>
        <v>2011</v>
      </c>
      <c r="C106" t="s">
        <v>691</v>
      </c>
      <c r="D106">
        <v>8</v>
      </c>
      <c r="E106" t="s">
        <v>742</v>
      </c>
      <c r="H106"/>
    </row>
    <row r="107" spans="1:8">
      <c r="A107" s="8">
        <f>INDEX(Albums!$A:$A, MATCH(C107,Albums!$C:$C,0))</f>
        <v>9</v>
      </c>
      <c r="B107">
        <f>INDEX(Albums!$B:$B, MATCH(C107,Albums!$C:$C,0))</f>
        <v>2011</v>
      </c>
      <c r="C107" t="s">
        <v>691</v>
      </c>
      <c r="D107">
        <v>9</v>
      </c>
      <c r="E107" t="s">
        <v>743</v>
      </c>
      <c r="G107" t="s">
        <v>690</v>
      </c>
      <c r="H107"/>
    </row>
    <row r="108" spans="1:8">
      <c r="A108" s="8">
        <f>INDEX(Albums!$A:$A, MATCH(C108,Albums!$C:$C,0))</f>
        <v>9</v>
      </c>
      <c r="B108">
        <f>INDEX(Albums!$B:$B, MATCH(C108,Albums!$C:$C,0))</f>
        <v>2011</v>
      </c>
      <c r="C108" t="s">
        <v>691</v>
      </c>
      <c r="D108">
        <v>10</v>
      </c>
      <c r="E108" t="s">
        <v>744</v>
      </c>
      <c r="H108"/>
    </row>
    <row r="109" spans="1:8">
      <c r="A109" s="8">
        <f>INDEX(Albums!$A:$A, MATCH(C109,Albums!$C:$C,0))</f>
        <v>9</v>
      </c>
      <c r="B109">
        <f>INDEX(Albums!$B:$B, MATCH(C109,Albums!$C:$C,0))</f>
        <v>2011</v>
      </c>
      <c r="C109" t="s">
        <v>691</v>
      </c>
      <c r="D109">
        <v>11</v>
      </c>
      <c r="E109" t="s">
        <v>745</v>
      </c>
      <c r="H109"/>
    </row>
    <row r="110" spans="1:8">
      <c r="A110" s="8">
        <f>INDEX(Albums!$A:$A, MATCH(C110,Albums!$C:$C,0))</f>
        <v>9</v>
      </c>
      <c r="B110">
        <f>INDEX(Albums!$B:$B, MATCH(C110,Albums!$C:$C,0))</f>
        <v>2011</v>
      </c>
      <c r="C110" t="s">
        <v>691</v>
      </c>
      <c r="D110">
        <v>12</v>
      </c>
      <c r="E110" t="s">
        <v>746</v>
      </c>
      <c r="H110"/>
    </row>
    <row r="111" spans="1:8">
      <c r="A111" s="8">
        <f>INDEX(Albums!$A:$A, MATCH(C111,Albums!$C:$C,0))</f>
        <v>10</v>
      </c>
      <c r="B111">
        <f>INDEX(Albums!$B:$B, MATCH(C111,Albums!$C:$C,0))</f>
        <v>2013</v>
      </c>
      <c r="C111" t="s">
        <v>692</v>
      </c>
      <c r="D111">
        <v>1</v>
      </c>
      <c r="E111" t="s">
        <v>607</v>
      </c>
      <c r="H111"/>
    </row>
    <row r="112" spans="1:8">
      <c r="A112" s="8">
        <f>INDEX(Albums!$A:$A, MATCH(C112,Albums!$C:$C,0))</f>
        <v>10</v>
      </c>
      <c r="B112">
        <f>INDEX(Albums!$B:$B, MATCH(C112,Albums!$C:$C,0))</f>
        <v>2013</v>
      </c>
      <c r="C112" t="s">
        <v>692</v>
      </c>
      <c r="D112">
        <v>2</v>
      </c>
      <c r="E112" t="s">
        <v>692</v>
      </c>
      <c r="H112"/>
    </row>
    <row r="113" spans="1:22">
      <c r="A113" s="8">
        <f>INDEX(Albums!$A:$A, MATCH(C113,Albums!$C:$C,0))</f>
        <v>10</v>
      </c>
      <c r="B113">
        <f>INDEX(Albums!$B:$B, MATCH(C113,Albums!$C:$C,0))</f>
        <v>2013</v>
      </c>
      <c r="C113" t="s">
        <v>692</v>
      </c>
      <c r="D113">
        <v>3</v>
      </c>
      <c r="E113" t="s">
        <v>336</v>
      </c>
      <c r="H113"/>
    </row>
    <row r="114" spans="1:22">
      <c r="A114" s="8">
        <f>INDEX(Albums!$A:$A, MATCH(C114,Albums!$C:$C,0))</f>
        <v>10</v>
      </c>
      <c r="B114">
        <f>INDEX(Albums!$B:$B, MATCH(C114,Albums!$C:$C,0))</f>
        <v>2013</v>
      </c>
      <c r="C114" t="s">
        <v>692</v>
      </c>
      <c r="D114">
        <v>4</v>
      </c>
      <c r="E114" t="s">
        <v>747</v>
      </c>
      <c r="H114"/>
    </row>
    <row r="115" spans="1:22">
      <c r="A115" s="8">
        <f>INDEX(Albums!$A:$A, MATCH(C115,Albums!$C:$C,0))</f>
        <v>10</v>
      </c>
      <c r="B115">
        <f>INDEX(Albums!$B:$B, MATCH(C115,Albums!$C:$C,0))</f>
        <v>2013</v>
      </c>
      <c r="C115" t="s">
        <v>692</v>
      </c>
      <c r="D115">
        <v>5</v>
      </c>
      <c r="E115" t="s">
        <v>748</v>
      </c>
      <c r="H115"/>
    </row>
    <row r="116" spans="1:22">
      <c r="A116" s="8">
        <f>INDEX(Albums!$A:$A, MATCH(C116,Albums!$C:$C,0))</f>
        <v>10</v>
      </c>
      <c r="B116">
        <f>INDEX(Albums!$B:$B, MATCH(C116,Albums!$C:$C,0))</f>
        <v>2013</v>
      </c>
      <c r="C116" t="s">
        <v>692</v>
      </c>
      <c r="D116">
        <v>6</v>
      </c>
      <c r="E116" t="s">
        <v>749</v>
      </c>
      <c r="H116"/>
    </row>
    <row r="117" spans="1:22">
      <c r="A117" s="8">
        <f>INDEX(Albums!$A:$A, MATCH(C117,Albums!$C:$C,0))</f>
        <v>10</v>
      </c>
      <c r="B117">
        <f>INDEX(Albums!$B:$B, MATCH(C117,Albums!$C:$C,0))</f>
        <v>2013</v>
      </c>
      <c r="C117" t="s">
        <v>692</v>
      </c>
      <c r="D117">
        <v>7</v>
      </c>
      <c r="E117" t="s">
        <v>750</v>
      </c>
      <c r="H117"/>
    </row>
    <row r="118" spans="1:22">
      <c r="A118" s="8">
        <f>INDEX(Albums!$A:$A, MATCH(C118,Albums!$C:$C,0))</f>
        <v>10</v>
      </c>
      <c r="B118">
        <f>INDEX(Albums!$B:$B, MATCH(C118,Albums!$C:$C,0))</f>
        <v>2013</v>
      </c>
      <c r="C118" t="s">
        <v>692</v>
      </c>
      <c r="D118">
        <v>8</v>
      </c>
      <c r="E118" t="s">
        <v>751</v>
      </c>
      <c r="H118"/>
    </row>
    <row r="119" spans="1:22">
      <c r="A119" s="8">
        <f>INDEX(Albums!$A:$A, MATCH(C119,Albums!$C:$C,0))</f>
        <v>10</v>
      </c>
      <c r="B119">
        <f>INDEX(Albums!$B:$B, MATCH(C119,Albums!$C:$C,0))</f>
        <v>2013</v>
      </c>
      <c r="C119" t="s">
        <v>692</v>
      </c>
      <c r="D119">
        <v>9</v>
      </c>
      <c r="E119" t="s">
        <v>752</v>
      </c>
      <c r="H119"/>
    </row>
    <row r="120" spans="1:22">
      <c r="A120" s="8">
        <f>INDEX(Albums!$A:$A, MATCH(C120,Albums!$C:$C,0))</f>
        <v>10</v>
      </c>
      <c r="B120">
        <f>INDEX(Albums!$B:$B, MATCH(C120,Albums!$C:$C,0))</f>
        <v>2013</v>
      </c>
      <c r="C120" t="s">
        <v>692</v>
      </c>
      <c r="D120">
        <v>10</v>
      </c>
      <c r="E120" t="s">
        <v>753</v>
      </c>
      <c r="H120"/>
    </row>
    <row r="121" spans="1:22">
      <c r="A121" s="8">
        <f>INDEX(Albums!$A:$A, MATCH(C121,Albums!$C:$C,0))</f>
        <v>10</v>
      </c>
      <c r="B121">
        <f>INDEX(Albums!$B:$B, MATCH(C121,Albums!$C:$C,0))</f>
        <v>2013</v>
      </c>
      <c r="C121" t="s">
        <v>692</v>
      </c>
      <c r="D121">
        <v>11</v>
      </c>
      <c r="E121" t="s">
        <v>284</v>
      </c>
      <c r="H121"/>
    </row>
    <row r="122" spans="1:22">
      <c r="A122" s="8">
        <f>INDEX(Albums!$A:$A, MATCH(C122,Albums!$C:$C,0))</f>
        <v>11</v>
      </c>
      <c r="B122">
        <f>INDEX(Albums!$B:$B, MATCH(C122,Albums!$C:$C,0))</f>
        <v>2014</v>
      </c>
      <c r="C122" t="s">
        <v>622</v>
      </c>
      <c r="D122">
        <v>1</v>
      </c>
      <c r="E122" t="s">
        <v>224</v>
      </c>
      <c r="F122" t="s">
        <v>225</v>
      </c>
      <c r="G122" t="s">
        <v>226</v>
      </c>
      <c r="H122" s="8" t="s">
        <v>0</v>
      </c>
      <c r="I122" s="8">
        <v>130</v>
      </c>
      <c r="J122" s="8">
        <v>6428767</v>
      </c>
      <c r="K122" s="29"/>
      <c r="L122" s="27" t="s">
        <v>47</v>
      </c>
      <c r="M122" t="s">
        <v>164</v>
      </c>
      <c r="N122" t="s">
        <v>124</v>
      </c>
      <c r="O122" s="2" t="s">
        <v>20</v>
      </c>
      <c r="P122" s="2" t="s">
        <v>20</v>
      </c>
      <c r="Q122" s="3">
        <v>60</v>
      </c>
      <c r="R122" s="4" t="s">
        <v>52</v>
      </c>
      <c r="S122" s="5">
        <v>6428767</v>
      </c>
      <c r="T122" s="3">
        <v>2012</v>
      </c>
      <c r="U122" s="3" t="s">
        <v>53</v>
      </c>
      <c r="V122" s="1" t="str">
        <f>IF(J122=S122,"Yes","")</f>
        <v>Yes</v>
      </c>
    </row>
    <row r="123" spans="1:22">
      <c r="A123" s="8">
        <f>INDEX(Albums!$A:$A, MATCH(C123,Albums!$C:$C,0))</f>
        <v>11</v>
      </c>
      <c r="B123">
        <f>INDEX(Albums!$B:$B, MATCH(C123,Albums!$C:$C,0))</f>
        <v>2014</v>
      </c>
      <c r="C123" t="s">
        <v>622</v>
      </c>
      <c r="D123">
        <v>2</v>
      </c>
      <c r="E123" t="s">
        <v>227</v>
      </c>
      <c r="F123" t="s">
        <v>225</v>
      </c>
      <c r="G123" t="s">
        <v>228</v>
      </c>
      <c r="H123" s="8" t="s">
        <v>18</v>
      </c>
      <c r="I123" s="8">
        <v>99</v>
      </c>
      <c r="J123" s="8">
        <v>6333821</v>
      </c>
      <c r="K123" s="29"/>
      <c r="L123" s="27" t="s">
        <v>47</v>
      </c>
      <c r="M123" t="s">
        <v>164</v>
      </c>
      <c r="N123" t="s">
        <v>125</v>
      </c>
      <c r="O123" s="2" t="s">
        <v>0</v>
      </c>
      <c r="P123" s="2" t="s">
        <v>18</v>
      </c>
      <c r="Q123" s="3">
        <v>100</v>
      </c>
      <c r="R123" s="4" t="s">
        <v>52</v>
      </c>
      <c r="S123" s="5">
        <v>6333821</v>
      </c>
      <c r="T123" s="3">
        <v>2012</v>
      </c>
      <c r="U123" s="3" t="s">
        <v>109</v>
      </c>
      <c r="V123" s="1" t="str">
        <f>IF(J123=S123,"Yes","")</f>
        <v>Yes</v>
      </c>
    </row>
    <row r="124" spans="1:22">
      <c r="A124" s="8">
        <f>INDEX(Albums!$A:$A, MATCH(C124,Albums!$C:$C,0))</f>
        <v>11</v>
      </c>
      <c r="B124">
        <f>INDEX(Albums!$B:$B, MATCH(C124,Albums!$C:$C,0))</f>
        <v>2014</v>
      </c>
      <c r="C124" t="s">
        <v>622</v>
      </c>
      <c r="D124">
        <v>3</v>
      </c>
      <c r="E124" t="s">
        <v>229</v>
      </c>
      <c r="F124" t="s">
        <v>225</v>
      </c>
      <c r="G124" t="s">
        <v>230</v>
      </c>
      <c r="H124" s="8" t="s">
        <v>4</v>
      </c>
      <c r="I124" s="8">
        <v>72</v>
      </c>
      <c r="J124" s="8">
        <v>5881130</v>
      </c>
      <c r="K124" s="29"/>
      <c r="L124" s="27" t="s">
        <v>47</v>
      </c>
      <c r="M124" t="s">
        <v>164</v>
      </c>
      <c r="N124" t="s">
        <v>126</v>
      </c>
      <c r="O124" s="2" t="s">
        <v>15</v>
      </c>
      <c r="P124" s="2" t="s">
        <v>15</v>
      </c>
      <c r="Q124" s="3">
        <v>76</v>
      </c>
      <c r="R124" s="4" t="s">
        <v>52</v>
      </c>
      <c r="S124" s="5">
        <v>5881130</v>
      </c>
      <c r="T124" s="3">
        <v>2011</v>
      </c>
      <c r="U124" s="7" t="s">
        <v>127</v>
      </c>
      <c r="V124" s="1" t="str">
        <f>IF(J124=S124,"Yes","")</f>
        <v>Yes</v>
      </c>
    </row>
    <row r="125" spans="1:22" s="1" customFormat="1">
      <c r="A125" s="8">
        <f>INDEX(Albums!$A:$A, MATCH(C125,Albums!$C:$C,0))</f>
        <v>11</v>
      </c>
      <c r="B125">
        <f>INDEX(Albums!$B:$B, MATCH(C125,Albums!$C:$C,0))</f>
        <v>2014</v>
      </c>
      <c r="C125" t="s">
        <v>622</v>
      </c>
      <c r="D125">
        <v>4</v>
      </c>
      <c r="E125" t="s">
        <v>231</v>
      </c>
      <c r="F125" t="s">
        <v>225</v>
      </c>
      <c r="G125" t="s">
        <v>162</v>
      </c>
      <c r="H125" s="8" t="s">
        <v>4</v>
      </c>
      <c r="I125" s="8">
        <v>72</v>
      </c>
      <c r="J125" s="8">
        <v>5925687</v>
      </c>
      <c r="K125" s="29"/>
      <c r="L125" s="27" t="s">
        <v>47</v>
      </c>
      <c r="M125" t="s">
        <v>164</v>
      </c>
      <c r="N125" t="s">
        <v>128</v>
      </c>
      <c r="O125" s="2" t="s">
        <v>4</v>
      </c>
      <c r="P125" s="2" t="s">
        <v>4</v>
      </c>
      <c r="Q125" s="3">
        <v>74</v>
      </c>
      <c r="R125" s="3" t="s">
        <v>52</v>
      </c>
      <c r="S125" s="5">
        <v>5925687</v>
      </c>
      <c r="T125" s="3">
        <v>2011</v>
      </c>
      <c r="U125" s="3" t="s">
        <v>61</v>
      </c>
      <c r="V125" s="1" t="str">
        <f>IF(J125=S125,"Yes","")</f>
        <v>Yes</v>
      </c>
    </row>
    <row r="126" spans="1:22" s="1" customFormat="1">
      <c r="A126" s="8">
        <f>INDEX(Albums!$A:$A, MATCH(C126,Albums!$C:$C,0))</f>
        <v>11</v>
      </c>
      <c r="B126">
        <f>INDEX(Albums!$B:$B, MATCH(C126,Albums!$C:$C,0))</f>
        <v>2014</v>
      </c>
      <c r="C126" t="s">
        <v>622</v>
      </c>
      <c r="D126">
        <v>5</v>
      </c>
      <c r="E126" t="s">
        <v>206</v>
      </c>
      <c r="F126" t="s">
        <v>232</v>
      </c>
      <c r="G126" t="s">
        <v>232</v>
      </c>
      <c r="H126" s="8" t="s">
        <v>7</v>
      </c>
      <c r="I126" s="8">
        <v>64</v>
      </c>
      <c r="J126" s="8">
        <v>3350395</v>
      </c>
      <c r="K126" s="29"/>
      <c r="L126" s="27" t="s">
        <v>47</v>
      </c>
      <c r="M126" t="s">
        <v>164</v>
      </c>
      <c r="N126" t="s">
        <v>129</v>
      </c>
      <c r="O126" s="2" t="s">
        <v>20</v>
      </c>
      <c r="P126" s="2" t="s">
        <v>20</v>
      </c>
      <c r="Q126" s="3">
        <v>60</v>
      </c>
      <c r="R126" s="4" t="s">
        <v>65</v>
      </c>
      <c r="S126" s="5">
        <v>3350395</v>
      </c>
      <c r="T126" s="3">
        <v>2001</v>
      </c>
      <c r="U126" s="3" t="s">
        <v>63</v>
      </c>
      <c r="V126" s="1" t="str">
        <f>IF(J126=S126,"Yes","")</f>
        <v>Yes</v>
      </c>
    </row>
    <row r="127" spans="1:22" s="1" customFormat="1">
      <c r="A127" s="8">
        <f>INDEX(Albums!$A:$A, MATCH(C127,Albums!$C:$C,0))</f>
        <v>11</v>
      </c>
      <c r="B127">
        <f>INDEX(Albums!$B:$B, MATCH(C127,Albums!$C:$C,0))</f>
        <v>2014</v>
      </c>
      <c r="C127" t="s">
        <v>622</v>
      </c>
      <c r="D127">
        <v>6</v>
      </c>
      <c r="E127" t="s">
        <v>233</v>
      </c>
      <c r="F127" t="s">
        <v>225</v>
      </c>
      <c r="G127" t="s">
        <v>234</v>
      </c>
      <c r="H127" s="8" t="s">
        <v>20</v>
      </c>
      <c r="I127" s="8">
        <v>78</v>
      </c>
      <c r="J127" s="8">
        <v>5665521</v>
      </c>
      <c r="K127" s="29"/>
      <c r="L127" s="27" t="s">
        <v>47</v>
      </c>
      <c r="M127"/>
      <c r="N127"/>
      <c r="O127"/>
      <c r="P127"/>
      <c r="Q127"/>
      <c r="R127"/>
      <c r="S127"/>
      <c r="T127"/>
      <c r="U127"/>
      <c r="V127"/>
    </row>
    <row r="128" spans="1:22" s="1" customFormat="1">
      <c r="A128" s="8">
        <f>INDEX(Albums!$A:$A, MATCH(C128,Albums!$C:$C,0))</f>
        <v>11</v>
      </c>
      <c r="B128">
        <f>INDEX(Albums!$B:$B, MATCH(C128,Albums!$C:$C,0))</f>
        <v>2014</v>
      </c>
      <c r="C128" t="s">
        <v>622</v>
      </c>
      <c r="D128">
        <v>7</v>
      </c>
      <c r="E128" t="s">
        <v>198</v>
      </c>
      <c r="F128" t="s">
        <v>235</v>
      </c>
      <c r="G128" t="s">
        <v>29</v>
      </c>
      <c r="H128" s="8" t="s">
        <v>20</v>
      </c>
      <c r="I128" s="8">
        <v>68</v>
      </c>
      <c r="J128" s="8">
        <v>7029505</v>
      </c>
      <c r="K128" s="29"/>
      <c r="L128" s="27" t="s">
        <v>47</v>
      </c>
      <c r="M128"/>
      <c r="N128"/>
      <c r="O128"/>
      <c r="P128"/>
      <c r="Q128"/>
      <c r="R128"/>
      <c r="S128"/>
      <c r="T128"/>
      <c r="U128"/>
      <c r="V128"/>
    </row>
    <row r="129" spans="1:22" s="1" customFormat="1">
      <c r="A129" s="8">
        <f>INDEX(Albums!$A:$A, MATCH(C129,Albums!$C:$C,0))</f>
        <v>11</v>
      </c>
      <c r="B129">
        <f>INDEX(Albums!$B:$B, MATCH(C129,Albums!$C:$C,0))</f>
        <v>2014</v>
      </c>
      <c r="C129" t="s">
        <v>622</v>
      </c>
      <c r="D129">
        <v>8</v>
      </c>
      <c r="E129" t="s">
        <v>236</v>
      </c>
      <c r="F129" t="s">
        <v>225</v>
      </c>
      <c r="G129" t="s">
        <v>62</v>
      </c>
      <c r="H129" s="8" t="s">
        <v>0</v>
      </c>
      <c r="I129" s="8">
        <v>70</v>
      </c>
      <c r="J129" s="8">
        <v>6016351</v>
      </c>
      <c r="K129" s="29"/>
      <c r="L129" s="27" t="s">
        <v>47</v>
      </c>
      <c r="M129" t="s">
        <v>164</v>
      </c>
      <c r="N129" t="s">
        <v>130</v>
      </c>
      <c r="O129" s="2" t="s">
        <v>0</v>
      </c>
      <c r="P129" s="2" t="s">
        <v>0</v>
      </c>
      <c r="Q129" s="3">
        <v>73</v>
      </c>
      <c r="R129" s="4" t="s">
        <v>52</v>
      </c>
      <c r="S129" s="5">
        <v>6016351</v>
      </c>
      <c r="T129" s="3">
        <v>2011</v>
      </c>
      <c r="U129" s="7" t="s">
        <v>131</v>
      </c>
      <c r="V129" s="1" t="str">
        <f>IF(J129=S129,"Yes","")</f>
        <v>Yes</v>
      </c>
    </row>
    <row r="130" spans="1:22" s="1" customFormat="1">
      <c r="A130" s="8">
        <f>INDEX(Albums!$A:$A, MATCH(C130,Albums!$C:$C,0))</f>
        <v>11</v>
      </c>
      <c r="B130">
        <f>INDEX(Albums!$B:$B, MATCH(C130,Albums!$C:$C,0))</f>
        <v>2014</v>
      </c>
      <c r="C130" t="s">
        <v>622</v>
      </c>
      <c r="D130">
        <v>9</v>
      </c>
      <c r="E130" t="s">
        <v>237</v>
      </c>
      <c r="F130" t="s">
        <v>238</v>
      </c>
      <c r="G130" t="s">
        <v>159</v>
      </c>
      <c r="H130" s="8" t="s">
        <v>2</v>
      </c>
      <c r="I130" s="8">
        <v>74</v>
      </c>
      <c r="J130" s="8">
        <v>6440288</v>
      </c>
      <c r="K130" s="29"/>
      <c r="L130" s="27" t="s">
        <v>47</v>
      </c>
      <c r="M130" t="s">
        <v>164</v>
      </c>
      <c r="N130" t="s">
        <v>85</v>
      </c>
      <c r="O130" s="2" t="s">
        <v>2</v>
      </c>
      <c r="P130" s="2" t="s">
        <v>2</v>
      </c>
      <c r="Q130" s="3">
        <v>75</v>
      </c>
      <c r="R130" s="4" t="s">
        <v>52</v>
      </c>
      <c r="S130" s="5">
        <v>6440288</v>
      </c>
      <c r="T130" s="3">
        <v>2012</v>
      </c>
      <c r="U130" s="7" t="s">
        <v>132</v>
      </c>
      <c r="V130" s="1" t="str">
        <f>IF(J130=S130,"Yes","")</f>
        <v>Yes</v>
      </c>
    </row>
    <row r="131" spans="1:22" s="1" customFormat="1">
      <c r="A131" s="8">
        <f>INDEX(Albums!$A:$A, MATCH(C131,Albums!$C:$C,0))</f>
        <v>11</v>
      </c>
      <c r="B131">
        <f>INDEX(Albums!$B:$B, MATCH(C131,Albums!$C:$C,0))</f>
        <v>2014</v>
      </c>
      <c r="C131" t="s">
        <v>622</v>
      </c>
      <c r="D131">
        <v>10</v>
      </c>
      <c r="E131" t="s">
        <v>239</v>
      </c>
      <c r="F131" t="s">
        <v>225</v>
      </c>
      <c r="G131" t="s">
        <v>144</v>
      </c>
      <c r="H131" s="8" t="s">
        <v>2</v>
      </c>
      <c r="I131" s="8">
        <v>132</v>
      </c>
      <c r="J131" s="8">
        <v>4847027</v>
      </c>
      <c r="K131" s="29"/>
      <c r="L131" s="27" t="s">
        <v>47</v>
      </c>
      <c r="M131"/>
      <c r="N131"/>
      <c r="O131"/>
      <c r="P131"/>
      <c r="Q131"/>
      <c r="R131"/>
      <c r="S131"/>
      <c r="T131"/>
      <c r="U131"/>
      <c r="V131"/>
    </row>
    <row r="132" spans="1:22" s="1" customFormat="1">
      <c r="A132" s="8">
        <f>INDEX(Albums!$A:$A, MATCH(C132,Albums!$C:$C,0))</f>
        <v>12</v>
      </c>
      <c r="B132">
        <f>INDEX(Albums!$B:$B, MATCH(C132,Albums!$C:$C,0))</f>
        <v>2014</v>
      </c>
      <c r="C132" t="s">
        <v>623</v>
      </c>
      <c r="D132">
        <v>1</v>
      </c>
      <c r="E132" t="s">
        <v>240</v>
      </c>
      <c r="F132" t="s">
        <v>225</v>
      </c>
      <c r="G132" t="s">
        <v>241</v>
      </c>
      <c r="H132" s="8" t="s">
        <v>15</v>
      </c>
      <c r="I132" s="8">
        <v>112</v>
      </c>
      <c r="J132" s="8">
        <v>6578772</v>
      </c>
      <c r="K132" s="29"/>
      <c r="L132" s="27" t="s">
        <v>48</v>
      </c>
      <c r="M132"/>
      <c r="N132"/>
      <c r="O132"/>
      <c r="P132"/>
      <c r="Q132"/>
      <c r="R132"/>
      <c r="S132"/>
      <c r="T132"/>
      <c r="U132"/>
      <c r="V132"/>
    </row>
    <row r="133" spans="1:22" s="1" customFormat="1">
      <c r="A133" s="8">
        <f>INDEX(Albums!$A:$A, MATCH(C133,Albums!$C:$C,0))</f>
        <v>12</v>
      </c>
      <c r="B133">
        <f>INDEX(Albums!$B:$B, MATCH(C133,Albums!$C:$C,0))</f>
        <v>2014</v>
      </c>
      <c r="C133" t="s">
        <v>623</v>
      </c>
      <c r="D133">
        <v>2</v>
      </c>
      <c r="E133" t="s">
        <v>242</v>
      </c>
      <c r="F133" t="s">
        <v>243</v>
      </c>
      <c r="G133" t="s">
        <v>137</v>
      </c>
      <c r="H133" s="8" t="s">
        <v>15</v>
      </c>
      <c r="I133" s="8">
        <v>106</v>
      </c>
      <c r="J133" s="8">
        <v>4662491</v>
      </c>
      <c r="K133" s="29"/>
      <c r="L133" s="27" t="s">
        <v>47</v>
      </c>
      <c r="M133" t="s">
        <v>164</v>
      </c>
      <c r="N133" t="s">
        <v>133</v>
      </c>
      <c r="O133" s="2" t="s">
        <v>0</v>
      </c>
      <c r="P133" s="2" t="s">
        <v>0</v>
      </c>
      <c r="Q133" s="3">
        <v>114</v>
      </c>
      <c r="R133" s="4" t="s">
        <v>52</v>
      </c>
      <c r="S133" s="5">
        <v>4662491</v>
      </c>
      <c r="T133" s="3">
        <v>2006</v>
      </c>
      <c r="U133" s="7" t="s">
        <v>63</v>
      </c>
      <c r="V133" s="1" t="str">
        <f>IF(J133=S133,"Yes","")</f>
        <v>Yes</v>
      </c>
    </row>
    <row r="134" spans="1:22" s="1" customFormat="1">
      <c r="A134" s="8">
        <f>INDEX(Albums!$A:$A, MATCH(C134,Albums!$C:$C,0))</f>
        <v>12</v>
      </c>
      <c r="B134">
        <f>INDEX(Albums!$B:$B, MATCH(C134,Albums!$C:$C,0))</f>
        <v>2014</v>
      </c>
      <c r="C134" t="s">
        <v>623</v>
      </c>
      <c r="D134">
        <v>3</v>
      </c>
      <c r="E134" t="s">
        <v>244</v>
      </c>
      <c r="F134" t="s">
        <v>225</v>
      </c>
      <c r="G134" t="s">
        <v>226</v>
      </c>
      <c r="H134" s="8" t="s">
        <v>2</v>
      </c>
      <c r="I134" s="8">
        <v>83</v>
      </c>
      <c r="J134" s="8">
        <v>5639997</v>
      </c>
      <c r="K134" s="29"/>
      <c r="L134" s="27" t="s">
        <v>47</v>
      </c>
      <c r="M134"/>
      <c r="N134"/>
      <c r="O134"/>
      <c r="P134"/>
      <c r="Q134"/>
      <c r="R134"/>
      <c r="S134"/>
      <c r="T134"/>
      <c r="U134"/>
      <c r="V134"/>
    </row>
    <row r="135" spans="1:22">
      <c r="A135" s="8">
        <f>INDEX(Albums!$A:$A, MATCH(C135,Albums!$C:$C,0))</f>
        <v>12</v>
      </c>
      <c r="B135">
        <f>INDEX(Albums!$B:$B, MATCH(C135,Albums!$C:$C,0))</f>
        <v>2014</v>
      </c>
      <c r="C135" t="s">
        <v>623</v>
      </c>
      <c r="D135">
        <v>4</v>
      </c>
      <c r="E135" t="s">
        <v>245</v>
      </c>
      <c r="F135" t="s">
        <v>225</v>
      </c>
      <c r="G135" t="s">
        <v>62</v>
      </c>
      <c r="H135" s="8" t="s">
        <v>2</v>
      </c>
      <c r="I135" s="8">
        <v>73</v>
      </c>
      <c r="J135" s="8">
        <v>7000689</v>
      </c>
      <c r="K135" s="29"/>
      <c r="L135" s="27" t="s">
        <v>47</v>
      </c>
      <c r="M135" t="s">
        <v>164</v>
      </c>
      <c r="N135" t="s">
        <v>134</v>
      </c>
      <c r="O135" s="2" t="s">
        <v>2</v>
      </c>
      <c r="P135" s="2" t="s">
        <v>2</v>
      </c>
      <c r="Q135" s="3">
        <v>73</v>
      </c>
      <c r="R135" s="3" t="s">
        <v>52</v>
      </c>
      <c r="S135" s="5">
        <v>7000689</v>
      </c>
      <c r="T135" s="3">
        <v>2013</v>
      </c>
      <c r="U135" s="7" t="s">
        <v>131</v>
      </c>
      <c r="V135" s="1" t="str">
        <f>IF(J135=S135,"Yes","")</f>
        <v>Yes</v>
      </c>
    </row>
    <row r="136" spans="1:22">
      <c r="A136" s="8">
        <f>INDEX(Albums!$A:$A, MATCH(C136,Albums!$C:$C,0))</f>
        <v>12</v>
      </c>
      <c r="B136">
        <f>INDEX(Albums!$B:$B, MATCH(C136,Albums!$C:$C,0))</f>
        <v>2014</v>
      </c>
      <c r="C136" t="s">
        <v>623</v>
      </c>
      <c r="D136">
        <v>5</v>
      </c>
      <c r="E136" t="s">
        <v>246</v>
      </c>
      <c r="F136" t="s">
        <v>225</v>
      </c>
      <c r="G136" t="s">
        <v>159</v>
      </c>
      <c r="H136" s="8" t="s">
        <v>2</v>
      </c>
      <c r="I136" s="8">
        <v>84</v>
      </c>
      <c r="J136" s="8">
        <v>4348399</v>
      </c>
      <c r="K136" s="29"/>
      <c r="L136" s="27" t="s">
        <v>47</v>
      </c>
      <c r="M136" t="s">
        <v>164</v>
      </c>
      <c r="N136" t="s">
        <v>85</v>
      </c>
      <c r="O136" s="2" t="s">
        <v>2</v>
      </c>
      <c r="P136" s="2" t="s">
        <v>2</v>
      </c>
      <c r="Q136" s="3">
        <v>76</v>
      </c>
      <c r="R136" s="3" t="s">
        <v>52</v>
      </c>
      <c r="S136" s="5">
        <v>4348399</v>
      </c>
      <c r="T136" s="3">
        <v>2004</v>
      </c>
      <c r="U136" s="3" t="s">
        <v>61</v>
      </c>
      <c r="V136" s="1" t="str">
        <f>IF(J136=S136,"Yes","")</f>
        <v>Yes</v>
      </c>
    </row>
    <row r="137" spans="1:22">
      <c r="A137" s="8">
        <f>INDEX(Albums!$A:$A, MATCH(C137,Albums!$C:$C,0))</f>
        <v>12</v>
      </c>
      <c r="B137">
        <f>INDEX(Albums!$B:$B, MATCH(C137,Albums!$C:$C,0))</f>
        <v>2014</v>
      </c>
      <c r="C137" t="s">
        <v>623</v>
      </c>
      <c r="D137">
        <v>6</v>
      </c>
      <c r="E137" t="s">
        <v>247</v>
      </c>
      <c r="F137" t="s">
        <v>225</v>
      </c>
      <c r="G137" t="s">
        <v>135</v>
      </c>
      <c r="H137" s="8" t="s">
        <v>0</v>
      </c>
      <c r="I137" s="8">
        <v>128</v>
      </c>
      <c r="J137" s="8">
        <v>825356</v>
      </c>
      <c r="K137" s="29"/>
      <c r="L137" s="27" t="s">
        <v>47</v>
      </c>
      <c r="M137" t="s">
        <v>164</v>
      </c>
      <c r="N137" t="s">
        <v>135</v>
      </c>
      <c r="O137" s="2" t="s">
        <v>12</v>
      </c>
      <c r="P137" s="2" t="s">
        <v>12</v>
      </c>
      <c r="Q137" s="3">
        <v>80</v>
      </c>
      <c r="R137" s="4" t="s">
        <v>52</v>
      </c>
      <c r="S137" s="5">
        <v>825356</v>
      </c>
      <c r="T137" s="3">
        <v>1991</v>
      </c>
      <c r="U137" s="7" t="s">
        <v>136</v>
      </c>
      <c r="V137" s="1" t="str">
        <f>IF(J137=S137,"Yes","")</f>
        <v>Yes</v>
      </c>
    </row>
    <row r="138" spans="1:22">
      <c r="A138" s="8">
        <f>INDEX(Albums!$A:$A, MATCH(C138,Albums!$C:$C,0))</f>
        <v>12</v>
      </c>
      <c r="B138">
        <f>INDEX(Albums!$B:$B, MATCH(C138,Albums!$C:$C,0))</f>
        <v>2014</v>
      </c>
      <c r="C138" t="s">
        <v>623</v>
      </c>
      <c r="D138">
        <v>7</v>
      </c>
      <c r="E138" t="s">
        <v>248</v>
      </c>
      <c r="F138" t="s">
        <v>225</v>
      </c>
      <c r="G138" t="s">
        <v>249</v>
      </c>
      <c r="H138" s="8" t="s">
        <v>0</v>
      </c>
      <c r="I138" s="8">
        <v>68</v>
      </c>
      <c r="J138" s="8">
        <v>17803</v>
      </c>
      <c r="K138" s="29"/>
      <c r="L138" s="27" t="s">
        <v>48</v>
      </c>
    </row>
    <row r="139" spans="1:22">
      <c r="A139" s="8">
        <f>INDEX(Albums!$A:$A, MATCH(C139,Albums!$C:$C,0))</f>
        <v>12</v>
      </c>
      <c r="B139">
        <f>INDEX(Albums!$B:$B, MATCH(C139,Albums!$C:$C,0))</f>
        <v>2014</v>
      </c>
      <c r="C139" t="s">
        <v>623</v>
      </c>
      <c r="D139">
        <v>8</v>
      </c>
      <c r="E139" t="s">
        <v>250</v>
      </c>
      <c r="F139" t="s">
        <v>225</v>
      </c>
      <c r="G139" t="s">
        <v>159</v>
      </c>
      <c r="H139" s="8" t="s">
        <v>4</v>
      </c>
      <c r="I139" s="8">
        <v>106</v>
      </c>
      <c r="J139" s="8">
        <v>5677416</v>
      </c>
      <c r="K139" s="29"/>
      <c r="L139" s="27" t="s">
        <v>47</v>
      </c>
      <c r="M139" t="s">
        <v>164</v>
      </c>
      <c r="N139" t="s">
        <v>70</v>
      </c>
      <c r="O139" s="2" t="s">
        <v>4</v>
      </c>
      <c r="P139" s="2" t="s">
        <v>4</v>
      </c>
      <c r="Q139" s="3">
        <v>105</v>
      </c>
      <c r="R139" s="4" t="s">
        <v>52</v>
      </c>
      <c r="S139" s="5">
        <v>5677416</v>
      </c>
      <c r="T139" s="3">
        <v>2010</v>
      </c>
      <c r="U139" s="7" t="s">
        <v>131</v>
      </c>
      <c r="V139" s="1" t="str">
        <f>IF(J139=S139,"Yes","")</f>
        <v>Yes</v>
      </c>
    </row>
    <row r="140" spans="1:22">
      <c r="A140" s="8">
        <f>INDEX(Albums!$A:$A, MATCH(C140,Albums!$C:$C,0))</f>
        <v>12</v>
      </c>
      <c r="B140">
        <f>INDEX(Albums!$B:$B, MATCH(C140,Albums!$C:$C,0))</f>
        <v>2014</v>
      </c>
      <c r="C140" t="s">
        <v>623</v>
      </c>
      <c r="D140">
        <v>9</v>
      </c>
      <c r="E140" t="s">
        <v>251</v>
      </c>
      <c r="F140" t="s">
        <v>225</v>
      </c>
      <c r="G140" t="s">
        <v>137</v>
      </c>
      <c r="H140" s="8" t="s">
        <v>4</v>
      </c>
      <c r="I140" s="8">
        <v>110</v>
      </c>
      <c r="J140" s="8">
        <v>2298355</v>
      </c>
      <c r="K140" s="29"/>
      <c r="L140" s="27" t="s">
        <v>47</v>
      </c>
      <c r="M140" t="s">
        <v>164</v>
      </c>
      <c r="N140" t="s">
        <v>137</v>
      </c>
      <c r="O140" s="2" t="s">
        <v>7</v>
      </c>
      <c r="P140" s="2" t="s">
        <v>7</v>
      </c>
      <c r="Q140" s="3">
        <v>112</v>
      </c>
      <c r="R140" s="4" t="s">
        <v>52</v>
      </c>
      <c r="S140" s="5">
        <v>2298355</v>
      </c>
      <c r="T140" s="3">
        <v>1997</v>
      </c>
      <c r="U140" s="3" t="s">
        <v>138</v>
      </c>
      <c r="V140" s="1" t="str">
        <f>IF(J140=S140,"Yes","")</f>
        <v>Yes</v>
      </c>
    </row>
    <row r="141" spans="1:22">
      <c r="A141" s="8">
        <f>INDEX(Albums!$A:$A, MATCH(C141,Albums!$C:$C,0))</f>
        <v>12</v>
      </c>
      <c r="B141">
        <f>INDEX(Albums!$B:$B, MATCH(C141,Albums!$C:$C,0))</f>
        <v>2014</v>
      </c>
      <c r="C141" t="s">
        <v>623</v>
      </c>
      <c r="D141">
        <v>10</v>
      </c>
      <c r="E141" t="s">
        <v>252</v>
      </c>
      <c r="F141" t="s">
        <v>225</v>
      </c>
      <c r="G141" t="s">
        <v>62</v>
      </c>
      <c r="H141" s="8" t="s">
        <v>7</v>
      </c>
      <c r="I141" s="8">
        <v>79</v>
      </c>
      <c r="J141" s="8">
        <v>1097451</v>
      </c>
      <c r="K141" s="29"/>
      <c r="L141" s="27" t="s">
        <v>47</v>
      </c>
      <c r="M141" t="s">
        <v>164</v>
      </c>
      <c r="N141" t="s">
        <v>62</v>
      </c>
      <c r="O141" s="2" t="s">
        <v>7</v>
      </c>
      <c r="P141" s="2" t="s">
        <v>7</v>
      </c>
      <c r="Q141" s="3">
        <v>77</v>
      </c>
      <c r="R141" s="3" t="s">
        <v>52</v>
      </c>
      <c r="S141" s="5">
        <v>1097451</v>
      </c>
      <c r="T141" s="3">
        <v>1995</v>
      </c>
      <c r="U141" s="7" t="s">
        <v>63</v>
      </c>
      <c r="V141" s="1" t="str">
        <f>IF(J141=S141,"Yes","")</f>
        <v>Yes</v>
      </c>
    </row>
    <row r="142" spans="1:22">
      <c r="A142" s="8">
        <f>INDEX(Albums!$A:$A, MATCH(C142,Albums!$C:$C,0))</f>
        <v>13</v>
      </c>
      <c r="B142">
        <f>INDEX(Albums!$B:$B, MATCH(C142,Albums!$C:$C,0))</f>
        <v>2014</v>
      </c>
      <c r="C142" t="s">
        <v>624</v>
      </c>
      <c r="D142">
        <v>1</v>
      </c>
      <c r="E142" t="s">
        <v>253</v>
      </c>
      <c r="F142" t="s">
        <v>225</v>
      </c>
      <c r="G142" t="s">
        <v>29</v>
      </c>
      <c r="H142" s="8" t="s">
        <v>22</v>
      </c>
      <c r="I142" s="8">
        <v>124</v>
      </c>
      <c r="J142" s="8">
        <v>7031125</v>
      </c>
      <c r="L142" s="27" t="s">
        <v>48</v>
      </c>
    </row>
    <row r="143" spans="1:22">
      <c r="A143" s="8">
        <f>INDEX(Albums!$A:$A, MATCH(C143,Albums!$C:$C,0))</f>
        <v>13</v>
      </c>
      <c r="B143">
        <f>INDEX(Albums!$B:$B, MATCH(C143,Albums!$C:$C,0))</f>
        <v>2014</v>
      </c>
      <c r="C143" t="s">
        <v>624</v>
      </c>
      <c r="D143">
        <v>2</v>
      </c>
      <c r="E143" t="s">
        <v>254</v>
      </c>
      <c r="F143" t="s">
        <v>225</v>
      </c>
      <c r="G143" t="s">
        <v>159</v>
      </c>
      <c r="H143" s="8" t="s">
        <v>0</v>
      </c>
      <c r="I143" s="8">
        <v>96</v>
      </c>
      <c r="J143" s="8">
        <v>5806878</v>
      </c>
      <c r="L143" s="27" t="s">
        <v>47</v>
      </c>
      <c r="M143" t="s">
        <v>164</v>
      </c>
      <c r="N143" t="s">
        <v>91</v>
      </c>
      <c r="O143" s="2" t="s">
        <v>15</v>
      </c>
      <c r="P143" s="2" t="s">
        <v>18</v>
      </c>
      <c r="Q143" s="3">
        <v>96</v>
      </c>
      <c r="R143" s="3" t="s">
        <v>52</v>
      </c>
      <c r="S143" s="5">
        <v>5806878</v>
      </c>
      <c r="T143" s="3">
        <v>2010</v>
      </c>
      <c r="U143" s="3" t="s">
        <v>139</v>
      </c>
      <c r="V143" s="1" t="str">
        <f>IF(J143=S143,"Yes","")</f>
        <v>Yes</v>
      </c>
    </row>
    <row r="144" spans="1:22">
      <c r="A144" s="8">
        <f>INDEX(Albums!$A:$A, MATCH(C144,Albums!$C:$C,0))</f>
        <v>13</v>
      </c>
      <c r="B144">
        <f>INDEX(Albums!$B:$B, MATCH(C144,Albums!$C:$C,0))</f>
        <v>2014</v>
      </c>
      <c r="C144" t="s">
        <v>624</v>
      </c>
      <c r="D144">
        <v>3</v>
      </c>
      <c r="E144" t="s">
        <v>255</v>
      </c>
      <c r="F144" t="s">
        <v>225</v>
      </c>
      <c r="G144" t="s">
        <v>256</v>
      </c>
      <c r="H144" s="8" t="s">
        <v>0</v>
      </c>
      <c r="I144" s="8">
        <v>111</v>
      </c>
      <c r="J144" s="8">
        <v>6186872</v>
      </c>
      <c r="L144" s="27" t="s">
        <v>48</v>
      </c>
    </row>
    <row r="145" spans="1:22">
      <c r="A145" s="8">
        <f>INDEX(Albums!$A:$A, MATCH(C145,Albums!$C:$C,0))</f>
        <v>13</v>
      </c>
      <c r="B145">
        <f>INDEX(Albums!$B:$B, MATCH(C145,Albums!$C:$C,0))</f>
        <v>2014</v>
      </c>
      <c r="C145" t="s">
        <v>624</v>
      </c>
      <c r="D145">
        <v>4</v>
      </c>
      <c r="E145" t="s">
        <v>257</v>
      </c>
      <c r="F145" t="s">
        <v>225</v>
      </c>
      <c r="G145" t="s">
        <v>258</v>
      </c>
      <c r="H145" s="8" t="s">
        <v>0</v>
      </c>
      <c r="I145" s="8">
        <v>56</v>
      </c>
      <c r="J145" s="8">
        <v>14514</v>
      </c>
      <c r="L145" s="27" t="s">
        <v>47</v>
      </c>
    </row>
    <row r="146" spans="1:22">
      <c r="A146" s="8">
        <f>INDEX(Albums!$A:$A, MATCH(C146,Albums!$C:$C,0))</f>
        <v>13</v>
      </c>
      <c r="B146">
        <f>INDEX(Albums!$B:$B, MATCH(C146,Albums!$C:$C,0))</f>
        <v>2014</v>
      </c>
      <c r="C146" t="s">
        <v>624</v>
      </c>
      <c r="D146">
        <v>5</v>
      </c>
      <c r="E146" t="s">
        <v>259</v>
      </c>
      <c r="F146" t="s">
        <v>225</v>
      </c>
      <c r="G146" t="s">
        <v>260</v>
      </c>
      <c r="H146" s="8" t="s">
        <v>2</v>
      </c>
      <c r="I146" s="8">
        <v>72.5</v>
      </c>
      <c r="J146" s="8">
        <v>5032549</v>
      </c>
      <c r="L146" s="27" t="s">
        <v>47</v>
      </c>
    </row>
    <row r="147" spans="1:22">
      <c r="A147" s="8">
        <f>INDEX(Albums!$A:$A, MATCH(C147,Albums!$C:$C,0))</f>
        <v>13</v>
      </c>
      <c r="B147">
        <f>INDEX(Albums!$B:$B, MATCH(C147,Albums!$C:$C,0))</f>
        <v>2014</v>
      </c>
      <c r="C147" t="s">
        <v>624</v>
      </c>
      <c r="D147">
        <v>6</v>
      </c>
      <c r="E147" t="s">
        <v>261</v>
      </c>
      <c r="F147" t="s">
        <v>225</v>
      </c>
      <c r="G147" t="s">
        <v>62</v>
      </c>
      <c r="H147" s="8" t="s">
        <v>2</v>
      </c>
      <c r="I147" s="8">
        <v>70</v>
      </c>
      <c r="J147" s="8">
        <v>5997055</v>
      </c>
      <c r="L147" s="27" t="s">
        <v>47</v>
      </c>
    </row>
    <row r="148" spans="1:22">
      <c r="A148" s="8">
        <f>INDEX(Albums!$A:$A, MATCH(C148,Albums!$C:$C,0))</f>
        <v>13</v>
      </c>
      <c r="B148">
        <f>INDEX(Albums!$B:$B, MATCH(C148,Albums!$C:$C,0))</f>
        <v>2014</v>
      </c>
      <c r="C148" t="s">
        <v>624</v>
      </c>
      <c r="D148">
        <v>7</v>
      </c>
      <c r="E148" t="s">
        <v>262</v>
      </c>
      <c r="F148" t="s">
        <v>225</v>
      </c>
      <c r="G148" t="s">
        <v>226</v>
      </c>
      <c r="H148" s="8" t="s">
        <v>4</v>
      </c>
      <c r="I148" s="8">
        <v>80</v>
      </c>
      <c r="J148" s="8">
        <v>1406918</v>
      </c>
      <c r="L148" s="27" t="s">
        <v>47</v>
      </c>
      <c r="M148" t="s">
        <v>164</v>
      </c>
      <c r="N148" t="s">
        <v>140</v>
      </c>
      <c r="O148" s="2" t="s">
        <v>15</v>
      </c>
      <c r="P148" s="2" t="s">
        <v>15</v>
      </c>
      <c r="Q148" s="3">
        <v>76</v>
      </c>
      <c r="R148" s="4" t="s">
        <v>52</v>
      </c>
      <c r="S148" s="5">
        <v>1406918</v>
      </c>
      <c r="T148" s="3">
        <v>1993</v>
      </c>
      <c r="U148" s="7" t="s">
        <v>141</v>
      </c>
      <c r="V148" s="1" t="str">
        <f>IF(J148=S148,"Yes","")</f>
        <v>Yes</v>
      </c>
    </row>
    <row r="149" spans="1:22">
      <c r="A149" s="8">
        <f>INDEX(Albums!$A:$A, MATCH(C149,Albums!$C:$C,0))</f>
        <v>13</v>
      </c>
      <c r="B149">
        <f>INDEX(Albums!$B:$B, MATCH(C149,Albums!$C:$C,0))</f>
        <v>2014</v>
      </c>
      <c r="C149" t="s">
        <v>624</v>
      </c>
      <c r="D149">
        <v>8</v>
      </c>
      <c r="E149" t="s">
        <v>263</v>
      </c>
      <c r="F149" t="s">
        <v>225</v>
      </c>
      <c r="G149" t="s">
        <v>256</v>
      </c>
      <c r="H149" s="8" t="s">
        <v>21</v>
      </c>
      <c r="I149" s="8">
        <v>68</v>
      </c>
      <c r="J149" s="8">
        <v>2306412</v>
      </c>
      <c r="L149" s="27" t="s">
        <v>47</v>
      </c>
      <c r="M149" t="s">
        <v>164</v>
      </c>
      <c r="N149" t="s">
        <v>142</v>
      </c>
      <c r="O149" s="2" t="s">
        <v>20</v>
      </c>
      <c r="P149" s="2" t="s">
        <v>20</v>
      </c>
      <c r="Q149" s="3">
        <v>76</v>
      </c>
      <c r="R149" s="3" t="s">
        <v>65</v>
      </c>
      <c r="S149" s="3">
        <v>2306412</v>
      </c>
      <c r="T149" s="3">
        <v>1997</v>
      </c>
      <c r="U149" s="3" t="s">
        <v>143</v>
      </c>
      <c r="V149" s="1" t="str">
        <f>IF(J149=S149,"Yes","")</f>
        <v>Yes</v>
      </c>
    </row>
    <row r="150" spans="1:22">
      <c r="A150" s="8">
        <f>INDEX(Albums!$A:$A, MATCH(C150,Albums!$C:$C,0))</f>
        <v>13</v>
      </c>
      <c r="B150">
        <f>INDEX(Albums!$B:$B, MATCH(C150,Albums!$C:$C,0))</f>
        <v>2014</v>
      </c>
      <c r="C150" t="s">
        <v>624</v>
      </c>
      <c r="D150">
        <v>9</v>
      </c>
      <c r="E150" t="s">
        <v>264</v>
      </c>
      <c r="F150" t="s">
        <v>225</v>
      </c>
      <c r="G150" t="s">
        <v>144</v>
      </c>
      <c r="H150" s="8" t="s">
        <v>21</v>
      </c>
      <c r="I150" s="8">
        <v>120</v>
      </c>
      <c r="J150" s="8">
        <v>3915912</v>
      </c>
      <c r="L150" s="27" t="s">
        <v>47</v>
      </c>
      <c r="M150" t="s">
        <v>164</v>
      </c>
      <c r="N150" t="s">
        <v>144</v>
      </c>
      <c r="O150" s="2" t="s">
        <v>20</v>
      </c>
      <c r="P150" s="2" t="s">
        <v>20</v>
      </c>
      <c r="Q150" s="3">
        <v>122</v>
      </c>
      <c r="R150" s="4" t="s">
        <v>52</v>
      </c>
      <c r="S150" s="3">
        <v>3915912</v>
      </c>
      <c r="T150" s="3">
        <v>2002</v>
      </c>
      <c r="U150" s="3" t="s">
        <v>63</v>
      </c>
      <c r="V150" s="1" t="str">
        <f>IF(J150=S150,"Yes","")</f>
        <v>Yes</v>
      </c>
    </row>
    <row r="151" spans="1:22">
      <c r="A151" s="8">
        <f>INDEX(Albums!$A:$A, MATCH(C151,Albums!$C:$C,0))</f>
        <v>13</v>
      </c>
      <c r="B151">
        <f>INDEX(Albums!$B:$B, MATCH(C151,Albums!$C:$C,0))</f>
        <v>2014</v>
      </c>
      <c r="C151" t="s">
        <v>624</v>
      </c>
      <c r="D151">
        <v>10</v>
      </c>
      <c r="E151" t="s">
        <v>265</v>
      </c>
      <c r="F151" t="s">
        <v>225</v>
      </c>
      <c r="G151" t="s">
        <v>62</v>
      </c>
      <c r="H151" s="8" t="s">
        <v>4</v>
      </c>
      <c r="I151" s="8">
        <v>114</v>
      </c>
      <c r="J151" s="8">
        <v>3798438</v>
      </c>
      <c r="L151" s="27" t="s">
        <v>47</v>
      </c>
      <c r="M151" t="s">
        <v>164</v>
      </c>
      <c r="N151" t="s">
        <v>145</v>
      </c>
      <c r="O151" s="2" t="s">
        <v>4</v>
      </c>
      <c r="P151" s="2" t="s">
        <v>4</v>
      </c>
      <c r="Q151" s="3">
        <v>116</v>
      </c>
      <c r="R151" s="3" t="s">
        <v>52</v>
      </c>
      <c r="S151" s="5">
        <v>3798438</v>
      </c>
      <c r="T151" s="3">
        <v>2002</v>
      </c>
      <c r="U151" s="7" t="s">
        <v>63</v>
      </c>
      <c r="V151" s="1" t="str">
        <f>IF(J151=S151,"Yes","")</f>
        <v>Yes</v>
      </c>
    </row>
    <row r="152" spans="1:22">
      <c r="A152" s="8">
        <f>INDEX(Albums!$A:$A, MATCH(C152,Albums!$C:$C,0))</f>
        <v>14</v>
      </c>
      <c r="B152">
        <f>INDEX(Albums!$B:$B, MATCH(C152,Albums!$C:$C,0))</f>
        <v>2014</v>
      </c>
      <c r="C152" t="s">
        <v>625</v>
      </c>
      <c r="D152">
        <v>1</v>
      </c>
      <c r="E152" t="s">
        <v>266</v>
      </c>
      <c r="F152" t="s">
        <v>267</v>
      </c>
      <c r="G152" t="s">
        <v>159</v>
      </c>
      <c r="H152" s="8" t="s">
        <v>15</v>
      </c>
      <c r="I152" s="8">
        <v>104</v>
      </c>
      <c r="J152" s="8">
        <v>7029507</v>
      </c>
      <c r="L152" s="27" t="s">
        <v>47</v>
      </c>
    </row>
    <row r="153" spans="1:22">
      <c r="A153" s="8">
        <f>INDEX(Albums!$A:$A, MATCH(C153,Albums!$C:$C,0))</f>
        <v>14</v>
      </c>
      <c r="B153">
        <f>INDEX(Albums!$B:$B, MATCH(C153,Albums!$C:$C,0))</f>
        <v>2014</v>
      </c>
      <c r="C153" t="s">
        <v>625</v>
      </c>
      <c r="D153">
        <v>2</v>
      </c>
      <c r="E153" t="s">
        <v>268</v>
      </c>
      <c r="F153" t="s">
        <v>225</v>
      </c>
      <c r="G153" t="s">
        <v>226</v>
      </c>
      <c r="H153" s="8" t="s">
        <v>9</v>
      </c>
      <c r="I153" s="8">
        <v>118</v>
      </c>
      <c r="J153" s="8">
        <v>5636866</v>
      </c>
      <c r="L153" s="27" t="s">
        <v>47</v>
      </c>
    </row>
    <row r="154" spans="1:22">
      <c r="A154" s="8">
        <f>INDEX(Albums!$A:$A, MATCH(C154,Albums!$C:$C,0))</f>
        <v>14</v>
      </c>
      <c r="B154">
        <f>INDEX(Albums!$B:$B, MATCH(C154,Albums!$C:$C,0))</f>
        <v>2014</v>
      </c>
      <c r="C154" t="s">
        <v>625</v>
      </c>
      <c r="D154">
        <v>3</v>
      </c>
      <c r="E154" t="s">
        <v>269</v>
      </c>
      <c r="F154" t="s">
        <v>225</v>
      </c>
      <c r="G154" t="s">
        <v>159</v>
      </c>
      <c r="H154" s="8" t="s">
        <v>0</v>
      </c>
      <c r="I154" s="8">
        <v>77</v>
      </c>
      <c r="J154" s="8">
        <v>4158039</v>
      </c>
      <c r="L154" s="27" t="s">
        <v>47</v>
      </c>
    </row>
    <row r="155" spans="1:22">
      <c r="A155" s="8">
        <f>INDEX(Albums!$A:$A, MATCH(C155,Albums!$C:$C,0))</f>
        <v>14</v>
      </c>
      <c r="B155">
        <f>INDEX(Albums!$B:$B, MATCH(C155,Albums!$C:$C,0))</f>
        <v>2014</v>
      </c>
      <c r="C155" t="s">
        <v>625</v>
      </c>
      <c r="D155">
        <v>4</v>
      </c>
      <c r="E155" t="s">
        <v>270</v>
      </c>
      <c r="F155" t="s">
        <v>225</v>
      </c>
      <c r="G155" t="s">
        <v>62</v>
      </c>
      <c r="H155" s="8" t="s">
        <v>2</v>
      </c>
      <c r="I155" s="8">
        <v>86</v>
      </c>
      <c r="J155" s="8">
        <v>5925649</v>
      </c>
      <c r="L155" s="27" t="s">
        <v>47</v>
      </c>
    </row>
    <row r="156" spans="1:22">
      <c r="A156" s="8">
        <f>INDEX(Albums!$A:$A, MATCH(C156,Albums!$C:$C,0))</f>
        <v>14</v>
      </c>
      <c r="B156">
        <f>INDEX(Albums!$B:$B, MATCH(C156,Albums!$C:$C,0))</f>
        <v>2014</v>
      </c>
      <c r="C156" t="s">
        <v>625</v>
      </c>
      <c r="D156">
        <v>5</v>
      </c>
      <c r="E156" t="s">
        <v>271</v>
      </c>
      <c r="F156" t="s">
        <v>225</v>
      </c>
      <c r="G156" t="s">
        <v>232</v>
      </c>
      <c r="H156" s="8" t="s">
        <v>2</v>
      </c>
      <c r="I156" s="8">
        <v>72</v>
      </c>
      <c r="J156" s="8">
        <v>5881037</v>
      </c>
      <c r="L156" s="27" t="s">
        <v>47</v>
      </c>
    </row>
    <row r="157" spans="1:22">
      <c r="A157" s="8">
        <f>INDEX(Albums!$A:$A, MATCH(C157,Albums!$C:$C,0))</f>
        <v>14</v>
      </c>
      <c r="B157">
        <f>INDEX(Albums!$B:$B, MATCH(C157,Albums!$C:$C,0))</f>
        <v>2014</v>
      </c>
      <c r="C157" t="s">
        <v>625</v>
      </c>
      <c r="D157">
        <v>6</v>
      </c>
      <c r="E157" t="s">
        <v>272</v>
      </c>
      <c r="F157" t="s">
        <v>225</v>
      </c>
      <c r="G157" t="s">
        <v>144</v>
      </c>
      <c r="H157" s="8" t="s">
        <v>2</v>
      </c>
      <c r="I157" s="8">
        <v>69</v>
      </c>
      <c r="J157" s="8">
        <v>3266032</v>
      </c>
      <c r="L157" s="27" t="s">
        <v>47</v>
      </c>
      <c r="M157" t="s">
        <v>164</v>
      </c>
      <c r="N157" t="s">
        <v>144</v>
      </c>
      <c r="O157" s="2" t="s">
        <v>7</v>
      </c>
      <c r="P157" s="2" t="s">
        <v>7</v>
      </c>
      <c r="Q157" s="3">
        <v>75</v>
      </c>
      <c r="R157" s="3" t="s">
        <v>52</v>
      </c>
      <c r="S157" s="5">
        <v>3266032</v>
      </c>
      <c r="T157" s="3">
        <v>2000</v>
      </c>
      <c r="U157" s="7" t="s">
        <v>63</v>
      </c>
      <c r="V157" s="1" t="str">
        <f>IF(J157=S157,"Yes","")</f>
        <v>Yes</v>
      </c>
    </row>
    <row r="158" spans="1:22">
      <c r="A158" s="8">
        <f>INDEX(Albums!$A:$A, MATCH(C158,Albums!$C:$C,0))</f>
        <v>14</v>
      </c>
      <c r="B158">
        <f>INDEX(Albums!$B:$B, MATCH(C158,Albums!$C:$C,0))</f>
        <v>2014</v>
      </c>
      <c r="C158" t="s">
        <v>625</v>
      </c>
      <c r="D158">
        <v>7</v>
      </c>
      <c r="E158" t="s">
        <v>273</v>
      </c>
      <c r="F158" t="s">
        <v>225</v>
      </c>
      <c r="G158" t="s">
        <v>256</v>
      </c>
      <c r="H158" s="8" t="s">
        <v>2</v>
      </c>
      <c r="I158" s="8">
        <v>58</v>
      </c>
      <c r="J158" s="8">
        <v>5627772</v>
      </c>
      <c r="L158" s="27" t="s">
        <v>49</v>
      </c>
    </row>
    <row r="159" spans="1:22">
      <c r="A159" s="8">
        <f>INDEX(Albums!$A:$A, MATCH(C159,Albums!$C:$C,0))</f>
        <v>14</v>
      </c>
      <c r="B159">
        <f>INDEX(Albums!$B:$B, MATCH(C159,Albums!$C:$C,0))</f>
        <v>2014</v>
      </c>
      <c r="C159" t="s">
        <v>625</v>
      </c>
      <c r="D159">
        <v>8</v>
      </c>
      <c r="E159" t="s">
        <v>274</v>
      </c>
      <c r="F159" t="s">
        <v>225</v>
      </c>
      <c r="G159" t="s">
        <v>226</v>
      </c>
      <c r="H159" s="8" t="s">
        <v>15</v>
      </c>
      <c r="I159" s="8">
        <v>77</v>
      </c>
      <c r="J159" s="8">
        <v>4873981</v>
      </c>
      <c r="L159" s="27" t="s">
        <v>47</v>
      </c>
      <c r="M159" t="s">
        <v>164</v>
      </c>
      <c r="N159" t="s">
        <v>147</v>
      </c>
      <c r="O159" s="2" t="s">
        <v>4</v>
      </c>
      <c r="P159" s="2" t="s">
        <v>4</v>
      </c>
      <c r="Q159" s="3">
        <v>80</v>
      </c>
      <c r="R159" s="3" t="s">
        <v>52</v>
      </c>
      <c r="S159" s="5">
        <v>4873981</v>
      </c>
      <c r="T159" s="3">
        <v>2007</v>
      </c>
      <c r="U159" s="7" t="s">
        <v>148</v>
      </c>
      <c r="V159" s="1" t="str">
        <f>IF(J159=S159,"Yes","")</f>
        <v>Yes</v>
      </c>
    </row>
    <row r="160" spans="1:22">
      <c r="A160" s="8">
        <f>INDEX(Albums!$A:$A, MATCH(C160,Albums!$C:$C,0))</f>
        <v>14</v>
      </c>
      <c r="B160">
        <f>INDEX(Albums!$B:$B, MATCH(C160,Albums!$C:$C,0))</f>
        <v>2014</v>
      </c>
      <c r="C160" t="s">
        <v>625</v>
      </c>
      <c r="D160">
        <v>9</v>
      </c>
      <c r="E160" t="s">
        <v>275</v>
      </c>
      <c r="F160" t="s">
        <v>276</v>
      </c>
      <c r="G160" t="s">
        <v>29</v>
      </c>
      <c r="H160" s="8" t="s">
        <v>26</v>
      </c>
      <c r="I160" s="8">
        <v>68</v>
      </c>
      <c r="J160" s="8">
        <v>7029513</v>
      </c>
      <c r="L160" s="27" t="s">
        <v>47</v>
      </c>
    </row>
    <row r="161" spans="1:22">
      <c r="A161" s="8">
        <f>INDEX(Albums!$A:$A, MATCH(C161,Albums!$C:$C,0))</f>
        <v>14</v>
      </c>
      <c r="B161">
        <f>INDEX(Albums!$B:$B, MATCH(C161,Albums!$C:$C,0))</f>
        <v>2014</v>
      </c>
      <c r="C161" t="s">
        <v>625</v>
      </c>
      <c r="D161">
        <v>10</v>
      </c>
      <c r="E161" t="s">
        <v>277</v>
      </c>
      <c r="F161" t="s">
        <v>278</v>
      </c>
      <c r="G161" t="s">
        <v>279</v>
      </c>
      <c r="H161" s="8" t="s">
        <v>18</v>
      </c>
      <c r="I161" s="8">
        <v>115</v>
      </c>
      <c r="J161" s="8">
        <v>4158022</v>
      </c>
      <c r="L161" s="27" t="s">
        <v>47</v>
      </c>
    </row>
    <row r="162" spans="1:22">
      <c r="A162" s="8">
        <f>INDEX(Albums!$A:$A, MATCH(C162,Albums!$C:$C,0))</f>
        <v>15</v>
      </c>
      <c r="B162">
        <f>INDEX(Albums!$B:$B, MATCH(C162,Albums!$C:$C,0))</f>
        <v>2014</v>
      </c>
      <c r="C162" t="s">
        <v>626</v>
      </c>
      <c r="D162">
        <v>1</v>
      </c>
      <c r="E162" t="s">
        <v>280</v>
      </c>
      <c r="F162" t="s">
        <v>225</v>
      </c>
      <c r="G162" t="s">
        <v>226</v>
      </c>
      <c r="H162" s="8" t="s">
        <v>2</v>
      </c>
      <c r="I162" s="8">
        <v>68</v>
      </c>
      <c r="J162" s="8">
        <v>6158927</v>
      </c>
      <c r="L162" s="27" t="s">
        <v>47</v>
      </c>
      <c r="M162" t="s">
        <v>164</v>
      </c>
      <c r="N162" t="s">
        <v>149</v>
      </c>
      <c r="O162" s="2" t="s">
        <v>2</v>
      </c>
      <c r="P162" s="2" t="s">
        <v>2</v>
      </c>
      <c r="Q162" s="3">
        <v>71</v>
      </c>
      <c r="R162" s="3" t="s">
        <v>52</v>
      </c>
      <c r="S162" s="5">
        <v>6158927</v>
      </c>
      <c r="T162" s="3">
        <v>2011</v>
      </c>
      <c r="U162" s="7" t="s">
        <v>53</v>
      </c>
      <c r="V162" s="1" t="str">
        <f>IF(J162=S162,"Yes","")</f>
        <v>Yes</v>
      </c>
    </row>
    <row r="163" spans="1:22">
      <c r="A163" s="8">
        <f>INDEX(Albums!$A:$A, MATCH(C163,Albums!$C:$C,0))</f>
        <v>15</v>
      </c>
      <c r="B163">
        <f>INDEX(Albums!$B:$B, MATCH(C163,Albums!$C:$C,0))</f>
        <v>2014</v>
      </c>
      <c r="C163" t="s">
        <v>626</v>
      </c>
      <c r="D163">
        <v>2</v>
      </c>
      <c r="E163" t="s">
        <v>281</v>
      </c>
      <c r="F163" t="s">
        <v>225</v>
      </c>
      <c r="G163" t="s">
        <v>282</v>
      </c>
      <c r="H163" s="8" t="s">
        <v>2</v>
      </c>
      <c r="I163" s="8">
        <v>71</v>
      </c>
      <c r="J163" s="8">
        <v>5207587</v>
      </c>
      <c r="L163" s="27" t="s">
        <v>47</v>
      </c>
    </row>
    <row r="164" spans="1:22">
      <c r="A164" s="8">
        <f>INDEX(Albums!$A:$A, MATCH(C164,Albums!$C:$C,0))</f>
        <v>15</v>
      </c>
      <c r="B164">
        <f>INDEX(Albums!$B:$B, MATCH(C164,Albums!$C:$C,0))</f>
        <v>2014</v>
      </c>
      <c r="C164" t="s">
        <v>626</v>
      </c>
      <c r="D164">
        <v>3</v>
      </c>
      <c r="E164" t="s">
        <v>283</v>
      </c>
      <c r="F164" t="s">
        <v>225</v>
      </c>
      <c r="G164" t="s">
        <v>228</v>
      </c>
      <c r="H164" s="8" t="s">
        <v>0</v>
      </c>
      <c r="I164" s="8">
        <v>79</v>
      </c>
      <c r="J164" s="8">
        <v>5124055</v>
      </c>
      <c r="L164" s="27" t="s">
        <v>47</v>
      </c>
    </row>
    <row r="165" spans="1:22">
      <c r="A165" s="8">
        <f>INDEX(Albums!$A:$A, MATCH(C165,Albums!$C:$C,0))</f>
        <v>15</v>
      </c>
      <c r="B165">
        <f>INDEX(Albums!$B:$B, MATCH(C165,Albums!$C:$C,0))</f>
        <v>2014</v>
      </c>
      <c r="C165" t="s">
        <v>626</v>
      </c>
      <c r="D165">
        <v>4</v>
      </c>
      <c r="E165" t="s">
        <v>284</v>
      </c>
      <c r="F165" t="s">
        <v>225</v>
      </c>
      <c r="G165" t="s">
        <v>256</v>
      </c>
      <c r="H165" s="8" t="s">
        <v>0</v>
      </c>
      <c r="I165" s="8">
        <v>58</v>
      </c>
      <c r="J165" s="8">
        <v>6590798</v>
      </c>
      <c r="L165" s="27" t="s">
        <v>47</v>
      </c>
    </row>
    <row r="166" spans="1:22">
      <c r="A166" s="8">
        <f>INDEX(Albums!$A:$A, MATCH(C166,Albums!$C:$C,0))</f>
        <v>15</v>
      </c>
      <c r="B166">
        <f>INDEX(Albums!$B:$B, MATCH(C166,Albums!$C:$C,0))</f>
        <v>2014</v>
      </c>
      <c r="C166" t="s">
        <v>626</v>
      </c>
      <c r="D166">
        <v>5</v>
      </c>
      <c r="E166" t="s">
        <v>285</v>
      </c>
      <c r="F166" t="s">
        <v>225</v>
      </c>
      <c r="G166" t="s">
        <v>62</v>
      </c>
      <c r="H166" s="8" t="s">
        <v>15</v>
      </c>
      <c r="I166" s="8">
        <v>71</v>
      </c>
      <c r="J166" s="8">
        <v>3040980</v>
      </c>
      <c r="L166" s="27" t="s">
        <v>47</v>
      </c>
    </row>
    <row r="167" spans="1:22">
      <c r="A167" s="8">
        <f>INDEX(Albums!$A:$A, MATCH(C167,Albums!$C:$C,0))</f>
        <v>15</v>
      </c>
      <c r="B167">
        <f>INDEX(Albums!$B:$B, MATCH(C167,Albums!$C:$C,0))</f>
        <v>2014</v>
      </c>
      <c r="C167" t="s">
        <v>626</v>
      </c>
      <c r="D167">
        <v>6</v>
      </c>
      <c r="E167" t="s">
        <v>286</v>
      </c>
      <c r="F167" t="s">
        <v>225</v>
      </c>
      <c r="G167" t="s">
        <v>230</v>
      </c>
      <c r="H167" s="8" t="s">
        <v>15</v>
      </c>
      <c r="I167" s="8">
        <v>78</v>
      </c>
      <c r="J167" s="8">
        <v>5880784</v>
      </c>
      <c r="L167" s="27" t="s">
        <v>47</v>
      </c>
    </row>
    <row r="168" spans="1:22">
      <c r="A168" s="8">
        <f>INDEX(Albums!$A:$A, MATCH(C168,Albums!$C:$C,0))</f>
        <v>15</v>
      </c>
      <c r="B168">
        <f>INDEX(Albums!$B:$B, MATCH(C168,Albums!$C:$C,0))</f>
        <v>2014</v>
      </c>
      <c r="C168" t="s">
        <v>626</v>
      </c>
      <c r="D168">
        <v>7</v>
      </c>
      <c r="E168" t="s">
        <v>287</v>
      </c>
      <c r="F168" t="s">
        <v>225</v>
      </c>
      <c r="G168" t="s">
        <v>159</v>
      </c>
      <c r="H168" s="8" t="s">
        <v>15</v>
      </c>
      <c r="I168" s="8">
        <v>73</v>
      </c>
      <c r="J168" s="8">
        <v>2060208</v>
      </c>
      <c r="L168" s="27" t="s">
        <v>47</v>
      </c>
    </row>
    <row r="169" spans="1:22">
      <c r="A169" s="8">
        <f>INDEX(Albums!$A:$A, MATCH(C169,Albums!$C:$C,0))</f>
        <v>15</v>
      </c>
      <c r="B169">
        <f>INDEX(Albums!$B:$B, MATCH(C169,Albums!$C:$C,0))</f>
        <v>2014</v>
      </c>
      <c r="C169" t="s">
        <v>626</v>
      </c>
      <c r="D169">
        <v>8</v>
      </c>
      <c r="E169" t="s">
        <v>288</v>
      </c>
      <c r="F169" t="s">
        <v>225</v>
      </c>
      <c r="G169" t="s">
        <v>232</v>
      </c>
      <c r="H169" s="8" t="s">
        <v>20</v>
      </c>
      <c r="I169" s="8">
        <v>70</v>
      </c>
      <c r="J169" s="8">
        <v>4689508</v>
      </c>
      <c r="L169" s="27" t="s">
        <v>47</v>
      </c>
      <c r="M169" t="s">
        <v>164</v>
      </c>
      <c r="N169" t="s">
        <v>150</v>
      </c>
      <c r="O169" s="2" t="s">
        <v>2</v>
      </c>
      <c r="P169" s="2" t="s">
        <v>26</v>
      </c>
      <c r="Q169" s="3">
        <v>76</v>
      </c>
      <c r="R169" s="4" t="s">
        <v>65</v>
      </c>
      <c r="S169" s="3">
        <v>22331</v>
      </c>
      <c r="T169" s="3">
        <v>1865</v>
      </c>
      <c r="U169" s="7" t="s">
        <v>146</v>
      </c>
      <c r="V169" s="1" t="str">
        <f>IF(J169=S169,"Yes","")</f>
        <v/>
      </c>
    </row>
    <row r="170" spans="1:22">
      <c r="A170" s="8">
        <f>INDEX(Albums!$A:$A, MATCH(C170,Albums!$C:$C,0))</f>
        <v>15</v>
      </c>
      <c r="B170">
        <f>INDEX(Albums!$B:$B, MATCH(C170,Albums!$C:$C,0))</f>
        <v>2014</v>
      </c>
      <c r="C170" t="s">
        <v>626</v>
      </c>
      <c r="D170">
        <v>9</v>
      </c>
      <c r="E170" t="s">
        <v>289</v>
      </c>
      <c r="F170" t="s">
        <v>225</v>
      </c>
      <c r="G170" t="s">
        <v>290</v>
      </c>
      <c r="H170" s="8" t="s">
        <v>9</v>
      </c>
      <c r="I170" s="8">
        <v>75</v>
      </c>
      <c r="J170" s="8">
        <v>5393329</v>
      </c>
      <c r="L170" s="27" t="s">
        <v>47</v>
      </c>
      <c r="M170" t="s">
        <v>164</v>
      </c>
      <c r="N170" t="s">
        <v>151</v>
      </c>
      <c r="O170" s="2" t="s">
        <v>2</v>
      </c>
      <c r="P170" s="2" t="s">
        <v>2</v>
      </c>
      <c r="Q170" s="3">
        <v>75</v>
      </c>
      <c r="R170" s="4" t="s">
        <v>52</v>
      </c>
      <c r="S170" s="5">
        <v>5393329</v>
      </c>
      <c r="T170" s="3">
        <v>2008</v>
      </c>
      <c r="U170" s="3" t="s">
        <v>152</v>
      </c>
      <c r="V170" s="1" t="str">
        <f>IF(J170=S170,"Yes","")</f>
        <v>Yes</v>
      </c>
    </row>
    <row r="171" spans="1:22">
      <c r="A171" s="8">
        <f>INDEX(Albums!$A:$A, MATCH(C171,Albums!$C:$C,0))</f>
        <v>15</v>
      </c>
      <c r="B171">
        <f>INDEX(Albums!$B:$B, MATCH(C171,Albums!$C:$C,0))</f>
        <v>2014</v>
      </c>
      <c r="C171" t="s">
        <v>626</v>
      </c>
      <c r="D171">
        <v>10</v>
      </c>
      <c r="E171" t="s">
        <v>291</v>
      </c>
      <c r="F171" t="s">
        <v>225</v>
      </c>
      <c r="G171" t="s">
        <v>159</v>
      </c>
      <c r="H171" s="8" t="s">
        <v>7</v>
      </c>
      <c r="I171" s="8">
        <v>88</v>
      </c>
      <c r="J171" s="8">
        <v>3148435</v>
      </c>
      <c r="L171" s="27" t="s">
        <v>47</v>
      </c>
      <c r="M171" t="s">
        <v>164</v>
      </c>
      <c r="N171" t="s">
        <v>153</v>
      </c>
      <c r="O171" s="2" t="s">
        <v>20</v>
      </c>
      <c r="P171" s="2" t="s">
        <v>20</v>
      </c>
      <c r="Q171" s="3">
        <v>88</v>
      </c>
      <c r="R171" s="4" t="s">
        <v>52</v>
      </c>
      <c r="S171" s="5">
        <v>3148435</v>
      </c>
      <c r="T171" s="3">
        <v>2000</v>
      </c>
      <c r="U171" s="3" t="s">
        <v>61</v>
      </c>
      <c r="V171" s="1" t="str">
        <f>IF(J171=S171,"Yes","")</f>
        <v>Yes</v>
      </c>
    </row>
    <row r="172" spans="1:22">
      <c r="A172" s="8">
        <f>INDEX(Albums!$A:$A, MATCH(C172,Albums!$C:$C,0))</f>
        <v>16</v>
      </c>
      <c r="B172">
        <f>INDEX(Albums!$B:$B, MATCH(C172,Albums!$C:$C,0))</f>
        <v>2014</v>
      </c>
      <c r="C172" t="s">
        <v>627</v>
      </c>
      <c r="D172">
        <v>1</v>
      </c>
      <c r="E172" t="s">
        <v>292</v>
      </c>
      <c r="F172" t="s">
        <v>225</v>
      </c>
      <c r="G172" t="s">
        <v>293</v>
      </c>
      <c r="H172" s="8" t="s">
        <v>15</v>
      </c>
      <c r="I172" s="8">
        <v>118</v>
      </c>
      <c r="J172" s="8">
        <v>16880</v>
      </c>
      <c r="L172" s="27" t="s">
        <v>47</v>
      </c>
      <c r="M172" t="s">
        <v>164</v>
      </c>
      <c r="N172" t="s">
        <v>154</v>
      </c>
      <c r="O172" s="2" t="s">
        <v>0</v>
      </c>
      <c r="P172" s="2" t="s">
        <v>22</v>
      </c>
      <c r="Q172" s="3">
        <v>96</v>
      </c>
      <c r="R172" s="4" t="s">
        <v>52</v>
      </c>
      <c r="S172" s="3">
        <v>16880</v>
      </c>
      <c r="T172" s="3">
        <v>1971</v>
      </c>
      <c r="U172" s="3" t="s">
        <v>155</v>
      </c>
      <c r="V172" s="1" t="str">
        <f>IF(J172=S172,"Yes","")</f>
        <v>Yes</v>
      </c>
    </row>
    <row r="173" spans="1:22">
      <c r="A173" s="8">
        <f>INDEX(Albums!$A:$A, MATCH(C173,Albums!$C:$C,0))</f>
        <v>16</v>
      </c>
      <c r="B173">
        <f>INDEX(Albums!$B:$B, MATCH(C173,Albums!$C:$C,0))</f>
        <v>2014</v>
      </c>
      <c r="C173" t="s">
        <v>627</v>
      </c>
      <c r="D173">
        <v>2</v>
      </c>
      <c r="E173" t="s">
        <v>294</v>
      </c>
      <c r="F173" t="s">
        <v>225</v>
      </c>
      <c r="G173" t="s">
        <v>256</v>
      </c>
      <c r="H173" s="8" t="s">
        <v>15</v>
      </c>
      <c r="I173" s="8">
        <v>70</v>
      </c>
      <c r="J173" s="8">
        <v>7029241</v>
      </c>
      <c r="L173" s="27" t="s">
        <v>48</v>
      </c>
    </row>
    <row r="174" spans="1:22">
      <c r="A174" s="8">
        <f>INDEX(Albums!$A:$A, MATCH(C174,Albums!$C:$C,0))</f>
        <v>16</v>
      </c>
      <c r="B174">
        <f>INDEX(Albums!$B:$B, MATCH(C174,Albums!$C:$C,0))</f>
        <v>2014</v>
      </c>
      <c r="C174" t="s">
        <v>627</v>
      </c>
      <c r="D174">
        <v>3</v>
      </c>
      <c r="E174" t="s">
        <v>295</v>
      </c>
      <c r="F174" t="s">
        <v>225</v>
      </c>
      <c r="G174" t="s">
        <v>296</v>
      </c>
      <c r="H174" s="8" t="s">
        <v>7</v>
      </c>
      <c r="I174" s="8">
        <v>64</v>
      </c>
      <c r="J174" s="8">
        <v>4447960</v>
      </c>
      <c r="L174" s="27" t="s">
        <v>47</v>
      </c>
      <c r="M174" t="s">
        <v>164</v>
      </c>
      <c r="N174" t="s">
        <v>156</v>
      </c>
      <c r="O174" s="2" t="s">
        <v>20</v>
      </c>
      <c r="P174" s="2" t="s">
        <v>20</v>
      </c>
      <c r="Q174" s="3">
        <v>60</v>
      </c>
      <c r="R174" s="4" t="s">
        <v>52</v>
      </c>
      <c r="S174" s="3">
        <v>4447960</v>
      </c>
      <c r="T174" s="3">
        <v>2004</v>
      </c>
      <c r="U174" s="7" t="s">
        <v>157</v>
      </c>
      <c r="V174" s="1" t="str">
        <f>IF(J174=S174,"Yes","")</f>
        <v>Yes</v>
      </c>
    </row>
    <row r="175" spans="1:22">
      <c r="A175" s="8">
        <f>INDEX(Albums!$A:$A, MATCH(C175,Albums!$C:$C,0))</f>
        <v>16</v>
      </c>
      <c r="B175">
        <f>INDEX(Albums!$B:$B, MATCH(C175,Albums!$C:$C,0))</f>
        <v>2014</v>
      </c>
      <c r="C175" t="s">
        <v>627</v>
      </c>
      <c r="D175">
        <v>4</v>
      </c>
      <c r="E175" t="s">
        <v>297</v>
      </c>
      <c r="F175" t="s">
        <v>225</v>
      </c>
      <c r="G175" t="s">
        <v>29</v>
      </c>
      <c r="H175" s="8" t="s">
        <v>7</v>
      </c>
      <c r="I175" s="8">
        <v>85</v>
      </c>
      <c r="J175" s="8">
        <v>18723</v>
      </c>
      <c r="L175" s="27" t="s">
        <v>47</v>
      </c>
      <c r="M175" t="s">
        <v>164</v>
      </c>
      <c r="N175" t="s">
        <v>158</v>
      </c>
      <c r="O175" s="2" t="s">
        <v>20</v>
      </c>
      <c r="P175" s="2" t="s">
        <v>20</v>
      </c>
      <c r="Q175" s="3">
        <v>75</v>
      </c>
      <c r="R175" s="4" t="s">
        <v>65</v>
      </c>
      <c r="S175" s="3">
        <v>18723</v>
      </c>
      <c r="T175" s="3">
        <v>1923</v>
      </c>
      <c r="U175" s="7" t="s">
        <v>146</v>
      </c>
      <c r="V175" s="1" t="str">
        <f>IF(J175=S175,"Yes","")</f>
        <v>Yes</v>
      </c>
    </row>
    <row r="176" spans="1:22">
      <c r="A176" s="8">
        <f>INDEX(Albums!$A:$A, MATCH(C176,Albums!$C:$C,0))</f>
        <v>16</v>
      </c>
      <c r="B176">
        <f>INDEX(Albums!$B:$B, MATCH(C176,Albums!$C:$C,0))</f>
        <v>2014</v>
      </c>
      <c r="C176" t="s">
        <v>627</v>
      </c>
      <c r="D176">
        <v>5</v>
      </c>
      <c r="E176" t="s">
        <v>298</v>
      </c>
      <c r="F176" t="s">
        <v>225</v>
      </c>
      <c r="G176" t="s">
        <v>144</v>
      </c>
      <c r="H176" s="8" t="s">
        <v>18</v>
      </c>
      <c r="I176" s="8">
        <v>74</v>
      </c>
      <c r="J176" s="8">
        <v>6521035</v>
      </c>
      <c r="L176" s="27" t="s">
        <v>49</v>
      </c>
    </row>
    <row r="177" spans="1:22">
      <c r="A177" s="8">
        <f>INDEX(Albums!$A:$A, MATCH(C177,Albums!$C:$C,0))</f>
        <v>16</v>
      </c>
      <c r="B177">
        <f>INDEX(Albums!$B:$B, MATCH(C177,Albums!$C:$C,0))</f>
        <v>2014</v>
      </c>
      <c r="C177" t="s">
        <v>627</v>
      </c>
      <c r="D177">
        <v>6</v>
      </c>
      <c r="E177" t="s">
        <v>299</v>
      </c>
      <c r="F177" t="s">
        <v>225</v>
      </c>
      <c r="G177" t="s">
        <v>300</v>
      </c>
      <c r="H177" s="8" t="s">
        <v>18</v>
      </c>
      <c r="I177" s="8">
        <v>113</v>
      </c>
      <c r="J177" s="8">
        <v>4491002</v>
      </c>
      <c r="L177" s="27" t="s">
        <v>47</v>
      </c>
    </row>
    <row r="178" spans="1:22">
      <c r="A178" s="8">
        <f>INDEX(Albums!$A:$A, MATCH(C178,Albums!$C:$C,0))</f>
        <v>16</v>
      </c>
      <c r="B178">
        <f>INDEX(Albums!$B:$B, MATCH(C178,Albums!$C:$C,0))</f>
        <v>2014</v>
      </c>
      <c r="C178" t="s">
        <v>627</v>
      </c>
      <c r="D178">
        <v>7</v>
      </c>
      <c r="E178" t="s">
        <v>301</v>
      </c>
      <c r="F178" t="s">
        <v>302</v>
      </c>
      <c r="G178" t="s">
        <v>159</v>
      </c>
      <c r="H178" s="8" t="s">
        <v>18</v>
      </c>
      <c r="I178" s="8">
        <v>123</v>
      </c>
      <c r="J178" s="8">
        <v>3148428</v>
      </c>
      <c r="L178" s="27" t="s">
        <v>47</v>
      </c>
      <c r="M178" t="s">
        <v>164</v>
      </c>
      <c r="N178" t="s">
        <v>159</v>
      </c>
      <c r="O178" s="2" t="s">
        <v>15</v>
      </c>
      <c r="P178" s="2" t="s">
        <v>15</v>
      </c>
      <c r="Q178" s="3">
        <v>120</v>
      </c>
      <c r="R178" s="4" t="s">
        <v>52</v>
      </c>
      <c r="S178" s="5">
        <v>3148428</v>
      </c>
      <c r="T178" s="3">
        <v>2001</v>
      </c>
      <c r="U178" s="7" t="s">
        <v>61</v>
      </c>
      <c r="V178" s="1" t="str">
        <f>IF(J178=S178,"Yes","")</f>
        <v>Yes</v>
      </c>
    </row>
    <row r="179" spans="1:22">
      <c r="A179" s="8">
        <f>INDEX(Albums!$A:$A, MATCH(C179,Albums!$C:$C,0))</f>
        <v>16</v>
      </c>
      <c r="B179">
        <f>INDEX(Albums!$B:$B, MATCH(C179,Albums!$C:$C,0))</f>
        <v>2014</v>
      </c>
      <c r="C179" t="s">
        <v>627</v>
      </c>
      <c r="D179">
        <v>8</v>
      </c>
      <c r="E179" t="s">
        <v>303</v>
      </c>
      <c r="F179" t="s">
        <v>225</v>
      </c>
      <c r="G179" t="s">
        <v>304</v>
      </c>
      <c r="H179" s="8" t="s">
        <v>26</v>
      </c>
      <c r="I179" s="8">
        <v>71</v>
      </c>
      <c r="J179" s="8">
        <v>5508444</v>
      </c>
      <c r="L179" s="27" t="s">
        <v>47</v>
      </c>
      <c r="M179" t="s">
        <v>164</v>
      </c>
      <c r="N179" t="s">
        <v>160</v>
      </c>
      <c r="O179" s="2" t="s">
        <v>0</v>
      </c>
      <c r="P179" s="2" t="s">
        <v>18</v>
      </c>
      <c r="Q179" s="3">
        <v>78</v>
      </c>
      <c r="R179" s="4" t="s">
        <v>52</v>
      </c>
      <c r="S179" s="5">
        <v>5508444</v>
      </c>
      <c r="T179" s="3">
        <v>2010</v>
      </c>
      <c r="U179" s="7" t="s">
        <v>161</v>
      </c>
      <c r="V179" s="1" t="str">
        <f>IF(J179=S179,"Yes","")</f>
        <v>Yes</v>
      </c>
    </row>
    <row r="180" spans="1:22">
      <c r="A180" s="8">
        <f>INDEX(Albums!$A:$A, MATCH(C180,Albums!$C:$C,0))</f>
        <v>16</v>
      </c>
      <c r="B180">
        <f>INDEX(Albums!$B:$B, MATCH(C180,Albums!$C:$C,0))</f>
        <v>2014</v>
      </c>
      <c r="C180" t="s">
        <v>627</v>
      </c>
      <c r="D180">
        <v>9</v>
      </c>
      <c r="E180" t="s">
        <v>305</v>
      </c>
      <c r="F180" t="s">
        <v>225</v>
      </c>
      <c r="G180" t="s">
        <v>226</v>
      </c>
      <c r="H180" s="8" t="s">
        <v>0</v>
      </c>
      <c r="I180" s="8">
        <v>72</v>
      </c>
      <c r="J180" s="8">
        <v>4785828</v>
      </c>
      <c r="L180" s="27" t="s">
        <v>47</v>
      </c>
      <c r="M180" t="s">
        <v>164</v>
      </c>
      <c r="N180" t="s">
        <v>114</v>
      </c>
      <c r="O180" s="2" t="s">
        <v>20</v>
      </c>
      <c r="P180" s="2" t="s">
        <v>20</v>
      </c>
      <c r="Q180" s="3">
        <v>75</v>
      </c>
      <c r="R180" s="4" t="s">
        <v>52</v>
      </c>
      <c r="S180" s="5">
        <v>4785828</v>
      </c>
      <c r="T180" s="3">
        <v>2006</v>
      </c>
      <c r="U180" s="3" t="s">
        <v>53</v>
      </c>
      <c r="V180" s="1" t="str">
        <f>IF(J180=S180,"Yes","")</f>
        <v>Yes</v>
      </c>
    </row>
    <row r="181" spans="1:22">
      <c r="A181" s="8">
        <f>INDEX(Albums!$A:$A, MATCH(C181,Albums!$C:$C,0))</f>
        <v>16</v>
      </c>
      <c r="B181">
        <f>INDEX(Albums!$B:$B, MATCH(C181,Albums!$C:$C,0))</f>
        <v>2014</v>
      </c>
      <c r="C181" t="s">
        <v>627</v>
      </c>
      <c r="D181">
        <v>10</v>
      </c>
      <c r="E181" t="s">
        <v>306</v>
      </c>
      <c r="F181" t="s">
        <v>225</v>
      </c>
      <c r="G181" t="s">
        <v>162</v>
      </c>
      <c r="H181" s="8" t="s">
        <v>0</v>
      </c>
      <c r="I181" s="8">
        <v>114</v>
      </c>
      <c r="J181" s="8">
        <v>4477026</v>
      </c>
      <c r="L181" s="27" t="s">
        <v>47</v>
      </c>
      <c r="M181" t="s">
        <v>164</v>
      </c>
      <c r="N181" t="s">
        <v>162</v>
      </c>
      <c r="O181" s="2" t="s">
        <v>0</v>
      </c>
      <c r="P181" s="2" t="s">
        <v>0</v>
      </c>
      <c r="Q181" s="3">
        <v>116</v>
      </c>
      <c r="R181" s="4" t="s">
        <v>52</v>
      </c>
      <c r="S181" s="5">
        <v>4477026</v>
      </c>
      <c r="T181" s="3">
        <v>2003</v>
      </c>
      <c r="U181" s="7" t="s">
        <v>63</v>
      </c>
      <c r="V181" s="1" t="str">
        <f>IF(J181=S181,"Yes","")</f>
        <v>Yes</v>
      </c>
    </row>
    <row r="182" spans="1:22">
      <c r="A182" s="8">
        <f>INDEX(Albums!$A:$A, MATCH(C182,Albums!$C:$C,0))</f>
        <v>17</v>
      </c>
      <c r="B182">
        <f>INDEX(Albums!$B:$B, MATCH(C182,Albums!$C:$C,0))</f>
        <v>2014</v>
      </c>
      <c r="C182" t="s">
        <v>628</v>
      </c>
      <c r="D182">
        <v>1</v>
      </c>
      <c r="E182" t="s">
        <v>307</v>
      </c>
      <c r="F182" t="s">
        <v>225</v>
      </c>
      <c r="G182" t="s">
        <v>228</v>
      </c>
      <c r="H182" s="8" t="s">
        <v>21</v>
      </c>
      <c r="I182" s="8">
        <v>80</v>
      </c>
      <c r="J182" s="8">
        <v>5124024</v>
      </c>
      <c r="L182" s="27" t="s">
        <v>47</v>
      </c>
    </row>
    <row r="183" spans="1:22">
      <c r="A183" s="8">
        <f>INDEX(Albums!$A:$A, MATCH(C183,Albums!$C:$C,0))</f>
        <v>17</v>
      </c>
      <c r="B183">
        <f>INDEX(Albums!$B:$B, MATCH(C183,Albums!$C:$C,0))</f>
        <v>2014</v>
      </c>
      <c r="C183" t="s">
        <v>628</v>
      </c>
      <c r="D183">
        <v>2</v>
      </c>
      <c r="E183" t="s">
        <v>242</v>
      </c>
      <c r="F183" t="s">
        <v>225</v>
      </c>
      <c r="G183" t="s">
        <v>226</v>
      </c>
      <c r="H183" s="8" t="s">
        <v>7</v>
      </c>
      <c r="I183" s="8">
        <v>73.5</v>
      </c>
      <c r="J183" s="8">
        <v>4785835</v>
      </c>
      <c r="L183" s="27" t="s">
        <v>47</v>
      </c>
      <c r="M183" t="s">
        <v>164</v>
      </c>
      <c r="N183" t="s">
        <v>114</v>
      </c>
      <c r="O183" s="2" t="s">
        <v>7</v>
      </c>
      <c r="P183" s="2" t="s">
        <v>7</v>
      </c>
      <c r="Q183" s="3">
        <v>75</v>
      </c>
      <c r="R183" s="4" t="s">
        <v>52</v>
      </c>
      <c r="S183" s="5">
        <v>4785835</v>
      </c>
      <c r="T183" s="3">
        <v>2006</v>
      </c>
      <c r="U183" s="3" t="s">
        <v>53</v>
      </c>
      <c r="V183" s="1" t="str">
        <f>IF(J183=S183,"Yes","")</f>
        <v>Yes</v>
      </c>
    </row>
    <row r="184" spans="1:22">
      <c r="A184" s="8">
        <f>INDEX(Albums!$A:$A, MATCH(C184,Albums!$C:$C,0))</f>
        <v>17</v>
      </c>
      <c r="B184">
        <f>INDEX(Albums!$B:$B, MATCH(C184,Albums!$C:$C,0))</f>
        <v>2014</v>
      </c>
      <c r="C184" t="s">
        <v>628</v>
      </c>
      <c r="D184">
        <v>3</v>
      </c>
      <c r="E184" t="s">
        <v>308</v>
      </c>
      <c r="F184" t="s">
        <v>225</v>
      </c>
      <c r="G184" t="s">
        <v>226</v>
      </c>
      <c r="H184" s="8" t="s">
        <v>2</v>
      </c>
      <c r="I184" s="8">
        <v>75</v>
      </c>
      <c r="J184" s="8">
        <v>4591782</v>
      </c>
      <c r="L184" s="27" t="s">
        <v>47</v>
      </c>
      <c r="M184" t="s">
        <v>164</v>
      </c>
      <c r="N184" t="s">
        <v>64</v>
      </c>
      <c r="O184" s="2" t="s">
        <v>15</v>
      </c>
      <c r="P184" s="2" t="s">
        <v>15</v>
      </c>
      <c r="Q184" s="3">
        <v>74</v>
      </c>
      <c r="R184" s="3" t="s">
        <v>52</v>
      </c>
      <c r="S184" s="5">
        <v>4591782</v>
      </c>
      <c r="T184" s="3">
        <v>2006</v>
      </c>
      <c r="U184" s="3" t="s">
        <v>53</v>
      </c>
      <c r="V184" s="1" t="str">
        <f>IF(J184=S184,"Yes","")</f>
        <v>Yes</v>
      </c>
    </row>
    <row r="185" spans="1:22">
      <c r="A185" s="8">
        <f>INDEX(Albums!$A:$A, MATCH(C185,Albums!$C:$C,0))</f>
        <v>17</v>
      </c>
      <c r="B185">
        <f>INDEX(Albums!$B:$B, MATCH(C185,Albums!$C:$C,0))</f>
        <v>2014</v>
      </c>
      <c r="C185" t="s">
        <v>628</v>
      </c>
      <c r="D185">
        <v>4</v>
      </c>
      <c r="E185" t="s">
        <v>309</v>
      </c>
      <c r="F185" t="s">
        <v>225</v>
      </c>
      <c r="G185" t="s">
        <v>310</v>
      </c>
      <c r="H185" s="8" t="s">
        <v>2</v>
      </c>
      <c r="I185" s="8">
        <v>68</v>
      </c>
      <c r="J185" s="8">
        <v>1383</v>
      </c>
    </row>
    <row r="186" spans="1:22">
      <c r="A186" s="8">
        <f>INDEX(Albums!$A:$A, MATCH(C186,Albums!$C:$C,0))</f>
        <v>17</v>
      </c>
      <c r="B186">
        <f>INDEX(Albums!$B:$B, MATCH(C186,Albums!$C:$C,0))</f>
        <v>2014</v>
      </c>
      <c r="C186" t="s">
        <v>628</v>
      </c>
      <c r="D186">
        <v>5</v>
      </c>
      <c r="E186" t="s">
        <v>311</v>
      </c>
      <c r="F186" t="s">
        <v>225</v>
      </c>
      <c r="G186" t="s">
        <v>226</v>
      </c>
      <c r="H186" s="8" t="s">
        <v>0</v>
      </c>
      <c r="I186" s="8">
        <v>109</v>
      </c>
      <c r="J186" s="8">
        <v>5060793</v>
      </c>
    </row>
    <row r="187" spans="1:22">
      <c r="A187" s="8">
        <f>INDEX(Albums!$A:$A, MATCH(C187,Albums!$C:$C,0))</f>
        <v>17</v>
      </c>
      <c r="B187">
        <f>INDEX(Albums!$B:$B, MATCH(C187,Albums!$C:$C,0))</f>
        <v>2014</v>
      </c>
      <c r="C187" t="s">
        <v>628</v>
      </c>
      <c r="D187">
        <v>6</v>
      </c>
      <c r="E187" t="s">
        <v>312</v>
      </c>
      <c r="F187" t="s">
        <v>225</v>
      </c>
      <c r="G187" t="s">
        <v>313</v>
      </c>
      <c r="H187" s="8" t="s">
        <v>0</v>
      </c>
      <c r="I187" s="8">
        <v>65</v>
      </c>
      <c r="J187" s="8">
        <v>164361</v>
      </c>
    </row>
    <row r="188" spans="1:22">
      <c r="A188" s="8">
        <f>INDEX(Albums!$A:$A, MATCH(C188,Albums!$C:$C,0))</f>
        <v>17</v>
      </c>
      <c r="B188">
        <f>INDEX(Albums!$B:$B, MATCH(C188,Albums!$C:$C,0))</f>
        <v>2014</v>
      </c>
      <c r="C188" t="s">
        <v>628</v>
      </c>
      <c r="D188">
        <v>7</v>
      </c>
      <c r="E188" t="s">
        <v>314</v>
      </c>
      <c r="F188" t="s">
        <v>225</v>
      </c>
      <c r="G188" t="s">
        <v>315</v>
      </c>
      <c r="H188" s="8" t="s">
        <v>15</v>
      </c>
      <c r="I188" s="8">
        <v>65</v>
      </c>
      <c r="J188" s="8">
        <v>5710744</v>
      </c>
    </row>
    <row r="189" spans="1:22">
      <c r="A189" s="8">
        <f>INDEX(Albums!$A:$A, MATCH(C189,Albums!$C:$C,0))</f>
        <v>17</v>
      </c>
      <c r="B189">
        <f>INDEX(Albums!$B:$B, MATCH(C189,Albums!$C:$C,0))</f>
        <v>2014</v>
      </c>
      <c r="C189" t="s">
        <v>628</v>
      </c>
      <c r="D189">
        <v>8</v>
      </c>
      <c r="E189" t="s">
        <v>316</v>
      </c>
      <c r="F189" t="s">
        <v>225</v>
      </c>
      <c r="G189" t="s">
        <v>256</v>
      </c>
      <c r="H189" s="8" t="s">
        <v>22</v>
      </c>
      <c r="I189" s="8">
        <v>124</v>
      </c>
      <c r="J189" s="8">
        <v>5627758</v>
      </c>
    </row>
    <row r="190" spans="1:22">
      <c r="A190" s="8">
        <f>INDEX(Albums!$A:$A, MATCH(C190,Albums!$C:$C,0))</f>
        <v>17</v>
      </c>
      <c r="B190">
        <f>INDEX(Albums!$B:$B, MATCH(C190,Albums!$C:$C,0))</f>
        <v>2014</v>
      </c>
      <c r="C190" t="s">
        <v>628</v>
      </c>
      <c r="D190">
        <v>9</v>
      </c>
      <c r="E190" t="s">
        <v>317</v>
      </c>
      <c r="F190" t="s">
        <v>225</v>
      </c>
      <c r="G190" t="s">
        <v>318</v>
      </c>
      <c r="H190" s="8" t="s">
        <v>4</v>
      </c>
      <c r="I190" s="8">
        <v>113</v>
      </c>
      <c r="J190" s="8">
        <v>4556538</v>
      </c>
    </row>
    <row r="191" spans="1:22">
      <c r="A191" s="8">
        <f>INDEX(Albums!$A:$A, MATCH(C191,Albums!$C:$C,0))</f>
        <v>17</v>
      </c>
      <c r="B191">
        <f>INDEX(Albums!$B:$B, MATCH(C191,Albums!$C:$C,0))</f>
        <v>2014</v>
      </c>
      <c r="C191" t="s">
        <v>628</v>
      </c>
      <c r="D191">
        <v>10</v>
      </c>
      <c r="E191" t="s">
        <v>319</v>
      </c>
      <c r="F191" t="s">
        <v>225</v>
      </c>
      <c r="G191" t="s">
        <v>226</v>
      </c>
      <c r="H191" s="8" t="s">
        <v>4</v>
      </c>
      <c r="I191" s="8">
        <v>68</v>
      </c>
      <c r="J191" s="8">
        <v>5409079</v>
      </c>
    </row>
    <row r="192" spans="1:22">
      <c r="A192" s="8">
        <f>INDEX(Albums!$A:$A, MATCH(C192,Albums!$C:$C,0))</f>
        <v>18</v>
      </c>
      <c r="B192">
        <f>INDEX(Albums!$B:$B, MATCH(C192,Albums!$C:$C,0))</f>
        <v>2014</v>
      </c>
      <c r="C192" t="s">
        <v>629</v>
      </c>
      <c r="D192">
        <v>1</v>
      </c>
      <c r="E192" t="s">
        <v>320</v>
      </c>
      <c r="F192" t="s">
        <v>225</v>
      </c>
      <c r="G192" t="s">
        <v>226</v>
      </c>
      <c r="H192" s="8" t="s">
        <v>4</v>
      </c>
      <c r="I192" s="8">
        <v>74</v>
      </c>
      <c r="J192" s="8">
        <v>4705248</v>
      </c>
      <c r="M192" t="s">
        <v>164</v>
      </c>
      <c r="N192" t="s">
        <v>51</v>
      </c>
      <c r="O192" s="2" t="s">
        <v>15</v>
      </c>
      <c r="P192" s="2" t="s">
        <v>15</v>
      </c>
      <c r="Q192" s="3">
        <v>77</v>
      </c>
      <c r="R192" s="4" t="s">
        <v>52</v>
      </c>
      <c r="S192" s="5">
        <v>4705248</v>
      </c>
      <c r="T192" s="3">
        <v>2005</v>
      </c>
      <c r="U192" s="3" t="s">
        <v>53</v>
      </c>
      <c r="V192" s="1" t="str">
        <f>IF(J192=S192,"Yes","")</f>
        <v>Yes</v>
      </c>
    </row>
    <row r="193" spans="1:22">
      <c r="A193" s="8">
        <f>INDEX(Albums!$A:$A, MATCH(C193,Albums!$C:$C,0))</f>
        <v>18</v>
      </c>
      <c r="B193">
        <f>INDEX(Albums!$B:$B, MATCH(C193,Albums!$C:$C,0))</f>
        <v>2014</v>
      </c>
      <c r="C193" t="s">
        <v>629</v>
      </c>
      <c r="D193">
        <v>2</v>
      </c>
      <c r="E193" t="s">
        <v>321</v>
      </c>
      <c r="F193" t="s">
        <v>225</v>
      </c>
      <c r="G193" t="s">
        <v>159</v>
      </c>
      <c r="H193" s="8" t="s">
        <v>4</v>
      </c>
      <c r="I193" s="8">
        <v>90</v>
      </c>
      <c r="J193" s="8">
        <v>4403076</v>
      </c>
    </row>
    <row r="194" spans="1:22">
      <c r="A194" s="8">
        <f>INDEX(Albums!$A:$A, MATCH(C194,Albums!$C:$C,0))</f>
        <v>18</v>
      </c>
      <c r="B194">
        <f>INDEX(Albums!$B:$B, MATCH(C194,Albums!$C:$C,0))</f>
        <v>2014</v>
      </c>
      <c r="C194" t="s">
        <v>629</v>
      </c>
      <c r="D194">
        <v>3</v>
      </c>
      <c r="E194" t="s">
        <v>322</v>
      </c>
      <c r="F194" t="s">
        <v>225</v>
      </c>
      <c r="G194" t="s">
        <v>226</v>
      </c>
      <c r="H194" s="8" t="s">
        <v>4</v>
      </c>
      <c r="I194" s="8">
        <v>70</v>
      </c>
      <c r="J194" s="8">
        <v>1866132</v>
      </c>
    </row>
    <row r="195" spans="1:22">
      <c r="A195" s="8">
        <f>INDEX(Albums!$A:$A, MATCH(C195,Albums!$C:$C,0))</f>
        <v>18</v>
      </c>
      <c r="B195">
        <f>INDEX(Albums!$B:$B, MATCH(C195,Albums!$C:$C,0))</f>
        <v>2014</v>
      </c>
      <c r="C195" t="s">
        <v>629</v>
      </c>
      <c r="D195">
        <v>4</v>
      </c>
      <c r="E195" t="s">
        <v>323</v>
      </c>
      <c r="F195" t="s">
        <v>225</v>
      </c>
      <c r="G195" t="s">
        <v>62</v>
      </c>
      <c r="H195" s="8" t="s">
        <v>2</v>
      </c>
      <c r="I195" s="8">
        <v>77</v>
      </c>
      <c r="J195" s="8">
        <v>4329411</v>
      </c>
    </row>
    <row r="196" spans="1:22">
      <c r="A196" s="8">
        <f>INDEX(Albums!$A:$A, MATCH(C196,Albums!$C:$C,0))</f>
        <v>18</v>
      </c>
      <c r="B196">
        <f>INDEX(Albums!$B:$B, MATCH(C196,Albums!$C:$C,0))</f>
        <v>2014</v>
      </c>
      <c r="C196" t="s">
        <v>629</v>
      </c>
      <c r="D196">
        <v>5</v>
      </c>
      <c r="E196" t="s">
        <v>324</v>
      </c>
      <c r="F196" t="s">
        <v>225</v>
      </c>
      <c r="G196" t="s">
        <v>296</v>
      </c>
      <c r="H196" s="8" t="s">
        <v>2</v>
      </c>
      <c r="I196" s="8">
        <v>81</v>
      </c>
      <c r="J196" s="8">
        <v>4447984</v>
      </c>
    </row>
    <row r="197" spans="1:22">
      <c r="A197" s="8">
        <f>INDEX(Albums!$A:$A, MATCH(C197,Albums!$C:$C,0))</f>
        <v>18</v>
      </c>
      <c r="B197">
        <f>INDEX(Albums!$B:$B, MATCH(C197,Albums!$C:$C,0))</f>
        <v>2014</v>
      </c>
      <c r="C197" t="s">
        <v>629</v>
      </c>
      <c r="D197">
        <v>6</v>
      </c>
      <c r="E197" t="s">
        <v>325</v>
      </c>
      <c r="F197" t="s">
        <v>225</v>
      </c>
      <c r="G197" t="s">
        <v>62</v>
      </c>
      <c r="H197" s="8" t="s">
        <v>2</v>
      </c>
      <c r="I197" s="8">
        <v>80</v>
      </c>
      <c r="J197" s="8">
        <v>4674166</v>
      </c>
    </row>
    <row r="198" spans="1:22">
      <c r="A198" s="8">
        <f>INDEX(Albums!$A:$A, MATCH(C198,Albums!$C:$C,0))</f>
        <v>18</v>
      </c>
      <c r="B198">
        <f>INDEX(Albums!$B:$B, MATCH(C198,Albums!$C:$C,0))</f>
        <v>2014</v>
      </c>
      <c r="C198" t="s">
        <v>629</v>
      </c>
      <c r="D198">
        <v>7</v>
      </c>
      <c r="E198" t="s">
        <v>326</v>
      </c>
      <c r="F198" t="s">
        <v>225</v>
      </c>
      <c r="G198" t="s">
        <v>159</v>
      </c>
      <c r="H198" s="8" t="s">
        <v>0</v>
      </c>
      <c r="I198" s="8">
        <v>75</v>
      </c>
      <c r="J198" s="8">
        <v>3599479</v>
      </c>
    </row>
    <row r="199" spans="1:22">
      <c r="A199" s="8">
        <f>INDEX(Albums!$A:$A, MATCH(C199,Albums!$C:$C,0))</f>
        <v>18</v>
      </c>
      <c r="B199">
        <f>INDEX(Albums!$B:$B, MATCH(C199,Albums!$C:$C,0))</f>
        <v>2014</v>
      </c>
      <c r="C199" t="s">
        <v>629</v>
      </c>
      <c r="D199">
        <v>8</v>
      </c>
      <c r="E199" t="s">
        <v>200</v>
      </c>
      <c r="F199" t="s">
        <v>327</v>
      </c>
      <c r="G199" t="s">
        <v>159</v>
      </c>
      <c r="H199" s="8" t="s">
        <v>0</v>
      </c>
      <c r="I199" s="8">
        <v>63</v>
      </c>
      <c r="J199" s="8">
        <v>4768151</v>
      </c>
      <c r="M199" t="s">
        <v>164</v>
      </c>
      <c r="N199" t="s">
        <v>60</v>
      </c>
      <c r="O199" s="2" t="s">
        <v>12</v>
      </c>
      <c r="P199" s="2" t="s">
        <v>12</v>
      </c>
      <c r="Q199" s="3">
        <v>60</v>
      </c>
      <c r="R199" s="3" t="s">
        <v>52</v>
      </c>
      <c r="S199" s="5">
        <v>4768151</v>
      </c>
      <c r="T199" s="3">
        <v>2006</v>
      </c>
      <c r="U199" s="7" t="s">
        <v>61</v>
      </c>
      <c r="V199" s="1" t="str">
        <f>IF(J199=S199,"Yes","")</f>
        <v>Yes</v>
      </c>
    </row>
    <row r="200" spans="1:22">
      <c r="A200" s="8">
        <f>INDEX(Albums!$A:$A, MATCH(C200,Albums!$C:$C,0))</f>
        <v>18</v>
      </c>
      <c r="B200">
        <f>INDEX(Albums!$B:$B, MATCH(C200,Albums!$C:$C,0))</f>
        <v>2014</v>
      </c>
      <c r="C200" t="s">
        <v>629</v>
      </c>
      <c r="D200">
        <v>9</v>
      </c>
      <c r="E200" t="s">
        <v>328</v>
      </c>
      <c r="F200" t="s">
        <v>225</v>
      </c>
      <c r="G200" t="s">
        <v>162</v>
      </c>
      <c r="H200" s="8" t="s">
        <v>15</v>
      </c>
      <c r="I200" s="8">
        <v>120</v>
      </c>
      <c r="J200" s="8">
        <v>5553530</v>
      </c>
    </row>
    <row r="201" spans="1:22">
      <c r="A201" s="8">
        <f>INDEX(Albums!$A:$A, MATCH(C201,Albums!$C:$C,0))</f>
        <v>18</v>
      </c>
      <c r="B201">
        <f>INDEX(Albums!$B:$B, MATCH(C201,Albums!$C:$C,0))</f>
        <v>2014</v>
      </c>
      <c r="C201" t="s">
        <v>629</v>
      </c>
      <c r="D201">
        <v>10</v>
      </c>
      <c r="E201" t="s">
        <v>329</v>
      </c>
      <c r="F201" t="s">
        <v>225</v>
      </c>
      <c r="G201" t="s">
        <v>256</v>
      </c>
      <c r="H201" s="8" t="s">
        <v>9</v>
      </c>
      <c r="I201" s="8">
        <v>58</v>
      </c>
      <c r="J201" s="8">
        <v>4325556</v>
      </c>
    </row>
    <row r="202" spans="1:22">
      <c r="A202" s="8">
        <f>INDEX(Albums!$A:$A, MATCH(C202,Albums!$C:$C,0))</f>
        <v>19</v>
      </c>
      <c r="B202">
        <f>INDEX(Albums!$B:$B, MATCH(C202,Albums!$C:$C,0))</f>
        <v>2014</v>
      </c>
      <c r="C202" t="s">
        <v>630</v>
      </c>
      <c r="D202">
        <v>1</v>
      </c>
      <c r="E202" t="s">
        <v>330</v>
      </c>
      <c r="F202" t="s">
        <v>225</v>
      </c>
      <c r="G202" t="s">
        <v>331</v>
      </c>
      <c r="H202" s="8" t="s">
        <v>4</v>
      </c>
      <c r="I202" s="8">
        <v>110</v>
      </c>
      <c r="J202" s="8">
        <v>5295221</v>
      </c>
    </row>
    <row r="203" spans="1:22">
      <c r="A203" s="8">
        <f>INDEX(Albums!$A:$A, MATCH(C203,Albums!$C:$C,0))</f>
        <v>19</v>
      </c>
      <c r="B203">
        <f>INDEX(Albums!$B:$B, MATCH(C203,Albums!$C:$C,0))</f>
        <v>2014</v>
      </c>
      <c r="C203" t="s">
        <v>630</v>
      </c>
      <c r="D203">
        <v>2</v>
      </c>
      <c r="E203" t="s">
        <v>332</v>
      </c>
      <c r="F203" t="s">
        <v>323</v>
      </c>
      <c r="G203" t="s">
        <v>256</v>
      </c>
      <c r="H203" s="8" t="s">
        <v>4</v>
      </c>
      <c r="I203" s="8">
        <v>58</v>
      </c>
      <c r="J203" s="8">
        <v>7029516</v>
      </c>
    </row>
    <row r="204" spans="1:22">
      <c r="A204" s="8">
        <f>INDEX(Albums!$A:$A, MATCH(C204,Albums!$C:$C,0))</f>
        <v>19</v>
      </c>
      <c r="B204">
        <f>INDEX(Albums!$B:$B, MATCH(C204,Albums!$C:$C,0))</f>
        <v>2014</v>
      </c>
      <c r="C204" t="s">
        <v>630</v>
      </c>
      <c r="D204">
        <v>3</v>
      </c>
      <c r="E204" t="s">
        <v>333</v>
      </c>
      <c r="F204" t="s">
        <v>225</v>
      </c>
      <c r="G204" t="s">
        <v>62</v>
      </c>
      <c r="H204" s="8" t="s">
        <v>0</v>
      </c>
      <c r="I204" s="8">
        <v>67</v>
      </c>
      <c r="J204" s="8">
        <v>2296522</v>
      </c>
      <c r="M204" t="s">
        <v>164</v>
      </c>
      <c r="N204" t="s">
        <v>62</v>
      </c>
      <c r="O204" s="2" t="s">
        <v>20</v>
      </c>
      <c r="P204" s="2" t="s">
        <v>20</v>
      </c>
      <c r="Q204" s="3">
        <v>70</v>
      </c>
      <c r="R204" s="3" t="s">
        <v>52</v>
      </c>
      <c r="S204" s="5">
        <v>2296522</v>
      </c>
      <c r="T204" s="3">
        <v>1999</v>
      </c>
      <c r="U204" s="7" t="s">
        <v>63</v>
      </c>
      <c r="V204" s="1" t="str">
        <f>IF(J204=S204,"Yes","")</f>
        <v>Yes</v>
      </c>
    </row>
    <row r="205" spans="1:22">
      <c r="A205" s="8">
        <f>INDEX(Albums!$A:$A, MATCH(C205,Albums!$C:$C,0))</f>
        <v>19</v>
      </c>
      <c r="B205">
        <f>INDEX(Albums!$B:$B, MATCH(C205,Albums!$C:$C,0))</f>
        <v>2014</v>
      </c>
      <c r="C205" t="s">
        <v>630</v>
      </c>
      <c r="D205">
        <v>4</v>
      </c>
      <c r="E205" t="s">
        <v>334</v>
      </c>
      <c r="F205" t="s">
        <v>225</v>
      </c>
      <c r="G205" t="s">
        <v>226</v>
      </c>
      <c r="H205" s="8" t="s">
        <v>2</v>
      </c>
      <c r="I205" s="8">
        <v>71</v>
      </c>
      <c r="J205" s="8">
        <v>4705176</v>
      </c>
      <c r="M205" t="s">
        <v>164</v>
      </c>
      <c r="N205" t="s">
        <v>51</v>
      </c>
      <c r="O205" s="2" t="s">
        <v>2</v>
      </c>
      <c r="P205" s="2" t="s">
        <v>2</v>
      </c>
      <c r="Q205" s="3">
        <v>76</v>
      </c>
      <c r="R205" s="4" t="s">
        <v>52</v>
      </c>
      <c r="S205" s="5">
        <v>4705176</v>
      </c>
      <c r="T205" s="3">
        <v>2005</v>
      </c>
      <c r="U205" s="3" t="s">
        <v>53</v>
      </c>
      <c r="V205" s="1" t="str">
        <f>IF(J205=S205,"Yes","")</f>
        <v>Yes</v>
      </c>
    </row>
    <row r="206" spans="1:22">
      <c r="A206" s="8">
        <f>INDEX(Albums!$A:$A, MATCH(C206,Albums!$C:$C,0))</f>
        <v>19</v>
      </c>
      <c r="B206">
        <f>INDEX(Albums!$B:$B, MATCH(C206,Albums!$C:$C,0))</f>
        <v>2014</v>
      </c>
      <c r="C206" t="s">
        <v>630</v>
      </c>
      <c r="D206">
        <v>5</v>
      </c>
      <c r="E206" t="s">
        <v>335</v>
      </c>
      <c r="F206" t="s">
        <v>225</v>
      </c>
      <c r="G206" t="s">
        <v>226</v>
      </c>
      <c r="H206" s="8" t="s">
        <v>2</v>
      </c>
      <c r="I206" s="8">
        <v>68</v>
      </c>
      <c r="J206" s="8">
        <v>5060810</v>
      </c>
      <c r="M206" t="s">
        <v>164</v>
      </c>
      <c r="N206" t="s">
        <v>64</v>
      </c>
      <c r="O206" s="2" t="s">
        <v>2</v>
      </c>
      <c r="P206" s="2" t="s">
        <v>2</v>
      </c>
      <c r="Q206" s="3">
        <v>75</v>
      </c>
      <c r="R206" s="4" t="s">
        <v>65</v>
      </c>
      <c r="S206" s="5">
        <v>5060810</v>
      </c>
      <c r="T206" s="3">
        <v>2007</v>
      </c>
      <c r="U206" s="3" t="s">
        <v>53</v>
      </c>
      <c r="V206" s="1" t="str">
        <f>IF(J206=S206,"Yes","")</f>
        <v>Yes</v>
      </c>
    </row>
    <row r="207" spans="1:22">
      <c r="A207" s="8">
        <f>INDEX(Albums!$A:$A, MATCH(C207,Albums!$C:$C,0))</f>
        <v>19</v>
      </c>
      <c r="B207">
        <f>INDEX(Albums!$B:$B, MATCH(C207,Albums!$C:$C,0))</f>
        <v>2014</v>
      </c>
      <c r="C207" t="s">
        <v>630</v>
      </c>
      <c r="D207">
        <v>6</v>
      </c>
      <c r="E207" t="s">
        <v>336</v>
      </c>
      <c r="F207" t="s">
        <v>225</v>
      </c>
      <c r="G207" t="s">
        <v>256</v>
      </c>
      <c r="H207" s="8" t="s">
        <v>2</v>
      </c>
      <c r="I207" s="8">
        <v>78</v>
      </c>
      <c r="J207" s="8">
        <v>6590839</v>
      </c>
    </row>
    <row r="208" spans="1:22">
      <c r="A208" s="8">
        <f>INDEX(Albums!$A:$A, MATCH(C208,Albums!$C:$C,0))</f>
        <v>19</v>
      </c>
      <c r="B208">
        <f>INDEX(Albums!$B:$B, MATCH(C208,Albums!$C:$C,0))</f>
        <v>2014</v>
      </c>
      <c r="C208" t="s">
        <v>630</v>
      </c>
      <c r="D208">
        <v>7</v>
      </c>
      <c r="E208" t="s">
        <v>337</v>
      </c>
      <c r="F208" t="s">
        <v>225</v>
      </c>
      <c r="G208" t="s">
        <v>162</v>
      </c>
      <c r="H208" s="8" t="s">
        <v>7</v>
      </c>
      <c r="I208" s="8">
        <v>83</v>
      </c>
      <c r="J208" s="8">
        <v>5242683</v>
      </c>
    </row>
    <row r="209" spans="1:22">
      <c r="A209" s="8">
        <f>INDEX(Albums!$A:$A, MATCH(C209,Albums!$C:$C,0))</f>
        <v>19</v>
      </c>
      <c r="B209">
        <f>INDEX(Albums!$B:$B, MATCH(C209,Albums!$C:$C,0))</f>
        <v>2014</v>
      </c>
      <c r="C209" t="s">
        <v>630</v>
      </c>
      <c r="D209">
        <v>8</v>
      </c>
      <c r="E209" t="s">
        <v>338</v>
      </c>
      <c r="F209" t="s">
        <v>225</v>
      </c>
      <c r="G209" t="s">
        <v>339</v>
      </c>
      <c r="H209" s="8" t="s">
        <v>0</v>
      </c>
      <c r="I209" s="8">
        <v>71</v>
      </c>
      <c r="J209" s="8">
        <v>17827</v>
      </c>
    </row>
    <row r="210" spans="1:22">
      <c r="A210" s="8">
        <f>INDEX(Albums!$A:$A, MATCH(C210,Albums!$C:$C,0))</f>
        <v>19</v>
      </c>
      <c r="B210">
        <f>INDEX(Albums!$B:$B, MATCH(C210,Albums!$C:$C,0))</f>
        <v>2014</v>
      </c>
      <c r="C210" t="s">
        <v>630</v>
      </c>
      <c r="D210">
        <v>9</v>
      </c>
      <c r="E210" t="s">
        <v>340</v>
      </c>
      <c r="F210" t="s">
        <v>225</v>
      </c>
      <c r="G210" t="s">
        <v>341</v>
      </c>
      <c r="H210" s="8" t="s">
        <v>15</v>
      </c>
      <c r="I210" s="8">
        <v>73</v>
      </c>
      <c r="J210" s="8">
        <v>5720105</v>
      </c>
    </row>
    <row r="211" spans="1:22">
      <c r="A211" s="8">
        <f>INDEX(Albums!$A:$A, MATCH(C211,Albums!$C:$C,0))</f>
        <v>19</v>
      </c>
      <c r="B211">
        <f>INDEX(Albums!$B:$B, MATCH(C211,Albums!$C:$C,0))</f>
        <v>2014</v>
      </c>
      <c r="C211" t="s">
        <v>630</v>
      </c>
      <c r="D211">
        <v>10</v>
      </c>
      <c r="E211" t="s">
        <v>342</v>
      </c>
      <c r="F211" t="s">
        <v>225</v>
      </c>
      <c r="G211" t="s">
        <v>137</v>
      </c>
      <c r="H211" s="8" t="s">
        <v>18</v>
      </c>
      <c r="I211" s="8">
        <v>74</v>
      </c>
      <c r="J211" s="8">
        <v>4611679</v>
      </c>
    </row>
    <row r="212" spans="1:22">
      <c r="A212" s="8">
        <f>INDEX(Albums!$A:$A, MATCH(C212,Albums!$C:$C,0))</f>
        <v>20</v>
      </c>
      <c r="B212">
        <f>INDEX(Albums!$B:$B, MATCH(C212,Albums!$C:$C,0))</f>
        <v>2014</v>
      </c>
      <c r="C212" t="s">
        <v>33</v>
      </c>
      <c r="D212">
        <v>1</v>
      </c>
      <c r="E212" t="s">
        <v>343</v>
      </c>
      <c r="F212" t="s">
        <v>225</v>
      </c>
      <c r="G212" t="s">
        <v>226</v>
      </c>
      <c r="H212" s="8" t="s">
        <v>15</v>
      </c>
      <c r="I212" s="8">
        <v>77</v>
      </c>
      <c r="J212" s="8">
        <v>5894275</v>
      </c>
    </row>
    <row r="213" spans="1:22">
      <c r="A213" s="8">
        <f>INDEX(Albums!$A:$A, MATCH(C213,Albums!$C:$C,0))</f>
        <v>20</v>
      </c>
      <c r="B213">
        <f>INDEX(Albums!$B:$B, MATCH(C213,Albums!$C:$C,0))</f>
        <v>2014</v>
      </c>
      <c r="C213" t="s">
        <v>33</v>
      </c>
      <c r="D213">
        <v>2</v>
      </c>
      <c r="E213" t="s">
        <v>344</v>
      </c>
      <c r="F213" t="s">
        <v>225</v>
      </c>
      <c r="G213" t="s">
        <v>345</v>
      </c>
      <c r="H213" s="8" t="s">
        <v>18</v>
      </c>
      <c r="I213" s="8">
        <v>118</v>
      </c>
      <c r="J213" s="8">
        <v>5337172</v>
      </c>
      <c r="M213" t="s">
        <v>164</v>
      </c>
      <c r="N213" t="s">
        <v>66</v>
      </c>
      <c r="O213" s="2" t="s">
        <v>15</v>
      </c>
      <c r="P213" s="2" t="s">
        <v>18</v>
      </c>
      <c r="Q213" s="3">
        <v>116</v>
      </c>
      <c r="R213" s="4" t="s">
        <v>52</v>
      </c>
      <c r="S213" s="5">
        <v>5337172</v>
      </c>
      <c r="T213" s="3">
        <v>2008</v>
      </c>
      <c r="U213" s="7" t="s">
        <v>63</v>
      </c>
      <c r="V213" s="1" t="str">
        <f>IF(J213=S213,"Yes","")</f>
        <v>Yes</v>
      </c>
    </row>
    <row r="214" spans="1:22">
      <c r="A214" s="8">
        <f>INDEX(Albums!$A:$A, MATCH(C214,Albums!$C:$C,0))</f>
        <v>20</v>
      </c>
      <c r="B214">
        <f>INDEX(Albums!$B:$B, MATCH(C214,Albums!$C:$C,0))</f>
        <v>2014</v>
      </c>
      <c r="C214" t="s">
        <v>33</v>
      </c>
      <c r="D214">
        <v>3</v>
      </c>
      <c r="E214" t="s">
        <v>346</v>
      </c>
      <c r="F214" t="s">
        <v>225</v>
      </c>
      <c r="G214" t="s">
        <v>62</v>
      </c>
      <c r="H214" s="8" t="s">
        <v>18</v>
      </c>
      <c r="I214" s="8">
        <v>78</v>
      </c>
      <c r="J214" s="8">
        <v>7000686</v>
      </c>
    </row>
    <row r="215" spans="1:22">
      <c r="A215" s="8">
        <f>INDEX(Albums!$A:$A, MATCH(C215,Albums!$C:$C,0))</f>
        <v>20</v>
      </c>
      <c r="B215">
        <f>INDEX(Albums!$B:$B, MATCH(C215,Albums!$C:$C,0))</f>
        <v>2014</v>
      </c>
      <c r="C215" t="s">
        <v>33</v>
      </c>
      <c r="D215">
        <v>4</v>
      </c>
      <c r="E215" t="s">
        <v>347</v>
      </c>
      <c r="F215" t="s">
        <v>225</v>
      </c>
      <c r="G215" t="s">
        <v>256</v>
      </c>
      <c r="H215" s="8" t="s">
        <v>18</v>
      </c>
      <c r="I215" s="8">
        <v>66</v>
      </c>
      <c r="J215" s="8">
        <v>7029242</v>
      </c>
    </row>
    <row r="216" spans="1:22">
      <c r="A216" s="8">
        <f>INDEX(Albums!$A:$A, MATCH(C216,Albums!$C:$C,0))</f>
        <v>20</v>
      </c>
      <c r="B216">
        <f>INDEX(Albums!$B:$B, MATCH(C216,Albums!$C:$C,0))</f>
        <v>2014</v>
      </c>
      <c r="C216" t="s">
        <v>33</v>
      </c>
      <c r="D216">
        <v>5</v>
      </c>
      <c r="E216" t="s">
        <v>348</v>
      </c>
      <c r="F216" t="s">
        <v>225</v>
      </c>
      <c r="G216" t="s">
        <v>349</v>
      </c>
      <c r="H216" s="8" t="s">
        <v>2</v>
      </c>
      <c r="I216" s="8">
        <v>70</v>
      </c>
      <c r="J216" s="8">
        <v>4219071</v>
      </c>
      <c r="M216" t="s">
        <v>164</v>
      </c>
      <c r="N216" t="s">
        <v>67</v>
      </c>
      <c r="O216" s="2" t="s">
        <v>15</v>
      </c>
      <c r="P216" s="2" t="s">
        <v>18</v>
      </c>
      <c r="Q216" s="3">
        <v>68</v>
      </c>
      <c r="R216" s="4" t="s">
        <v>52</v>
      </c>
      <c r="S216" s="5">
        <v>4219071</v>
      </c>
      <c r="T216" s="3">
        <v>2004</v>
      </c>
      <c r="U216" s="7" t="s">
        <v>68</v>
      </c>
      <c r="V216" s="1" t="str">
        <f t="shared" ref="V216:V221" si="0">IF(J216=S216,"Yes","")</f>
        <v>Yes</v>
      </c>
    </row>
    <row r="217" spans="1:22">
      <c r="A217" s="8">
        <f>INDEX(Albums!$A:$A, MATCH(C217,Albums!$C:$C,0))</f>
        <v>20</v>
      </c>
      <c r="B217">
        <f>INDEX(Albums!$B:$B, MATCH(C217,Albums!$C:$C,0))</f>
        <v>2014</v>
      </c>
      <c r="C217" t="s">
        <v>33</v>
      </c>
      <c r="D217">
        <v>6</v>
      </c>
      <c r="E217" t="s">
        <v>350</v>
      </c>
      <c r="F217" t="s">
        <v>225</v>
      </c>
      <c r="G217" t="s">
        <v>159</v>
      </c>
      <c r="H217" s="8" t="s">
        <v>4</v>
      </c>
      <c r="I217" s="8">
        <v>86</v>
      </c>
      <c r="J217" s="8">
        <v>5183443</v>
      </c>
      <c r="M217" t="s">
        <v>164</v>
      </c>
      <c r="N217" t="s">
        <v>69</v>
      </c>
      <c r="O217" s="2" t="s">
        <v>4</v>
      </c>
      <c r="P217" s="2" t="s">
        <v>4</v>
      </c>
      <c r="Q217" s="3">
        <v>86</v>
      </c>
      <c r="R217" s="4" t="s">
        <v>52</v>
      </c>
      <c r="S217" s="5">
        <v>5183443</v>
      </c>
      <c r="T217" s="3">
        <v>2008</v>
      </c>
      <c r="U217" s="7" t="s">
        <v>61</v>
      </c>
      <c r="V217" s="1" t="str">
        <f t="shared" si="0"/>
        <v>Yes</v>
      </c>
    </row>
    <row r="218" spans="1:22">
      <c r="A218" s="8">
        <f>INDEX(Albums!$A:$A, MATCH(C218,Albums!$C:$C,0))</f>
        <v>20</v>
      </c>
      <c r="B218">
        <f>INDEX(Albums!$B:$B, MATCH(C218,Albums!$C:$C,0))</f>
        <v>2014</v>
      </c>
      <c r="C218" t="s">
        <v>33</v>
      </c>
      <c r="D218">
        <v>7</v>
      </c>
      <c r="E218" t="s">
        <v>351</v>
      </c>
      <c r="F218" t="s">
        <v>225</v>
      </c>
      <c r="G218" t="s">
        <v>159</v>
      </c>
      <c r="H218" s="8" t="s">
        <v>4</v>
      </c>
      <c r="I218" s="8">
        <v>77</v>
      </c>
      <c r="J218" s="8">
        <v>5183450</v>
      </c>
      <c r="M218" t="s">
        <v>164</v>
      </c>
      <c r="N218" t="s">
        <v>70</v>
      </c>
      <c r="O218" s="2" t="s">
        <v>4</v>
      </c>
      <c r="P218" s="2" t="s">
        <v>4</v>
      </c>
      <c r="Q218" s="3">
        <v>82</v>
      </c>
      <c r="R218" s="3" t="s">
        <v>52</v>
      </c>
      <c r="S218" s="5">
        <v>5183450</v>
      </c>
      <c r="T218" s="3">
        <v>2008</v>
      </c>
      <c r="U218" s="3" t="s">
        <v>61</v>
      </c>
      <c r="V218" s="1" t="str">
        <f t="shared" si="0"/>
        <v>Yes</v>
      </c>
    </row>
    <row r="219" spans="1:22">
      <c r="A219" s="8">
        <f>INDEX(Albums!$A:$A, MATCH(C219,Albums!$C:$C,0))</f>
        <v>20</v>
      </c>
      <c r="B219">
        <f>INDEX(Albums!$B:$B, MATCH(C219,Albums!$C:$C,0))</f>
        <v>2014</v>
      </c>
      <c r="C219" t="s">
        <v>33</v>
      </c>
      <c r="D219">
        <v>8</v>
      </c>
      <c r="E219" t="s">
        <v>352</v>
      </c>
      <c r="F219" t="s">
        <v>225</v>
      </c>
      <c r="G219" t="s">
        <v>353</v>
      </c>
      <c r="H219" s="8" t="s">
        <v>0</v>
      </c>
      <c r="I219" s="8">
        <v>84</v>
      </c>
      <c r="J219" s="8">
        <v>3118757</v>
      </c>
      <c r="M219" t="s">
        <v>164</v>
      </c>
      <c r="N219" t="s">
        <v>71</v>
      </c>
      <c r="O219" s="2" t="s">
        <v>0</v>
      </c>
      <c r="P219" s="2" t="s">
        <v>72</v>
      </c>
      <c r="Q219" s="3">
        <v>82</v>
      </c>
      <c r="R219" s="4" t="s">
        <v>52</v>
      </c>
      <c r="S219" s="5">
        <v>3118757</v>
      </c>
      <c r="T219" s="3">
        <v>2000</v>
      </c>
      <c r="U219" s="7" t="s">
        <v>73</v>
      </c>
      <c r="V219" s="1" t="str">
        <f t="shared" si="0"/>
        <v>Yes</v>
      </c>
    </row>
    <row r="220" spans="1:22">
      <c r="A220" s="8">
        <f>INDEX(Albums!$A:$A, MATCH(C220,Albums!$C:$C,0))</f>
        <v>20</v>
      </c>
      <c r="B220">
        <f>INDEX(Albums!$B:$B, MATCH(C220,Albums!$C:$C,0))</f>
        <v>2014</v>
      </c>
      <c r="C220" t="s">
        <v>33</v>
      </c>
      <c r="D220">
        <v>9</v>
      </c>
      <c r="E220" t="s">
        <v>354</v>
      </c>
      <c r="F220" t="s">
        <v>355</v>
      </c>
      <c r="G220" t="s">
        <v>226</v>
      </c>
      <c r="H220" s="8" t="s">
        <v>20</v>
      </c>
      <c r="I220" s="8">
        <v>70</v>
      </c>
      <c r="J220" s="8">
        <v>2456623</v>
      </c>
      <c r="M220" t="s">
        <v>164</v>
      </c>
      <c r="N220" t="s">
        <v>74</v>
      </c>
      <c r="O220" s="2" t="s">
        <v>7</v>
      </c>
      <c r="P220" s="2" t="s">
        <v>7</v>
      </c>
      <c r="Q220" s="3">
        <v>70</v>
      </c>
      <c r="R220" s="4" t="s">
        <v>52</v>
      </c>
      <c r="S220" s="5">
        <v>2456623</v>
      </c>
      <c r="T220" s="3">
        <v>1996</v>
      </c>
      <c r="U220" s="7" t="s">
        <v>75</v>
      </c>
      <c r="V220" s="1" t="str">
        <f t="shared" si="0"/>
        <v>Yes</v>
      </c>
    </row>
    <row r="221" spans="1:22">
      <c r="A221" s="8">
        <f>INDEX(Albums!$A:$A, MATCH(C221,Albums!$C:$C,0))</f>
        <v>20</v>
      </c>
      <c r="B221">
        <f>INDEX(Albums!$B:$B, MATCH(C221,Albums!$C:$C,0))</f>
        <v>2014</v>
      </c>
      <c r="C221" t="s">
        <v>33</v>
      </c>
      <c r="D221">
        <v>10</v>
      </c>
      <c r="E221" t="s">
        <v>356</v>
      </c>
      <c r="F221" t="s">
        <v>225</v>
      </c>
      <c r="G221" t="s">
        <v>76</v>
      </c>
      <c r="H221" s="8" t="s">
        <v>12</v>
      </c>
      <c r="I221" s="8">
        <v>65</v>
      </c>
      <c r="J221" s="8">
        <v>1558110</v>
      </c>
      <c r="M221" t="s">
        <v>164</v>
      </c>
      <c r="N221" t="s">
        <v>76</v>
      </c>
      <c r="O221" s="2" t="s">
        <v>20</v>
      </c>
      <c r="P221" s="2" t="s">
        <v>20</v>
      </c>
      <c r="Q221" s="3">
        <v>54</v>
      </c>
      <c r="R221" s="3" t="s">
        <v>52</v>
      </c>
      <c r="S221" s="5">
        <v>1558110</v>
      </c>
      <c r="T221" s="3">
        <v>1995</v>
      </c>
      <c r="U221" s="7" t="s">
        <v>63</v>
      </c>
      <c r="V221" s="1" t="str">
        <f t="shared" si="0"/>
        <v>Yes</v>
      </c>
    </row>
    <row r="222" spans="1:22">
      <c r="A222" s="8">
        <f>INDEX(Albums!$A:$A, MATCH(C222,Albums!$C:$C,0))</f>
        <v>21</v>
      </c>
      <c r="B222">
        <f>INDEX(Albums!$B:$B, MATCH(C222,Albums!$C:$C,0))</f>
        <v>2015</v>
      </c>
      <c r="C222" t="s">
        <v>632</v>
      </c>
      <c r="D222">
        <v>1</v>
      </c>
      <c r="E222" t="s">
        <v>578</v>
      </c>
      <c r="F222" t="s">
        <v>579</v>
      </c>
      <c r="G222" t="s">
        <v>256</v>
      </c>
      <c r="H222" t="s">
        <v>7</v>
      </c>
      <c r="I222">
        <v>69</v>
      </c>
      <c r="J222" s="8">
        <v>7053138</v>
      </c>
    </row>
    <row r="223" spans="1:22">
      <c r="A223" s="8">
        <f>INDEX(Albums!$A:$A, MATCH(C223,Albums!$C:$C,0))</f>
        <v>21</v>
      </c>
      <c r="B223">
        <f>INDEX(Albums!$B:$B, MATCH(C223,Albums!$C:$C,0))</f>
        <v>2015</v>
      </c>
      <c r="C223" t="s">
        <v>632</v>
      </c>
      <c r="D223">
        <v>2</v>
      </c>
      <c r="E223" t="s">
        <v>580</v>
      </c>
      <c r="F223" t="s">
        <v>581</v>
      </c>
      <c r="G223" t="s">
        <v>256</v>
      </c>
      <c r="H223" t="s">
        <v>7</v>
      </c>
      <c r="I223">
        <v>106</v>
      </c>
      <c r="J223" s="8">
        <v>7054933</v>
      </c>
    </row>
    <row r="224" spans="1:22">
      <c r="A224" s="8">
        <f>INDEX(Albums!$A:$A, MATCH(C224,Albums!$C:$C,0))</f>
        <v>21</v>
      </c>
      <c r="B224">
        <f>INDEX(Albums!$B:$B, MATCH(C224,Albums!$C:$C,0))</f>
        <v>2015</v>
      </c>
      <c r="C224" t="s">
        <v>632</v>
      </c>
      <c r="D224">
        <v>3</v>
      </c>
      <c r="E224" t="s">
        <v>582</v>
      </c>
      <c r="F224" t="s">
        <v>583</v>
      </c>
      <c r="G224" t="s">
        <v>256</v>
      </c>
      <c r="H224" t="s">
        <v>20</v>
      </c>
      <c r="I224">
        <v>57</v>
      </c>
      <c r="J224" s="8">
        <v>7054932</v>
      </c>
    </row>
    <row r="225" spans="1:22">
      <c r="A225" s="8">
        <f>INDEX(Albums!$A:$A, MATCH(C225,Albums!$C:$C,0))</f>
        <v>21</v>
      </c>
      <c r="B225">
        <f>INDEX(Albums!$B:$B, MATCH(C225,Albums!$C:$C,0))</f>
        <v>2015</v>
      </c>
      <c r="C225" t="s">
        <v>632</v>
      </c>
      <c r="D225">
        <v>4</v>
      </c>
      <c r="E225" t="s">
        <v>584</v>
      </c>
      <c r="F225" t="s">
        <v>585</v>
      </c>
      <c r="G225" t="s">
        <v>256</v>
      </c>
      <c r="H225" t="s">
        <v>20</v>
      </c>
      <c r="I225">
        <v>97</v>
      </c>
      <c r="J225" s="8">
        <v>7054928</v>
      </c>
    </row>
    <row r="226" spans="1:22">
      <c r="A226" s="8">
        <f>INDEX(Albums!$A:$A, MATCH(C226,Albums!$C:$C,0))</f>
        <v>21</v>
      </c>
      <c r="B226">
        <f>INDEX(Albums!$B:$B, MATCH(C226,Albums!$C:$C,0))</f>
        <v>2015</v>
      </c>
      <c r="C226" t="s">
        <v>632</v>
      </c>
      <c r="D226">
        <v>5</v>
      </c>
      <c r="E226" t="s">
        <v>586</v>
      </c>
      <c r="F226" t="s">
        <v>587</v>
      </c>
      <c r="G226" t="s">
        <v>256</v>
      </c>
      <c r="H226" t="s">
        <v>20</v>
      </c>
      <c r="I226">
        <v>107</v>
      </c>
      <c r="J226" s="8">
        <v>7054936</v>
      </c>
    </row>
    <row r="227" spans="1:22">
      <c r="A227" s="8">
        <f>INDEX(Albums!$A:$A, MATCH(C227,Albums!$C:$C,0))</f>
        <v>21</v>
      </c>
      <c r="B227">
        <f>INDEX(Albums!$B:$B, MATCH(C227,Albums!$C:$C,0))</f>
        <v>2015</v>
      </c>
      <c r="C227" t="s">
        <v>632</v>
      </c>
      <c r="D227">
        <v>6</v>
      </c>
      <c r="E227" t="s">
        <v>588</v>
      </c>
      <c r="F227" t="s">
        <v>589</v>
      </c>
      <c r="G227" t="s">
        <v>256</v>
      </c>
      <c r="H227" t="s">
        <v>20</v>
      </c>
      <c r="I227">
        <v>123</v>
      </c>
      <c r="J227" s="8">
        <v>7054935</v>
      </c>
    </row>
    <row r="228" spans="1:22">
      <c r="A228" s="8">
        <f>INDEX(Albums!$A:$A, MATCH(C228,Albums!$C:$C,0))</f>
        <v>21</v>
      </c>
      <c r="B228">
        <f>INDEX(Albums!$B:$B, MATCH(C228,Albums!$C:$C,0))</f>
        <v>2015</v>
      </c>
      <c r="C228" t="s">
        <v>632</v>
      </c>
      <c r="D228">
        <v>7</v>
      </c>
      <c r="E228" t="s">
        <v>590</v>
      </c>
      <c r="F228" t="s">
        <v>591</v>
      </c>
      <c r="G228" t="s">
        <v>256</v>
      </c>
      <c r="H228" t="s">
        <v>15</v>
      </c>
      <c r="I228">
        <v>62</v>
      </c>
      <c r="J228" s="8" t="s">
        <v>48</v>
      </c>
    </row>
    <row r="229" spans="1:22">
      <c r="A229" s="8">
        <f>INDEX(Albums!$A:$A, MATCH(C229,Albums!$C:$C,0))</f>
        <v>21</v>
      </c>
      <c r="B229">
        <f>INDEX(Albums!$B:$B, MATCH(C229,Albums!$C:$C,0))</f>
        <v>2015</v>
      </c>
      <c r="C229" t="s">
        <v>632</v>
      </c>
      <c r="D229">
        <v>8</v>
      </c>
      <c r="E229" t="s">
        <v>592</v>
      </c>
      <c r="F229" t="s">
        <v>593</v>
      </c>
      <c r="G229" t="s">
        <v>256</v>
      </c>
      <c r="H229" t="s">
        <v>4</v>
      </c>
      <c r="I229">
        <v>73</v>
      </c>
      <c r="J229" s="8">
        <v>7054927</v>
      </c>
    </row>
    <row r="230" spans="1:22">
      <c r="A230" s="8">
        <f>INDEX(Albums!$A:$A, MATCH(C230,Albums!$C:$C,0))</f>
        <v>21</v>
      </c>
      <c r="B230">
        <f>INDEX(Albums!$B:$B, MATCH(C230,Albums!$C:$C,0))</f>
        <v>2015</v>
      </c>
      <c r="C230" t="s">
        <v>632</v>
      </c>
      <c r="D230">
        <v>9</v>
      </c>
      <c r="E230" t="s">
        <v>594</v>
      </c>
      <c r="F230" t="s">
        <v>595</v>
      </c>
      <c r="G230" t="s">
        <v>256</v>
      </c>
      <c r="H230" t="s">
        <v>4</v>
      </c>
      <c r="I230">
        <v>123</v>
      </c>
      <c r="J230" s="8">
        <v>7054929</v>
      </c>
    </row>
    <row r="231" spans="1:22">
      <c r="A231" s="8">
        <f>INDEX(Albums!$A:$A, MATCH(C231,Albums!$C:$C,0))</f>
        <v>21</v>
      </c>
      <c r="B231">
        <f>INDEX(Albums!$B:$B, MATCH(C231,Albums!$C:$C,0))</f>
        <v>2015</v>
      </c>
      <c r="C231" t="s">
        <v>632</v>
      </c>
      <c r="D231">
        <v>10</v>
      </c>
      <c r="E231" t="s">
        <v>596</v>
      </c>
      <c r="F231" t="s">
        <v>225</v>
      </c>
      <c r="G231" t="s">
        <v>256</v>
      </c>
      <c r="H231" t="s">
        <v>4</v>
      </c>
      <c r="I231">
        <v>60</v>
      </c>
      <c r="J231" s="8">
        <v>7057211</v>
      </c>
    </row>
    <row r="232" spans="1:22">
      <c r="A232" s="8">
        <f>INDEX(Albums!$A:$A, MATCH(C232,Albums!$C:$C,0))</f>
        <v>21</v>
      </c>
      <c r="B232">
        <f>INDEX(Albums!$B:$B, MATCH(C232,Albums!$C:$C,0))</f>
        <v>2015</v>
      </c>
      <c r="C232" t="s">
        <v>632</v>
      </c>
      <c r="D232">
        <v>11</v>
      </c>
      <c r="E232" t="s">
        <v>597</v>
      </c>
      <c r="F232" t="s">
        <v>598</v>
      </c>
      <c r="G232" t="s">
        <v>256</v>
      </c>
      <c r="H232" t="s">
        <v>2</v>
      </c>
      <c r="I232">
        <v>69</v>
      </c>
      <c r="J232" s="8">
        <v>7054931</v>
      </c>
    </row>
    <row r="233" spans="1:22">
      <c r="A233" s="8">
        <f>INDEX(Albums!$A:$A, MATCH(C233,Albums!$C:$C,0))</f>
        <v>21</v>
      </c>
      <c r="B233">
        <f>INDEX(Albums!$B:$B, MATCH(C233,Albums!$C:$C,0))</f>
        <v>2015</v>
      </c>
      <c r="C233" t="s">
        <v>632</v>
      </c>
      <c r="D233">
        <v>12</v>
      </c>
      <c r="E233" t="s">
        <v>599</v>
      </c>
      <c r="F233" t="s">
        <v>600</v>
      </c>
      <c r="G233" t="s">
        <v>256</v>
      </c>
      <c r="H233" t="s">
        <v>2</v>
      </c>
      <c r="I233">
        <v>55</v>
      </c>
      <c r="J233" s="8">
        <v>7054930</v>
      </c>
    </row>
    <row r="234" spans="1:22">
      <c r="A234" s="8">
        <f>INDEX(Albums!$A:$A, MATCH(C234,Albums!$C:$C,0))</f>
        <v>22</v>
      </c>
      <c r="B234">
        <f>INDEX(Albums!$B:$B, MATCH(C234,Albums!$C:$C,0))</f>
        <v>2015</v>
      </c>
      <c r="C234" s="8" t="s">
        <v>29</v>
      </c>
      <c r="D234" s="8">
        <v>1</v>
      </c>
      <c r="E234" t="s">
        <v>357</v>
      </c>
      <c r="F234" t="s">
        <v>225</v>
      </c>
      <c r="G234" t="s">
        <v>256</v>
      </c>
      <c r="H234" s="8" t="s">
        <v>20</v>
      </c>
      <c r="I234" s="8">
        <v>61</v>
      </c>
      <c r="J234" s="8">
        <v>7041770</v>
      </c>
      <c r="L234" s="26"/>
      <c r="M234" s="1"/>
      <c r="N234" s="1"/>
      <c r="O234" s="1"/>
      <c r="P234" s="6"/>
      <c r="Q234" s="6"/>
      <c r="R234" s="6"/>
      <c r="S234" s="6"/>
      <c r="T234" s="6"/>
      <c r="U234" s="6"/>
      <c r="V234" s="1"/>
    </row>
    <row r="235" spans="1:22">
      <c r="A235" s="8">
        <f>INDEX(Albums!$A:$A, MATCH(C235,Albums!$C:$C,0))</f>
        <v>22</v>
      </c>
      <c r="B235">
        <f>INDEX(Albums!$B:$B, MATCH(C235,Albums!$C:$C,0))</f>
        <v>2015</v>
      </c>
      <c r="C235" s="8" t="s">
        <v>29</v>
      </c>
      <c r="D235" s="8">
        <v>2</v>
      </c>
      <c r="E235" t="s">
        <v>358</v>
      </c>
      <c r="F235" t="s">
        <v>225</v>
      </c>
      <c r="G235" t="s">
        <v>304</v>
      </c>
      <c r="H235" s="8" t="s">
        <v>20</v>
      </c>
      <c r="I235" s="8">
        <v>63</v>
      </c>
      <c r="J235" s="8">
        <v>7030072</v>
      </c>
      <c r="L235" s="26"/>
      <c r="M235" s="1"/>
      <c r="N235" s="1"/>
      <c r="O235" s="1"/>
      <c r="P235" s="6"/>
      <c r="Q235" s="6"/>
      <c r="R235" s="6"/>
      <c r="S235" s="6"/>
      <c r="T235" s="6"/>
      <c r="U235" s="6"/>
      <c r="V235" s="1"/>
    </row>
    <row r="236" spans="1:22">
      <c r="A236" s="8">
        <f>INDEX(Albums!$A:$A, MATCH(C236,Albums!$C:$C,0))</f>
        <v>22</v>
      </c>
      <c r="B236">
        <f>INDEX(Albums!$B:$B, MATCH(C236,Albums!$C:$C,0))</f>
        <v>2015</v>
      </c>
      <c r="C236" s="8" t="s">
        <v>29</v>
      </c>
      <c r="D236" s="8">
        <v>3</v>
      </c>
      <c r="E236" t="s">
        <v>359</v>
      </c>
      <c r="F236" t="s">
        <v>225</v>
      </c>
      <c r="G236" t="s">
        <v>226</v>
      </c>
      <c r="H236" s="8" t="s">
        <v>2</v>
      </c>
      <c r="I236" s="8">
        <v>72</v>
      </c>
      <c r="J236" s="8">
        <v>7018338</v>
      </c>
      <c r="L236" s="26"/>
      <c r="M236" s="1"/>
      <c r="N236" s="1"/>
      <c r="O236" s="1"/>
      <c r="P236" s="6"/>
      <c r="Q236" s="6"/>
      <c r="R236" s="6"/>
      <c r="S236" s="6"/>
      <c r="T236" s="6"/>
      <c r="U236" s="6"/>
      <c r="V236" s="1"/>
    </row>
    <row r="237" spans="1:22">
      <c r="A237" s="8">
        <f>INDEX(Albums!$A:$A, MATCH(C237,Albums!$C:$C,0))</f>
        <v>22</v>
      </c>
      <c r="B237">
        <f>INDEX(Albums!$B:$B, MATCH(C237,Albums!$C:$C,0))</f>
        <v>2015</v>
      </c>
      <c r="C237" s="8" t="s">
        <v>29</v>
      </c>
      <c r="D237" s="8">
        <v>4</v>
      </c>
      <c r="E237" t="s">
        <v>360</v>
      </c>
      <c r="F237" t="s">
        <v>225</v>
      </c>
      <c r="G237" t="s">
        <v>361</v>
      </c>
      <c r="H237" s="8" t="s">
        <v>2</v>
      </c>
      <c r="I237" s="8">
        <v>127</v>
      </c>
      <c r="J237" s="8">
        <v>6428750</v>
      </c>
      <c r="L237" s="26"/>
      <c r="M237" t="s">
        <v>164</v>
      </c>
      <c r="N237" t="s">
        <v>124</v>
      </c>
      <c r="O237" s="2" t="s">
        <v>2</v>
      </c>
      <c r="P237" s="2" t="s">
        <v>2</v>
      </c>
      <c r="Q237" s="3">
        <v>42</v>
      </c>
      <c r="R237" s="4" t="s">
        <v>78</v>
      </c>
      <c r="S237" s="5">
        <v>6428750</v>
      </c>
      <c r="T237" s="3">
        <v>2012</v>
      </c>
      <c r="U237" s="3" t="s">
        <v>53</v>
      </c>
      <c r="V237" s="1" t="str">
        <f>IF(J237=S237,"Yes","")</f>
        <v>Yes</v>
      </c>
    </row>
    <row r="238" spans="1:22">
      <c r="A238" s="8">
        <f>INDEX(Albums!$A:$A, MATCH(C238,Albums!$C:$C,0))</f>
        <v>22</v>
      </c>
      <c r="B238">
        <f>INDEX(Albums!$B:$B, MATCH(C238,Albums!$C:$C,0))</f>
        <v>2015</v>
      </c>
      <c r="C238" s="8" t="s">
        <v>29</v>
      </c>
      <c r="D238" s="8">
        <v>5</v>
      </c>
      <c r="E238" t="s">
        <v>301</v>
      </c>
      <c r="F238" t="s">
        <v>362</v>
      </c>
      <c r="G238" t="s">
        <v>296</v>
      </c>
      <c r="H238" s="8" t="s">
        <v>2</v>
      </c>
      <c r="I238" s="8">
        <v>74</v>
      </c>
      <c r="J238" s="8">
        <v>7001228</v>
      </c>
      <c r="L238" s="26"/>
      <c r="M238" t="s">
        <v>164</v>
      </c>
      <c r="N238" t="s">
        <v>171</v>
      </c>
      <c r="O238" s="2" t="s">
        <v>15</v>
      </c>
      <c r="P238" s="2" t="s">
        <v>15</v>
      </c>
      <c r="Q238" s="3">
        <v>73</v>
      </c>
      <c r="R238" s="3" t="s">
        <v>52</v>
      </c>
      <c r="S238" s="5">
        <v>7001228</v>
      </c>
      <c r="T238" s="3">
        <v>2013</v>
      </c>
      <c r="U238" s="7" t="s">
        <v>172</v>
      </c>
      <c r="V238" s="1" t="str">
        <f>IF(J238=S238,"Yes","")</f>
        <v>Yes</v>
      </c>
    </row>
    <row r="239" spans="1:22">
      <c r="A239" s="8">
        <f>INDEX(Albums!$A:$A, MATCH(C239,Albums!$C:$C,0))</f>
        <v>22</v>
      </c>
      <c r="B239">
        <f>INDEX(Albums!$B:$B, MATCH(C239,Albums!$C:$C,0))</f>
        <v>2015</v>
      </c>
      <c r="C239" s="8" t="s">
        <v>29</v>
      </c>
      <c r="D239" s="8">
        <v>6</v>
      </c>
      <c r="E239" t="s">
        <v>363</v>
      </c>
      <c r="F239" t="s">
        <v>225</v>
      </c>
      <c r="G239" t="s">
        <v>159</v>
      </c>
      <c r="H239" s="8" t="s">
        <v>2</v>
      </c>
      <c r="I239" s="8">
        <v>81</v>
      </c>
      <c r="J239" s="8">
        <v>7028829</v>
      </c>
      <c r="L239" s="26"/>
      <c r="M239" s="1"/>
      <c r="N239" s="1"/>
      <c r="O239" s="1"/>
      <c r="P239" s="6"/>
      <c r="Q239" s="6"/>
      <c r="R239" s="6"/>
      <c r="S239" s="6"/>
      <c r="T239" s="6"/>
      <c r="U239" s="6"/>
      <c r="V239" s="1"/>
    </row>
    <row r="240" spans="1:22">
      <c r="A240" s="8">
        <f>INDEX(Albums!$A:$A, MATCH(C240,Albums!$C:$C,0))</f>
        <v>22</v>
      </c>
      <c r="B240">
        <f>INDEX(Albums!$B:$B, MATCH(C240,Albums!$C:$C,0))</f>
        <v>2015</v>
      </c>
      <c r="C240" s="8" t="s">
        <v>29</v>
      </c>
      <c r="D240" s="8">
        <v>7</v>
      </c>
      <c r="E240" t="s">
        <v>364</v>
      </c>
      <c r="F240" t="s">
        <v>225</v>
      </c>
      <c r="G240" t="s">
        <v>230</v>
      </c>
      <c r="H240" s="8" t="s">
        <v>2</v>
      </c>
      <c r="I240" s="8">
        <v>77</v>
      </c>
      <c r="J240" s="8">
        <v>7016414</v>
      </c>
      <c r="L240" s="26"/>
      <c r="M240" s="1"/>
      <c r="N240" s="1"/>
      <c r="O240" s="1"/>
      <c r="P240" s="6"/>
      <c r="Q240" s="6"/>
      <c r="R240" s="6"/>
      <c r="S240" s="6"/>
      <c r="T240" s="6"/>
      <c r="U240" s="6"/>
      <c r="V240" s="1"/>
    </row>
    <row r="241" spans="1:22">
      <c r="A241" s="8">
        <f>INDEX(Albums!$A:$A, MATCH(C241,Albums!$C:$C,0))</f>
        <v>22</v>
      </c>
      <c r="B241">
        <f>INDEX(Albums!$B:$B, MATCH(C241,Albums!$C:$C,0))</f>
        <v>2015</v>
      </c>
      <c r="C241" s="8" t="s">
        <v>29</v>
      </c>
      <c r="D241" s="8">
        <v>8</v>
      </c>
      <c r="E241" t="s">
        <v>365</v>
      </c>
      <c r="F241" t="s">
        <v>225</v>
      </c>
      <c r="G241" t="s">
        <v>366</v>
      </c>
      <c r="H241" s="8" t="s">
        <v>15</v>
      </c>
      <c r="I241" s="8">
        <v>138</v>
      </c>
      <c r="J241" s="8">
        <v>7003306</v>
      </c>
      <c r="L241" s="26"/>
      <c r="M241" s="1"/>
      <c r="N241" s="1"/>
      <c r="O241" s="1"/>
      <c r="P241" s="6"/>
      <c r="Q241" s="6"/>
      <c r="R241" s="6"/>
      <c r="S241" s="6"/>
      <c r="T241" s="6"/>
      <c r="U241" s="6"/>
      <c r="V241" s="1"/>
    </row>
    <row r="242" spans="1:22">
      <c r="A242" s="8">
        <f>INDEX(Albums!$A:$A, MATCH(C242,Albums!$C:$C,0))</f>
        <v>22</v>
      </c>
      <c r="B242">
        <f>INDEX(Albums!$B:$B, MATCH(C242,Albums!$C:$C,0))</f>
        <v>2015</v>
      </c>
      <c r="C242" s="8" t="s">
        <v>29</v>
      </c>
      <c r="D242" s="8">
        <v>9</v>
      </c>
      <c r="E242" t="s">
        <v>367</v>
      </c>
      <c r="F242" t="s">
        <v>225</v>
      </c>
      <c r="G242" t="s">
        <v>230</v>
      </c>
      <c r="H242" s="8" t="s">
        <v>15</v>
      </c>
      <c r="I242" s="8">
        <v>72</v>
      </c>
      <c r="J242" s="8">
        <v>6460220</v>
      </c>
      <c r="L242" s="26"/>
      <c r="M242" t="s">
        <v>164</v>
      </c>
      <c r="N242" t="s">
        <v>173</v>
      </c>
      <c r="O242" s="2" t="s">
        <v>15</v>
      </c>
      <c r="P242" s="2" t="s">
        <v>15</v>
      </c>
      <c r="Q242" s="3">
        <v>144</v>
      </c>
      <c r="R242" s="9" t="s">
        <v>78</v>
      </c>
      <c r="S242" s="5">
        <v>6460220</v>
      </c>
      <c r="T242" s="3">
        <v>2012</v>
      </c>
      <c r="U242" s="7" t="s">
        <v>174</v>
      </c>
      <c r="V242" s="1" t="str">
        <f>IF(J242=S242,"Yes","")</f>
        <v>Yes</v>
      </c>
    </row>
    <row r="243" spans="1:22">
      <c r="A243" s="8">
        <f>INDEX(Albums!$A:$A, MATCH(C243,Albums!$C:$C,0))</f>
        <v>22</v>
      </c>
      <c r="B243">
        <f>INDEX(Albums!$B:$B, MATCH(C243,Albums!$C:$C,0))</f>
        <v>2015</v>
      </c>
      <c r="C243" s="8" t="s">
        <v>29</v>
      </c>
      <c r="D243" s="8">
        <v>10</v>
      </c>
      <c r="E243" t="s">
        <v>368</v>
      </c>
      <c r="F243" t="s">
        <v>225</v>
      </c>
      <c r="G243" t="s">
        <v>226</v>
      </c>
      <c r="H243" s="8" t="s">
        <v>4</v>
      </c>
      <c r="I243" s="8">
        <v>71</v>
      </c>
      <c r="J243" s="8">
        <v>6476063</v>
      </c>
      <c r="L243" s="26"/>
      <c r="M243" t="s">
        <v>164</v>
      </c>
      <c r="N243" t="s">
        <v>175</v>
      </c>
      <c r="O243" s="2" t="s">
        <v>12</v>
      </c>
      <c r="P243" s="2" t="s">
        <v>12</v>
      </c>
      <c r="Q243" s="3">
        <v>72</v>
      </c>
      <c r="R243" s="3" t="s">
        <v>52</v>
      </c>
      <c r="S243" s="5">
        <v>6476063</v>
      </c>
      <c r="T243" s="3">
        <v>2012</v>
      </c>
      <c r="U243" s="3" t="s">
        <v>53</v>
      </c>
      <c r="V243" s="1" t="str">
        <f>IF(J243=S243,"Yes","")</f>
        <v>Yes</v>
      </c>
    </row>
    <row r="244" spans="1:22">
      <c r="A244" s="8">
        <f>INDEX(Albums!$A:$A, MATCH(C244,Albums!$C:$C,0))</f>
        <v>23</v>
      </c>
      <c r="B244">
        <f>INDEX(Albums!$B:$B, MATCH(C244,Albums!$C:$C,0))</f>
        <v>2016</v>
      </c>
      <c r="C244" t="s">
        <v>770</v>
      </c>
      <c r="D244" s="8">
        <v>1</v>
      </c>
      <c r="E244" t="s">
        <v>639</v>
      </c>
      <c r="L244" s="26"/>
      <c r="O244" s="2"/>
      <c r="P244" s="2"/>
      <c r="Q244" s="3"/>
      <c r="R244" s="3"/>
      <c r="S244" s="5"/>
      <c r="T244" s="3"/>
      <c r="U244" s="3"/>
      <c r="V244" s="1"/>
    </row>
    <row r="245" spans="1:22">
      <c r="A245" s="8">
        <f>INDEX(Albums!$A:$A, MATCH(C245,Albums!$C:$C,0))</f>
        <v>23</v>
      </c>
      <c r="B245">
        <f>INDEX(Albums!$B:$B, MATCH(C245,Albums!$C:$C,0))</f>
        <v>2016</v>
      </c>
      <c r="C245" t="s">
        <v>770</v>
      </c>
      <c r="D245" s="8">
        <v>2</v>
      </c>
      <c r="E245" t="s">
        <v>640</v>
      </c>
      <c r="L245" s="26"/>
      <c r="O245" s="2"/>
      <c r="P245" s="2"/>
      <c r="Q245" s="3"/>
      <c r="R245" s="3"/>
      <c r="S245" s="5"/>
      <c r="T245" s="3"/>
      <c r="U245" s="3"/>
      <c r="V245" s="1"/>
    </row>
    <row r="246" spans="1:22">
      <c r="A246" s="8">
        <f>INDEX(Albums!$A:$A, MATCH(C246,Albums!$C:$C,0))</f>
        <v>23</v>
      </c>
      <c r="B246">
        <f>INDEX(Albums!$B:$B, MATCH(C246,Albums!$C:$C,0))</f>
        <v>2016</v>
      </c>
      <c r="C246" t="s">
        <v>770</v>
      </c>
      <c r="D246" s="8">
        <v>3</v>
      </c>
      <c r="E246" t="s">
        <v>641</v>
      </c>
      <c r="L246" s="26"/>
      <c r="O246" s="2"/>
      <c r="P246" s="2"/>
      <c r="Q246" s="3"/>
      <c r="R246" s="3"/>
      <c r="S246" s="5"/>
      <c r="T246" s="3"/>
      <c r="U246" s="3"/>
      <c r="V246" s="1"/>
    </row>
    <row r="247" spans="1:22">
      <c r="A247" s="8">
        <f>INDEX(Albums!$A:$A, MATCH(C247,Albums!$C:$C,0))</f>
        <v>23</v>
      </c>
      <c r="B247">
        <f>INDEX(Albums!$B:$B, MATCH(C247,Albums!$C:$C,0))</f>
        <v>2016</v>
      </c>
      <c r="C247" t="s">
        <v>770</v>
      </c>
      <c r="D247" s="8">
        <v>4</v>
      </c>
      <c r="E247" t="s">
        <v>642</v>
      </c>
      <c r="L247" s="26"/>
      <c r="O247" s="2"/>
      <c r="P247" s="2"/>
      <c r="Q247" s="3"/>
      <c r="R247" s="3"/>
      <c r="S247" s="5"/>
      <c r="T247" s="3"/>
      <c r="U247" s="3"/>
      <c r="V247" s="1"/>
    </row>
    <row r="248" spans="1:22">
      <c r="A248" s="8">
        <f>INDEX(Albums!$A:$A, MATCH(C248,Albums!$C:$C,0))</f>
        <v>23</v>
      </c>
      <c r="B248">
        <f>INDEX(Albums!$B:$B, MATCH(C248,Albums!$C:$C,0))</f>
        <v>2016</v>
      </c>
      <c r="C248" t="s">
        <v>770</v>
      </c>
      <c r="D248" s="8">
        <v>5</v>
      </c>
      <c r="E248" t="s">
        <v>643</v>
      </c>
      <c r="L248" s="26"/>
      <c r="O248" s="2"/>
      <c r="P248" s="2"/>
      <c r="Q248" s="3"/>
      <c r="R248" s="3"/>
      <c r="S248" s="5"/>
      <c r="T248" s="3"/>
      <c r="U248" s="3"/>
      <c r="V248" s="1"/>
    </row>
    <row r="249" spans="1:22">
      <c r="A249" s="8">
        <f>INDEX(Albums!$A:$A, MATCH(C249,Albums!$C:$C,0))</f>
        <v>23</v>
      </c>
      <c r="B249">
        <f>INDEX(Albums!$B:$B, MATCH(C249,Albums!$C:$C,0))</f>
        <v>2016</v>
      </c>
      <c r="C249" t="s">
        <v>770</v>
      </c>
      <c r="D249" s="8">
        <v>6</v>
      </c>
      <c r="E249" t="s">
        <v>644</v>
      </c>
      <c r="L249" s="26"/>
      <c r="O249" s="2"/>
      <c r="P249" s="2"/>
      <c r="Q249" s="3"/>
      <c r="R249" s="3"/>
      <c r="S249" s="5"/>
      <c r="T249" s="3"/>
      <c r="U249" s="3"/>
      <c r="V249" s="1"/>
    </row>
    <row r="250" spans="1:22">
      <c r="A250" s="8">
        <f>INDEX(Albums!$A:$A, MATCH(C250,Albums!$C:$C,0))</f>
        <v>23</v>
      </c>
      <c r="B250">
        <f>INDEX(Albums!$B:$B, MATCH(C250,Albums!$C:$C,0))</f>
        <v>2016</v>
      </c>
      <c r="C250" t="s">
        <v>770</v>
      </c>
      <c r="D250" s="8">
        <v>7</v>
      </c>
      <c r="E250" t="s">
        <v>645</v>
      </c>
      <c r="L250" s="26"/>
      <c r="O250" s="2"/>
      <c r="P250" s="2"/>
      <c r="Q250" s="3"/>
      <c r="R250" s="3"/>
      <c r="S250" s="5"/>
      <c r="T250" s="3"/>
      <c r="U250" s="3"/>
      <c r="V250" s="1"/>
    </row>
    <row r="251" spans="1:22">
      <c r="A251" s="8">
        <f>INDEX(Albums!$A:$A, MATCH(C251,Albums!$C:$C,0))</f>
        <v>23</v>
      </c>
      <c r="B251">
        <f>INDEX(Albums!$B:$B, MATCH(C251,Albums!$C:$C,0))</f>
        <v>2016</v>
      </c>
      <c r="C251" t="s">
        <v>770</v>
      </c>
      <c r="D251" s="8">
        <v>8</v>
      </c>
      <c r="E251" t="s">
        <v>646</v>
      </c>
      <c r="L251" s="26"/>
      <c r="O251" s="2"/>
      <c r="P251" s="2"/>
      <c r="Q251" s="3"/>
      <c r="R251" s="3"/>
      <c r="S251" s="5"/>
      <c r="T251" s="3"/>
      <c r="U251" s="3"/>
      <c r="V251" s="1"/>
    </row>
    <row r="252" spans="1:22">
      <c r="A252" s="8">
        <f>INDEX(Albums!$A:$A, MATCH(C252,Albums!$C:$C,0))</f>
        <v>23</v>
      </c>
      <c r="B252">
        <f>INDEX(Albums!$B:$B, MATCH(C252,Albums!$C:$C,0))</f>
        <v>2016</v>
      </c>
      <c r="C252" t="s">
        <v>770</v>
      </c>
      <c r="D252" s="8">
        <v>9</v>
      </c>
      <c r="E252" t="s">
        <v>647</v>
      </c>
      <c r="L252" s="26"/>
      <c r="O252" s="2"/>
      <c r="P252" s="2"/>
      <c r="Q252" s="3"/>
      <c r="R252" s="3"/>
      <c r="S252" s="5"/>
      <c r="T252" s="3"/>
      <c r="U252" s="3"/>
      <c r="V252" s="1"/>
    </row>
    <row r="253" spans="1:22">
      <c r="A253" s="8">
        <f>INDEX(Albums!$A:$A, MATCH(C253,Albums!$C:$C,0))</f>
        <v>23</v>
      </c>
      <c r="B253">
        <f>INDEX(Albums!$B:$B, MATCH(C253,Albums!$C:$C,0))</f>
        <v>2016</v>
      </c>
      <c r="C253" t="s">
        <v>770</v>
      </c>
      <c r="D253" s="8">
        <v>10</v>
      </c>
      <c r="E253" t="s">
        <v>369</v>
      </c>
      <c r="L253" s="26"/>
      <c r="O253" s="2"/>
      <c r="P253" s="2"/>
      <c r="Q253" s="3"/>
      <c r="R253" s="3"/>
      <c r="S253" s="5"/>
      <c r="T253" s="3"/>
      <c r="U253" s="3"/>
      <c r="V253" s="1"/>
    </row>
    <row r="254" spans="1:22">
      <c r="A254" s="8">
        <f>INDEX(Albums!$A:$A, MATCH(C254,Albums!$C:$C,0))</f>
        <v>23</v>
      </c>
      <c r="B254">
        <f>INDEX(Albums!$B:$B, MATCH(C254,Albums!$C:$C,0))</f>
        <v>2016</v>
      </c>
      <c r="C254" t="s">
        <v>770</v>
      </c>
      <c r="D254" s="8">
        <v>11</v>
      </c>
      <c r="E254" t="s">
        <v>406</v>
      </c>
      <c r="L254" s="26"/>
      <c r="O254" s="2"/>
      <c r="P254" s="2"/>
      <c r="Q254" s="3"/>
      <c r="R254" s="3"/>
      <c r="S254" s="5"/>
      <c r="T254" s="3"/>
      <c r="U254" s="3"/>
      <c r="V254" s="1"/>
    </row>
    <row r="255" spans="1:22">
      <c r="A255" s="8">
        <f>INDEX(Albums!$A:$A, MATCH(C255,Albums!$C:$C,0))</f>
        <v>23</v>
      </c>
      <c r="B255">
        <f>INDEX(Albums!$B:$B, MATCH(C255,Albums!$C:$C,0))</f>
        <v>2016</v>
      </c>
      <c r="C255" t="s">
        <v>770</v>
      </c>
      <c r="D255" s="8">
        <v>12</v>
      </c>
      <c r="E255" t="s">
        <v>380</v>
      </c>
      <c r="L255" s="26"/>
      <c r="O255" s="2"/>
      <c r="P255" s="2"/>
      <c r="Q255" s="3"/>
      <c r="R255" s="3"/>
      <c r="S255" s="5"/>
      <c r="T255" s="3"/>
      <c r="U255" s="3"/>
      <c r="V255" s="1"/>
    </row>
    <row r="256" spans="1:22">
      <c r="A256" s="8">
        <f>INDEX(Albums!$A:$A, MATCH(C256,Albums!$C:$C,0))</f>
        <v>23</v>
      </c>
      <c r="B256">
        <f>INDEX(Albums!$B:$B, MATCH(C256,Albums!$C:$C,0))</f>
        <v>2016</v>
      </c>
      <c r="C256" t="s">
        <v>770</v>
      </c>
      <c r="D256" s="8">
        <v>13</v>
      </c>
      <c r="E256" t="s">
        <v>255</v>
      </c>
      <c r="L256" s="26"/>
      <c r="O256" s="2"/>
      <c r="P256" s="2"/>
      <c r="Q256" s="3"/>
      <c r="R256" s="3"/>
      <c r="S256" s="5"/>
      <c r="T256" s="3"/>
      <c r="U256" s="3"/>
      <c r="V256" s="1"/>
    </row>
    <row r="257" spans="1:22">
      <c r="A257" s="8">
        <f>INDEX(Albums!$A:$A, MATCH(C257,Albums!$C:$C,0))</f>
        <v>24</v>
      </c>
      <c r="B257">
        <f>INDEX(Albums!$B:$B, MATCH(C257,Albums!$C:$C,0))</f>
        <v>2016</v>
      </c>
      <c r="C257" t="s">
        <v>34</v>
      </c>
      <c r="D257">
        <v>1</v>
      </c>
      <c r="E257" t="s">
        <v>369</v>
      </c>
      <c r="F257" t="s">
        <v>225</v>
      </c>
      <c r="G257" t="s">
        <v>370</v>
      </c>
      <c r="H257" s="8" t="s">
        <v>20</v>
      </c>
      <c r="I257" s="8">
        <v>70</v>
      </c>
      <c r="J257" s="8">
        <v>7051511</v>
      </c>
      <c r="M257" t="s">
        <v>164</v>
      </c>
      <c r="N257" t="s">
        <v>77</v>
      </c>
      <c r="O257" s="2" t="s">
        <v>4</v>
      </c>
      <c r="P257" s="2" t="s">
        <v>4</v>
      </c>
      <c r="Q257" s="3">
        <v>140</v>
      </c>
      <c r="R257" s="4" t="s">
        <v>78</v>
      </c>
      <c r="S257" s="5">
        <v>7051511</v>
      </c>
      <c r="T257" s="3">
        <v>2015</v>
      </c>
      <c r="U257" s="3" t="s">
        <v>79</v>
      </c>
      <c r="V257" s="1" t="str">
        <f>IF(J257=S257,"Yes","")</f>
        <v>Yes</v>
      </c>
    </row>
    <row r="258" spans="1:22">
      <c r="A258" s="8">
        <f>INDEX(Albums!$A:$A, MATCH(C258,Albums!$C:$C,0))</f>
        <v>24</v>
      </c>
      <c r="B258">
        <f>INDEX(Albums!$B:$B, MATCH(C258,Albums!$C:$C,0))</f>
        <v>2016</v>
      </c>
      <c r="C258" t="s">
        <v>34</v>
      </c>
      <c r="D258">
        <v>2</v>
      </c>
      <c r="E258" t="s">
        <v>371</v>
      </c>
      <c r="F258" t="s">
        <v>225</v>
      </c>
      <c r="G258" t="s">
        <v>372</v>
      </c>
      <c r="H258" s="8" t="s">
        <v>20</v>
      </c>
      <c r="I258" s="8">
        <v>95</v>
      </c>
      <c r="J258" s="8">
        <v>6304702</v>
      </c>
    </row>
    <row r="259" spans="1:22">
      <c r="A259" s="8">
        <f>INDEX(Albums!$A:$A, MATCH(C259,Albums!$C:$C,0))</f>
        <v>24</v>
      </c>
      <c r="B259">
        <f>INDEX(Albums!$B:$B, MATCH(C259,Albums!$C:$C,0))</f>
        <v>2016</v>
      </c>
      <c r="C259" t="s">
        <v>34</v>
      </c>
      <c r="D259">
        <v>3</v>
      </c>
      <c r="E259" t="s">
        <v>373</v>
      </c>
      <c r="F259" t="s">
        <v>225</v>
      </c>
      <c r="G259" t="s">
        <v>374</v>
      </c>
      <c r="H259" s="8" t="s">
        <v>2</v>
      </c>
      <c r="I259" s="8">
        <v>70</v>
      </c>
      <c r="J259" s="8">
        <v>7054178</v>
      </c>
      <c r="M259" t="s">
        <v>164</v>
      </c>
      <c r="N259" t="s">
        <v>80</v>
      </c>
      <c r="O259" s="2" t="s">
        <v>2</v>
      </c>
      <c r="P259" s="2" t="s">
        <v>26</v>
      </c>
      <c r="Q259" s="3">
        <v>70</v>
      </c>
      <c r="R259" s="4" t="s">
        <v>52</v>
      </c>
      <c r="S259" s="3">
        <v>7054178</v>
      </c>
      <c r="T259" s="3">
        <v>2015</v>
      </c>
      <c r="U259" s="3" t="s">
        <v>81</v>
      </c>
      <c r="V259" s="1" t="str">
        <f>IF(J259=S259,"Yes","")</f>
        <v>Yes</v>
      </c>
    </row>
    <row r="260" spans="1:22">
      <c r="A260" s="8">
        <f>INDEX(Albums!$A:$A, MATCH(C260,Albums!$C:$C,0))</f>
        <v>24</v>
      </c>
      <c r="B260">
        <f>INDEX(Albums!$B:$B, MATCH(C260,Albums!$C:$C,0))</f>
        <v>2016</v>
      </c>
      <c r="C260" t="s">
        <v>34</v>
      </c>
      <c r="D260">
        <v>4</v>
      </c>
      <c r="E260" t="s">
        <v>375</v>
      </c>
      <c r="F260" t="s">
        <v>225</v>
      </c>
      <c r="G260" t="s">
        <v>376</v>
      </c>
      <c r="H260" s="8" t="s">
        <v>15</v>
      </c>
      <c r="I260" s="8">
        <v>72.5</v>
      </c>
      <c r="J260" s="8">
        <v>7036612</v>
      </c>
      <c r="M260" t="s">
        <v>164</v>
      </c>
      <c r="N260" t="s">
        <v>82</v>
      </c>
      <c r="O260" s="2" t="s">
        <v>15</v>
      </c>
      <c r="P260" s="2" t="s">
        <v>15</v>
      </c>
      <c r="Q260" s="3">
        <v>48</v>
      </c>
      <c r="R260" s="4" t="s">
        <v>78</v>
      </c>
      <c r="S260" s="5">
        <v>7036612</v>
      </c>
      <c r="T260" s="3">
        <v>2014</v>
      </c>
      <c r="U260" s="3" t="s">
        <v>83</v>
      </c>
      <c r="V260" s="1" t="str">
        <f>IF(J260=S260,"Yes","")</f>
        <v>Yes</v>
      </c>
    </row>
    <row r="261" spans="1:22">
      <c r="A261" s="8">
        <f>INDEX(Albums!$A:$A, MATCH(C261,Albums!$C:$C,0))</f>
        <v>24</v>
      </c>
      <c r="B261">
        <f>INDEX(Albums!$B:$B, MATCH(C261,Albums!$C:$C,0))</f>
        <v>2016</v>
      </c>
      <c r="C261" t="s">
        <v>34</v>
      </c>
      <c r="D261">
        <v>5</v>
      </c>
      <c r="E261" t="s">
        <v>377</v>
      </c>
      <c r="F261" t="s">
        <v>225</v>
      </c>
      <c r="G261" t="s">
        <v>378</v>
      </c>
      <c r="H261" s="8" t="s">
        <v>15</v>
      </c>
      <c r="I261" s="8">
        <v>72</v>
      </c>
      <c r="J261" s="8">
        <v>6087919</v>
      </c>
    </row>
    <row r="262" spans="1:22">
      <c r="A262" s="8">
        <f>INDEX(Albums!$A:$A, MATCH(C262,Albums!$C:$C,0))</f>
        <v>24</v>
      </c>
      <c r="B262">
        <f>INDEX(Albums!$B:$B, MATCH(C262,Albums!$C:$C,0))</f>
        <v>2016</v>
      </c>
      <c r="C262" t="s">
        <v>34</v>
      </c>
      <c r="D262">
        <v>6</v>
      </c>
      <c r="E262" t="s">
        <v>377</v>
      </c>
      <c r="F262" t="s">
        <v>379</v>
      </c>
      <c r="G262" t="s">
        <v>378</v>
      </c>
      <c r="H262" s="8" t="s">
        <v>20</v>
      </c>
      <c r="I262" s="8">
        <v>72</v>
      </c>
      <c r="J262" s="8">
        <v>6087919</v>
      </c>
    </row>
    <row r="263" spans="1:22">
      <c r="A263" s="8">
        <f>INDEX(Albums!$A:$A, MATCH(C263,Albums!$C:$C,0))</f>
        <v>24</v>
      </c>
      <c r="B263">
        <f>INDEX(Albums!$B:$B, MATCH(C263,Albums!$C:$C,0))</f>
        <v>2016</v>
      </c>
      <c r="C263" t="s">
        <v>34</v>
      </c>
      <c r="D263">
        <v>7</v>
      </c>
      <c r="E263" t="s">
        <v>380</v>
      </c>
      <c r="F263" t="s">
        <v>225</v>
      </c>
      <c r="G263" t="s">
        <v>381</v>
      </c>
      <c r="H263" s="8" t="s">
        <v>15</v>
      </c>
      <c r="I263" s="8">
        <v>74</v>
      </c>
      <c r="J263" s="8">
        <v>7030123</v>
      </c>
      <c r="M263" t="s">
        <v>164</v>
      </c>
      <c r="N263" t="s">
        <v>84</v>
      </c>
      <c r="O263" s="2" t="s">
        <v>15</v>
      </c>
      <c r="P263" s="2" t="s">
        <v>18</v>
      </c>
      <c r="Q263" s="3">
        <v>74</v>
      </c>
      <c r="R263" s="4" t="s">
        <v>52</v>
      </c>
      <c r="S263" s="5">
        <v>7030123</v>
      </c>
      <c r="T263" s="3">
        <v>2014</v>
      </c>
      <c r="U263" s="7" t="s">
        <v>81</v>
      </c>
      <c r="V263" s="1" t="str">
        <f>IF(J263=S263,"Yes","")</f>
        <v>Yes</v>
      </c>
    </row>
    <row r="264" spans="1:22">
      <c r="A264" s="8">
        <f>INDEX(Albums!$A:$A, MATCH(C264,Albums!$C:$C,0))</f>
        <v>24</v>
      </c>
      <c r="B264">
        <f>INDEX(Albums!$B:$B, MATCH(C264,Albums!$C:$C,0))</f>
        <v>2016</v>
      </c>
      <c r="C264" t="s">
        <v>34</v>
      </c>
      <c r="D264">
        <v>8</v>
      </c>
      <c r="E264" t="s">
        <v>382</v>
      </c>
      <c r="F264" t="s">
        <v>383</v>
      </c>
      <c r="G264" t="s">
        <v>159</v>
      </c>
      <c r="H264" s="8" t="s">
        <v>0</v>
      </c>
      <c r="I264" s="8">
        <v>73</v>
      </c>
      <c r="J264" s="8">
        <v>7017786</v>
      </c>
      <c r="M264" t="s">
        <v>164</v>
      </c>
      <c r="N264" t="s">
        <v>85</v>
      </c>
      <c r="O264" s="2" t="s">
        <v>0</v>
      </c>
      <c r="P264" s="2" t="s">
        <v>0</v>
      </c>
      <c r="Q264" s="3">
        <v>72</v>
      </c>
      <c r="R264" s="3" t="s">
        <v>52</v>
      </c>
      <c r="S264" s="3">
        <v>7017786</v>
      </c>
      <c r="T264" s="3">
        <v>2014</v>
      </c>
      <c r="U264" s="3" t="s">
        <v>86</v>
      </c>
      <c r="V264" s="1" t="str">
        <f>IF(J264=S264,"Yes","")</f>
        <v>Yes</v>
      </c>
    </row>
    <row r="265" spans="1:22">
      <c r="A265" s="8">
        <f>INDEX(Albums!$A:$A, MATCH(C265,Albums!$C:$C,0))</f>
        <v>24</v>
      </c>
      <c r="B265">
        <f>INDEX(Albums!$B:$B, MATCH(C265,Albums!$C:$C,0))</f>
        <v>2016</v>
      </c>
      <c r="C265" t="s">
        <v>34</v>
      </c>
      <c r="D265">
        <v>9</v>
      </c>
      <c r="E265" t="s">
        <v>384</v>
      </c>
      <c r="F265" t="s">
        <v>225</v>
      </c>
      <c r="G265" t="s">
        <v>385</v>
      </c>
      <c r="H265" s="8" t="s">
        <v>4</v>
      </c>
      <c r="I265" s="8">
        <v>78</v>
      </c>
      <c r="J265" s="8">
        <v>7032344</v>
      </c>
    </row>
    <row r="266" spans="1:22">
      <c r="A266" s="8">
        <f>INDEX(Albums!$A:$A, MATCH(C266,Albums!$C:$C,0))</f>
        <v>24</v>
      </c>
      <c r="B266">
        <f>INDEX(Albums!$B:$B, MATCH(C266,Albums!$C:$C,0))</f>
        <v>2016</v>
      </c>
      <c r="C266" t="s">
        <v>34</v>
      </c>
      <c r="D266">
        <v>10</v>
      </c>
      <c r="E266" t="s">
        <v>386</v>
      </c>
      <c r="F266" t="s">
        <v>225</v>
      </c>
      <c r="G266" t="s">
        <v>387</v>
      </c>
      <c r="H266" s="8" t="s">
        <v>4</v>
      </c>
      <c r="I266" s="8">
        <v>70</v>
      </c>
      <c r="J266" s="8">
        <v>6011370</v>
      </c>
    </row>
    <row r="267" spans="1:22">
      <c r="A267" s="8">
        <f>INDEX(Albums!$A:$A, MATCH(C267,Albums!$C:$C,0))</f>
        <v>24</v>
      </c>
      <c r="B267">
        <f>INDEX(Albums!$B:$B, MATCH(C267,Albums!$C:$C,0))</f>
        <v>2016</v>
      </c>
      <c r="C267" t="s">
        <v>34</v>
      </c>
      <c r="D267">
        <v>11</v>
      </c>
      <c r="E267" t="s">
        <v>388</v>
      </c>
      <c r="F267" t="s">
        <v>225</v>
      </c>
      <c r="G267" t="s">
        <v>387</v>
      </c>
      <c r="H267" s="8" t="s">
        <v>4</v>
      </c>
      <c r="I267" s="8">
        <v>76.5</v>
      </c>
      <c r="J267" s="8">
        <v>6327734</v>
      </c>
    </row>
    <row r="268" spans="1:22">
      <c r="A268" s="8">
        <f>INDEX(Albums!$A:$A, MATCH(C268,Albums!$C:$C,0))</f>
        <v>25</v>
      </c>
      <c r="B268">
        <f>INDEX(Albums!$B:$B, MATCH(C268,Albums!$C:$C,0))</f>
        <v>2017</v>
      </c>
      <c r="C268" s="8" t="s">
        <v>621</v>
      </c>
      <c r="D268" s="8">
        <v>1</v>
      </c>
      <c r="E268" t="s">
        <v>3</v>
      </c>
      <c r="F268" t="s">
        <v>225</v>
      </c>
      <c r="G268" t="s">
        <v>225</v>
      </c>
      <c r="H268" t="s">
        <v>0</v>
      </c>
      <c r="I268">
        <v>100</v>
      </c>
      <c r="J268" s="8">
        <v>27721</v>
      </c>
    </row>
    <row r="269" spans="1:22">
      <c r="A269" s="8">
        <f>INDEX(Albums!$A:$A, MATCH(C269,Albums!$C:$C,0))</f>
        <v>25</v>
      </c>
      <c r="B269">
        <f>INDEX(Albums!$B:$B, MATCH(C269,Albums!$C:$C,0))</f>
        <v>2017</v>
      </c>
      <c r="C269" s="8" t="s">
        <v>621</v>
      </c>
      <c r="D269" s="8">
        <v>2</v>
      </c>
      <c r="E269" t="s">
        <v>1</v>
      </c>
      <c r="F269" t="s">
        <v>225</v>
      </c>
      <c r="G269" t="s">
        <v>225</v>
      </c>
      <c r="H269" t="s">
        <v>0</v>
      </c>
      <c r="I269">
        <v>82</v>
      </c>
      <c r="J269" s="8">
        <v>31054</v>
      </c>
    </row>
    <row r="270" spans="1:22">
      <c r="A270" s="8">
        <f>INDEX(Albums!$A:$A, MATCH(C270,Albums!$C:$C,0))</f>
        <v>25</v>
      </c>
      <c r="B270">
        <f>INDEX(Albums!$B:$B, MATCH(C270,Albums!$C:$C,0))</f>
        <v>2017</v>
      </c>
      <c r="C270" s="8" t="s">
        <v>621</v>
      </c>
      <c r="D270" s="8">
        <v>3</v>
      </c>
      <c r="E270" t="s">
        <v>5</v>
      </c>
      <c r="F270" t="s">
        <v>225</v>
      </c>
      <c r="G270" t="s">
        <v>225</v>
      </c>
      <c r="H270" t="s">
        <v>4</v>
      </c>
      <c r="I270">
        <v>60</v>
      </c>
      <c r="J270" s="8">
        <v>29080</v>
      </c>
    </row>
    <row r="271" spans="1:22">
      <c r="A271" s="8">
        <f>INDEX(Albums!$A:$A, MATCH(C271,Albums!$C:$C,0))</f>
        <v>25</v>
      </c>
      <c r="B271">
        <f>INDEX(Albums!$B:$B, MATCH(C271,Albums!$C:$C,0))</f>
        <v>2017</v>
      </c>
      <c r="C271" s="8" t="s">
        <v>621</v>
      </c>
      <c r="D271" s="8">
        <v>4</v>
      </c>
      <c r="E271" t="s">
        <v>565</v>
      </c>
      <c r="F271" t="s">
        <v>235</v>
      </c>
      <c r="G271" t="s">
        <v>256</v>
      </c>
      <c r="H271" t="s">
        <v>2</v>
      </c>
      <c r="I271">
        <v>102</v>
      </c>
      <c r="J271" s="8">
        <v>32015</v>
      </c>
    </row>
    <row r="272" spans="1:22">
      <c r="A272" s="8">
        <f>INDEX(Albums!$A:$A, MATCH(C272,Albums!$C:$C,0))</f>
        <v>25</v>
      </c>
      <c r="B272">
        <f>INDEX(Albums!$B:$B, MATCH(C272,Albums!$C:$C,0))</f>
        <v>2017</v>
      </c>
      <c r="C272" s="8" t="s">
        <v>621</v>
      </c>
      <c r="D272" s="8">
        <v>5</v>
      </c>
      <c r="E272" t="s">
        <v>8</v>
      </c>
      <c r="F272" t="s">
        <v>225</v>
      </c>
      <c r="G272" t="s">
        <v>225</v>
      </c>
      <c r="H272" t="s">
        <v>2</v>
      </c>
      <c r="I272">
        <v>110</v>
      </c>
      <c r="J272" s="8">
        <v>24016</v>
      </c>
    </row>
    <row r="273" spans="1:10">
      <c r="A273" s="8">
        <f>INDEX(Albums!$A:$A, MATCH(C273,Albums!$C:$C,0))</f>
        <v>25</v>
      </c>
      <c r="B273">
        <f>INDEX(Albums!$B:$B, MATCH(C273,Albums!$C:$C,0))</f>
        <v>2017</v>
      </c>
      <c r="C273" s="8" t="s">
        <v>621</v>
      </c>
      <c r="D273" s="8">
        <v>6</v>
      </c>
      <c r="E273" t="s">
        <v>6</v>
      </c>
      <c r="F273" t="s">
        <v>225</v>
      </c>
      <c r="G273" t="s">
        <v>225</v>
      </c>
      <c r="H273" t="s">
        <v>2</v>
      </c>
      <c r="I273">
        <v>86</v>
      </c>
      <c r="J273" s="8">
        <v>27862</v>
      </c>
    </row>
    <row r="274" spans="1:10">
      <c r="A274" s="8">
        <f>INDEX(Albums!$A:$A, MATCH(C274,Albums!$C:$C,0))</f>
        <v>25</v>
      </c>
      <c r="B274">
        <f>INDEX(Albums!$B:$B, MATCH(C274,Albums!$C:$C,0))</f>
        <v>2017</v>
      </c>
      <c r="C274" s="8" t="s">
        <v>621</v>
      </c>
      <c r="D274" s="8">
        <v>7</v>
      </c>
      <c r="E274" t="s">
        <v>566</v>
      </c>
      <c r="F274" t="s">
        <v>235</v>
      </c>
      <c r="G274" t="s">
        <v>256</v>
      </c>
      <c r="H274" t="s">
        <v>2</v>
      </c>
      <c r="I274">
        <v>79</v>
      </c>
      <c r="J274" s="8">
        <v>31047</v>
      </c>
    </row>
    <row r="275" spans="1:10">
      <c r="A275" s="8">
        <f>INDEX(Albums!$A:$A, MATCH(C275,Albums!$C:$C,0))</f>
        <v>25</v>
      </c>
      <c r="B275">
        <f>INDEX(Albums!$B:$B, MATCH(C275,Albums!$C:$C,0))</f>
        <v>2017</v>
      </c>
      <c r="C275" s="8" t="s">
        <v>621</v>
      </c>
      <c r="D275" s="8">
        <v>8</v>
      </c>
      <c r="E275" t="s">
        <v>567</v>
      </c>
      <c r="F275" t="s">
        <v>235</v>
      </c>
      <c r="G275" t="s">
        <v>256</v>
      </c>
      <c r="H275" t="s">
        <v>0</v>
      </c>
      <c r="I275">
        <v>63</v>
      </c>
      <c r="J275" s="8">
        <v>31982</v>
      </c>
    </row>
    <row r="276" spans="1:10">
      <c r="A276" s="8">
        <f>INDEX(Albums!$A:$A, MATCH(C276,Albums!$C:$C,0))</f>
        <v>25</v>
      </c>
      <c r="B276">
        <f>INDEX(Albums!$B:$B, MATCH(C276,Albums!$C:$C,0))</f>
        <v>2017</v>
      </c>
      <c r="C276" s="8" t="s">
        <v>621</v>
      </c>
      <c r="D276" s="8">
        <v>9</v>
      </c>
      <c r="E276" t="s">
        <v>568</v>
      </c>
      <c r="F276" t="s">
        <v>235</v>
      </c>
      <c r="G276" t="s">
        <v>256</v>
      </c>
      <c r="H276" t="s">
        <v>7</v>
      </c>
      <c r="I276">
        <v>106</v>
      </c>
    </row>
    <row r="277" spans="1:10">
      <c r="A277" s="8">
        <f>INDEX(Albums!$A:$A, MATCH(C277,Albums!$C:$C,0))</f>
        <v>25</v>
      </c>
      <c r="B277">
        <f>INDEX(Albums!$B:$B, MATCH(C277,Albums!$C:$C,0))</f>
        <v>2017</v>
      </c>
      <c r="C277" s="8" t="s">
        <v>621</v>
      </c>
      <c r="D277" s="8">
        <v>10</v>
      </c>
      <c r="E277" t="s">
        <v>569</v>
      </c>
      <c r="F277" t="s">
        <v>225</v>
      </c>
      <c r="G277" t="s">
        <v>570</v>
      </c>
      <c r="H277" t="s">
        <v>7</v>
      </c>
      <c r="I277">
        <v>73</v>
      </c>
    </row>
    <row r="278" spans="1:10">
      <c r="A278" s="8">
        <f>INDEX(Albums!$A:$A, MATCH(C278,Albums!$C:$C,0))</f>
        <v>26</v>
      </c>
      <c r="B278">
        <f>INDEX(Albums!$B:$B, MATCH(C278,Albums!$C:$C,0))</f>
        <v>2017</v>
      </c>
      <c r="C278" t="s">
        <v>190</v>
      </c>
      <c r="D278" s="8">
        <v>1</v>
      </c>
      <c r="E278" t="s">
        <v>11</v>
      </c>
      <c r="F278" t="s">
        <v>225</v>
      </c>
      <c r="G278" t="s">
        <v>225</v>
      </c>
      <c r="H278" t="s">
        <v>2</v>
      </c>
      <c r="I278">
        <v>68</v>
      </c>
      <c r="J278" s="8">
        <v>31999</v>
      </c>
    </row>
    <row r="279" spans="1:10">
      <c r="A279" s="8">
        <f>INDEX(Albums!$A:$A, MATCH(C279,Albums!$C:$C,0))</f>
        <v>26</v>
      </c>
      <c r="B279">
        <f>INDEX(Albums!$B:$B, MATCH(C279,Albums!$C:$C,0))</f>
        <v>2017</v>
      </c>
      <c r="C279" t="s">
        <v>190</v>
      </c>
      <c r="D279" s="8">
        <v>2</v>
      </c>
      <c r="E279" t="s">
        <v>571</v>
      </c>
      <c r="F279" t="s">
        <v>557</v>
      </c>
      <c r="G279" t="s">
        <v>228</v>
      </c>
      <c r="H279" t="s">
        <v>2</v>
      </c>
      <c r="I279">
        <v>145</v>
      </c>
      <c r="J279" s="8">
        <v>7036006</v>
      </c>
    </row>
    <row r="280" spans="1:10">
      <c r="A280" s="8">
        <f>INDEX(Albums!$A:$A, MATCH(C280,Albums!$C:$C,0))</f>
        <v>26</v>
      </c>
      <c r="B280">
        <f>INDEX(Albums!$B:$B, MATCH(C280,Albums!$C:$C,0))</f>
        <v>2017</v>
      </c>
      <c r="C280" t="s">
        <v>190</v>
      </c>
      <c r="D280" s="8">
        <v>3</v>
      </c>
      <c r="E280" t="s">
        <v>14</v>
      </c>
      <c r="F280" t="s">
        <v>225</v>
      </c>
      <c r="G280" t="s">
        <v>225</v>
      </c>
      <c r="H280" t="s">
        <v>12</v>
      </c>
      <c r="I280">
        <v>78</v>
      </c>
      <c r="J280" s="8">
        <v>27738</v>
      </c>
    </row>
    <row r="281" spans="1:10">
      <c r="A281" s="8">
        <f>INDEX(Albums!$A:$A, MATCH(C281,Albums!$C:$C,0))</f>
        <v>26</v>
      </c>
      <c r="B281">
        <f>INDEX(Albums!$B:$B, MATCH(C281,Albums!$C:$C,0))</f>
        <v>2017</v>
      </c>
      <c r="C281" t="s">
        <v>190</v>
      </c>
      <c r="D281" s="8">
        <v>4</v>
      </c>
      <c r="E281" t="s">
        <v>13</v>
      </c>
      <c r="F281" t="s">
        <v>225</v>
      </c>
      <c r="G281" t="s">
        <v>225</v>
      </c>
      <c r="H281" t="s">
        <v>12</v>
      </c>
      <c r="I281">
        <v>65</v>
      </c>
      <c r="J281" s="8">
        <v>27879</v>
      </c>
    </row>
    <row r="282" spans="1:10">
      <c r="A282" s="8">
        <f>INDEX(Albums!$A:$A, MATCH(C282,Albums!$C:$C,0))</f>
        <v>26</v>
      </c>
      <c r="B282">
        <f>INDEX(Albums!$B:$B, MATCH(C282,Albums!$C:$C,0))</f>
        <v>2017</v>
      </c>
      <c r="C282" t="s">
        <v>190</v>
      </c>
      <c r="D282" s="8">
        <v>5</v>
      </c>
      <c r="E282" t="s">
        <v>572</v>
      </c>
      <c r="F282" t="s">
        <v>225</v>
      </c>
      <c r="G282" t="s">
        <v>573</v>
      </c>
      <c r="H282" t="s">
        <v>2</v>
      </c>
      <c r="I282">
        <v>57</v>
      </c>
    </row>
    <row r="283" spans="1:10">
      <c r="A283" s="8">
        <f>INDEX(Albums!$A:$A, MATCH(C283,Albums!$C:$C,0))</f>
        <v>26</v>
      </c>
      <c r="B283">
        <f>INDEX(Albums!$B:$B, MATCH(C283,Albums!$C:$C,0))</f>
        <v>2017</v>
      </c>
      <c r="C283" t="s">
        <v>190</v>
      </c>
      <c r="D283" s="8">
        <v>6</v>
      </c>
      <c r="E283" t="s">
        <v>16</v>
      </c>
      <c r="F283" t="s">
        <v>225</v>
      </c>
      <c r="G283" t="s">
        <v>225</v>
      </c>
      <c r="H283" t="s">
        <v>15</v>
      </c>
      <c r="I283">
        <v>70</v>
      </c>
    </row>
    <row r="284" spans="1:10">
      <c r="A284" s="8">
        <f>INDEX(Albums!$A:$A, MATCH(C284,Albums!$C:$C,0))</f>
        <v>26</v>
      </c>
      <c r="B284">
        <f>INDEX(Albums!$B:$B, MATCH(C284,Albums!$C:$C,0))</f>
        <v>2017</v>
      </c>
      <c r="C284" t="s">
        <v>190</v>
      </c>
      <c r="D284" s="8">
        <v>7</v>
      </c>
      <c r="E284" t="s">
        <v>10</v>
      </c>
      <c r="F284" t="s">
        <v>225</v>
      </c>
      <c r="G284" t="s">
        <v>225</v>
      </c>
      <c r="H284" t="s">
        <v>9</v>
      </c>
      <c r="I284">
        <v>110</v>
      </c>
      <c r="J284" s="8">
        <v>30983</v>
      </c>
    </row>
    <row r="285" spans="1:10">
      <c r="A285" s="8">
        <f>INDEX(Albums!$A:$A, MATCH(C285,Albums!$C:$C,0))</f>
        <v>26</v>
      </c>
      <c r="B285">
        <f>INDEX(Albums!$B:$B, MATCH(C285,Albums!$C:$C,0))</f>
        <v>2017</v>
      </c>
      <c r="C285" t="s">
        <v>190</v>
      </c>
      <c r="D285" s="8">
        <v>8</v>
      </c>
      <c r="E285" t="s">
        <v>17</v>
      </c>
      <c r="F285" t="s">
        <v>225</v>
      </c>
      <c r="G285" t="s">
        <v>225</v>
      </c>
      <c r="H285" t="s">
        <v>9</v>
      </c>
      <c r="I285">
        <v>73</v>
      </c>
      <c r="J285" s="8">
        <v>38583</v>
      </c>
    </row>
    <row r="286" spans="1:10">
      <c r="A286" s="8">
        <f>INDEX(Albums!$A:$A, MATCH(C286,Albums!$C:$C,0))</f>
        <v>26</v>
      </c>
      <c r="B286">
        <f>INDEX(Albums!$B:$B, MATCH(C286,Albums!$C:$C,0))</f>
        <v>2017</v>
      </c>
      <c r="C286" t="s">
        <v>190</v>
      </c>
      <c r="D286" s="8">
        <v>9</v>
      </c>
      <c r="E286" t="s">
        <v>574</v>
      </c>
      <c r="F286" t="s">
        <v>225</v>
      </c>
      <c r="G286" t="s">
        <v>456</v>
      </c>
      <c r="H286" t="s">
        <v>20</v>
      </c>
      <c r="I286">
        <v>71</v>
      </c>
    </row>
    <row r="287" spans="1:10">
      <c r="A287" s="8">
        <f>INDEX(Albums!$A:$A, MATCH(C287,Albums!$C:$C,0))</f>
        <v>26</v>
      </c>
      <c r="B287">
        <f>INDEX(Albums!$B:$B, MATCH(C287,Albums!$C:$C,0))</f>
        <v>2017</v>
      </c>
      <c r="C287" t="s">
        <v>190</v>
      </c>
      <c r="D287" s="8">
        <v>10</v>
      </c>
      <c r="E287" t="s">
        <v>19</v>
      </c>
      <c r="F287" t="s">
        <v>225</v>
      </c>
      <c r="G287" t="s">
        <v>225</v>
      </c>
      <c r="H287" t="s">
        <v>18</v>
      </c>
      <c r="I287">
        <v>67</v>
      </c>
      <c r="J287" s="8">
        <v>31078</v>
      </c>
    </row>
    <row r="288" spans="1:10">
      <c r="A288" s="8">
        <f>INDEX(Albums!$A:$A, MATCH(C288,Albums!$C:$C,0))</f>
        <v>27</v>
      </c>
      <c r="B288">
        <f>INDEX(Albums!$B:$B, MATCH(C288,Albums!$C:$C,0))</f>
        <v>2017</v>
      </c>
      <c r="C288" t="s">
        <v>35</v>
      </c>
      <c r="D288">
        <v>1</v>
      </c>
      <c r="E288" t="s">
        <v>389</v>
      </c>
      <c r="F288" t="s">
        <v>225</v>
      </c>
      <c r="G288" t="s">
        <v>256</v>
      </c>
      <c r="H288" s="8" t="s">
        <v>15</v>
      </c>
      <c r="I288" s="8">
        <v>59.5</v>
      </c>
      <c r="J288" s="8">
        <v>7083703</v>
      </c>
    </row>
    <row r="289" spans="1:22">
      <c r="A289" s="8">
        <f>INDEX(Albums!$A:$A, MATCH(C289,Albums!$C:$C,0))</f>
        <v>27</v>
      </c>
      <c r="B289">
        <f>INDEX(Albums!$B:$B, MATCH(C289,Albums!$C:$C,0))</f>
        <v>2017</v>
      </c>
      <c r="C289" t="s">
        <v>35</v>
      </c>
      <c r="D289">
        <v>2</v>
      </c>
      <c r="E289" t="s">
        <v>390</v>
      </c>
      <c r="F289" t="s">
        <v>225</v>
      </c>
      <c r="G289" t="s">
        <v>391</v>
      </c>
      <c r="H289" s="8" t="s">
        <v>15</v>
      </c>
      <c r="I289" s="8">
        <v>58</v>
      </c>
      <c r="J289" s="8">
        <v>7030068</v>
      </c>
    </row>
    <row r="290" spans="1:22">
      <c r="A290" s="8">
        <f>INDEX(Albums!$A:$A, MATCH(C290,Albums!$C:$C,0))</f>
        <v>27</v>
      </c>
      <c r="B290">
        <f>INDEX(Albums!$B:$B, MATCH(C290,Albums!$C:$C,0))</f>
        <v>2017</v>
      </c>
      <c r="C290" t="s">
        <v>35</v>
      </c>
      <c r="D290">
        <v>3</v>
      </c>
      <c r="E290" t="s">
        <v>392</v>
      </c>
      <c r="F290" t="s">
        <v>225</v>
      </c>
      <c r="G290" t="s">
        <v>393</v>
      </c>
      <c r="H290" s="8" t="s">
        <v>15</v>
      </c>
      <c r="I290" s="8">
        <v>90</v>
      </c>
      <c r="J290" s="8">
        <v>7038281</v>
      </c>
      <c r="M290" t="s">
        <v>164</v>
      </c>
      <c r="N290" t="s">
        <v>87</v>
      </c>
      <c r="O290" s="2" t="s">
        <v>4</v>
      </c>
      <c r="P290" s="2" t="s">
        <v>4</v>
      </c>
      <c r="Q290" s="3">
        <v>90</v>
      </c>
      <c r="R290" s="4" t="s">
        <v>52</v>
      </c>
      <c r="S290" s="5">
        <v>7038281</v>
      </c>
      <c r="T290" s="3">
        <v>2015</v>
      </c>
      <c r="U290" s="7" t="s">
        <v>88</v>
      </c>
      <c r="V290" s="1" t="str">
        <f>IF(J290=S290,"Yes","")</f>
        <v>Yes</v>
      </c>
    </row>
    <row r="291" spans="1:22">
      <c r="A291" s="8">
        <f>INDEX(Albums!$A:$A, MATCH(C291,Albums!$C:$C,0))</f>
        <v>27</v>
      </c>
      <c r="B291">
        <f>INDEX(Albums!$B:$B, MATCH(C291,Albums!$C:$C,0))</f>
        <v>2017</v>
      </c>
      <c r="C291" t="s">
        <v>35</v>
      </c>
      <c r="D291">
        <v>4</v>
      </c>
      <c r="E291" t="s">
        <v>394</v>
      </c>
      <c r="F291" t="s">
        <v>225</v>
      </c>
      <c r="G291" t="s">
        <v>395</v>
      </c>
      <c r="H291" s="8" t="s">
        <v>20</v>
      </c>
      <c r="I291" s="8">
        <v>132</v>
      </c>
      <c r="J291" s="8">
        <v>6605212</v>
      </c>
    </row>
    <row r="292" spans="1:22">
      <c r="A292" s="8">
        <f>INDEX(Albums!$A:$A, MATCH(C292,Albums!$C:$C,0))</f>
        <v>27</v>
      </c>
      <c r="B292">
        <f>INDEX(Albums!$B:$B, MATCH(C292,Albums!$C:$C,0))</f>
        <v>2017</v>
      </c>
      <c r="C292" t="s">
        <v>35</v>
      </c>
      <c r="D292">
        <v>5</v>
      </c>
      <c r="E292" t="s">
        <v>396</v>
      </c>
      <c r="F292" t="s">
        <v>379</v>
      </c>
      <c r="G292" t="s">
        <v>397</v>
      </c>
      <c r="H292" s="8" t="s">
        <v>20</v>
      </c>
      <c r="I292" s="8">
        <v>69</v>
      </c>
      <c r="J292" s="8">
        <v>7030065</v>
      </c>
    </row>
    <row r="293" spans="1:22">
      <c r="A293" s="8">
        <f>INDEX(Albums!$A:$A, MATCH(C293,Albums!$C:$C,0))</f>
        <v>27</v>
      </c>
      <c r="B293">
        <f>INDEX(Albums!$B:$B, MATCH(C293,Albums!$C:$C,0))</f>
        <v>2017</v>
      </c>
      <c r="C293" t="s">
        <v>35</v>
      </c>
      <c r="D293">
        <v>6</v>
      </c>
      <c r="E293" t="s">
        <v>396</v>
      </c>
      <c r="F293" t="s">
        <v>398</v>
      </c>
      <c r="G293" t="s">
        <v>397</v>
      </c>
      <c r="H293" s="8" t="s">
        <v>15</v>
      </c>
      <c r="I293" s="8">
        <v>69</v>
      </c>
      <c r="J293" s="8">
        <v>7030065</v>
      </c>
    </row>
    <row r="294" spans="1:22">
      <c r="A294" s="8">
        <f>INDEX(Albums!$A:$A, MATCH(C294,Albums!$C:$C,0))</f>
        <v>27</v>
      </c>
      <c r="B294">
        <f>INDEX(Albums!$B:$B, MATCH(C294,Albums!$C:$C,0))</f>
        <v>2017</v>
      </c>
      <c r="C294" t="s">
        <v>35</v>
      </c>
      <c r="D294">
        <v>7</v>
      </c>
      <c r="E294" t="s">
        <v>399</v>
      </c>
      <c r="F294" t="s">
        <v>225</v>
      </c>
      <c r="G294" t="s">
        <v>400</v>
      </c>
      <c r="H294" s="8" t="s">
        <v>20</v>
      </c>
      <c r="I294" s="8">
        <v>68</v>
      </c>
      <c r="J294" s="8">
        <v>7068424</v>
      </c>
      <c r="M294" t="s">
        <v>164</v>
      </c>
      <c r="N294" t="s">
        <v>89</v>
      </c>
      <c r="O294" s="2" t="s">
        <v>20</v>
      </c>
      <c r="P294" s="2" t="s">
        <v>20</v>
      </c>
      <c r="Q294" s="3">
        <v>68</v>
      </c>
      <c r="R294" s="4" t="s">
        <v>52</v>
      </c>
      <c r="S294" s="3">
        <v>7068424</v>
      </c>
      <c r="T294" s="3">
        <v>2016</v>
      </c>
      <c r="U294" s="3" t="s">
        <v>53</v>
      </c>
      <c r="V294" s="1" t="str">
        <f>IF(J294=S294,"Yes","")</f>
        <v>Yes</v>
      </c>
    </row>
    <row r="295" spans="1:22">
      <c r="A295" s="8">
        <f>INDEX(Albums!$A:$A, MATCH(C295,Albums!$C:$C,0))</f>
        <v>27</v>
      </c>
      <c r="B295">
        <f>INDEX(Albums!$B:$B, MATCH(C295,Albums!$C:$C,0))</f>
        <v>2017</v>
      </c>
      <c r="C295" t="s">
        <v>35</v>
      </c>
      <c r="D295">
        <v>8</v>
      </c>
      <c r="E295" t="s">
        <v>401</v>
      </c>
      <c r="F295" t="s">
        <v>225</v>
      </c>
      <c r="G295" t="s">
        <v>256</v>
      </c>
      <c r="H295" s="8" t="s">
        <v>20</v>
      </c>
      <c r="I295" s="8">
        <v>67</v>
      </c>
      <c r="J295" s="8">
        <v>7083710</v>
      </c>
    </row>
    <row r="296" spans="1:22">
      <c r="A296" s="8">
        <f>INDEX(Albums!$A:$A, MATCH(C296,Albums!$C:$C,0))</f>
        <v>27</v>
      </c>
      <c r="B296">
        <f>INDEX(Albums!$B:$B, MATCH(C296,Albums!$C:$C,0))</f>
        <v>2017</v>
      </c>
      <c r="C296" t="s">
        <v>35</v>
      </c>
      <c r="D296">
        <v>9</v>
      </c>
      <c r="E296" t="s">
        <v>402</v>
      </c>
      <c r="F296" t="s">
        <v>225</v>
      </c>
      <c r="G296" t="s">
        <v>279</v>
      </c>
      <c r="H296" s="8" t="s">
        <v>4</v>
      </c>
      <c r="I296" s="8">
        <v>68</v>
      </c>
      <c r="J296" s="8">
        <v>7017790</v>
      </c>
    </row>
    <row r="297" spans="1:22">
      <c r="A297" s="8">
        <f>INDEX(Albums!$A:$A, MATCH(C297,Albums!$C:$C,0))</f>
        <v>27</v>
      </c>
      <c r="B297">
        <f>INDEX(Albums!$B:$B, MATCH(C297,Albums!$C:$C,0))</f>
        <v>2017</v>
      </c>
      <c r="C297" t="s">
        <v>35</v>
      </c>
      <c r="D297">
        <v>10</v>
      </c>
      <c r="E297" t="s">
        <v>403</v>
      </c>
      <c r="F297" t="s">
        <v>225</v>
      </c>
      <c r="G297" t="s">
        <v>232</v>
      </c>
      <c r="H297" s="8" t="s">
        <v>4</v>
      </c>
      <c r="I297" s="8">
        <v>72</v>
      </c>
      <c r="J297" s="8">
        <v>6518055</v>
      </c>
      <c r="M297" t="s">
        <v>164</v>
      </c>
      <c r="N297" t="s">
        <v>90</v>
      </c>
      <c r="O297" s="2" t="s">
        <v>2</v>
      </c>
      <c r="P297" s="2" t="s">
        <v>2</v>
      </c>
      <c r="Q297" s="3">
        <v>72</v>
      </c>
      <c r="R297" s="4" t="s">
        <v>52</v>
      </c>
      <c r="S297" s="5">
        <v>6518055</v>
      </c>
      <c r="T297" s="3">
        <v>2013</v>
      </c>
      <c r="U297" s="7" t="s">
        <v>61</v>
      </c>
      <c r="V297" s="1" t="str">
        <f>IF(J297=S297,"Yes","")</f>
        <v>Yes</v>
      </c>
    </row>
    <row r="298" spans="1:22">
      <c r="A298" s="8">
        <f>INDEX(Albums!$A:$A, MATCH(C298,Albums!$C:$C,0))</f>
        <v>27</v>
      </c>
      <c r="B298">
        <f>INDEX(Albums!$B:$B, MATCH(C298,Albums!$C:$C,0))</f>
        <v>2017</v>
      </c>
      <c r="C298" t="s">
        <v>35</v>
      </c>
      <c r="D298">
        <v>11</v>
      </c>
      <c r="E298" t="s">
        <v>404</v>
      </c>
      <c r="F298" t="s">
        <v>225</v>
      </c>
      <c r="G298" t="s">
        <v>232</v>
      </c>
      <c r="H298" s="8" t="s">
        <v>0</v>
      </c>
      <c r="I298" s="8">
        <v>81</v>
      </c>
      <c r="J298" s="8">
        <v>7036288</v>
      </c>
      <c r="M298" t="s">
        <v>164</v>
      </c>
      <c r="N298" t="s">
        <v>91</v>
      </c>
      <c r="O298" s="2" t="s">
        <v>0</v>
      </c>
      <c r="P298" s="2" t="s">
        <v>0</v>
      </c>
      <c r="Q298" s="3">
        <v>163</v>
      </c>
      <c r="R298" s="4" t="s">
        <v>78</v>
      </c>
      <c r="S298" s="5">
        <v>7036288</v>
      </c>
      <c r="T298" s="3">
        <v>2015</v>
      </c>
      <c r="U298" s="7" t="s">
        <v>92</v>
      </c>
      <c r="V298" s="1" t="str">
        <f>IF(J298=S298,"Yes","")</f>
        <v>Yes</v>
      </c>
    </row>
    <row r="299" spans="1:22">
      <c r="A299" s="8">
        <f>INDEX(Albums!$A:$A, MATCH(C299,Albums!$C:$C,0))</f>
        <v>27</v>
      </c>
      <c r="B299">
        <f>INDEX(Albums!$B:$B, MATCH(C299,Albums!$C:$C,0))</f>
        <v>2017</v>
      </c>
      <c r="C299" t="s">
        <v>35</v>
      </c>
      <c r="D299">
        <v>12</v>
      </c>
      <c r="E299" t="s">
        <v>405</v>
      </c>
      <c r="F299" t="s">
        <v>225</v>
      </c>
      <c r="G299" t="s">
        <v>93</v>
      </c>
      <c r="H299" s="8" t="s">
        <v>2</v>
      </c>
      <c r="I299" s="8">
        <v>80</v>
      </c>
      <c r="J299" s="8">
        <v>5881491</v>
      </c>
      <c r="M299" t="s">
        <v>164</v>
      </c>
      <c r="N299" t="s">
        <v>93</v>
      </c>
      <c r="O299" s="2" t="s">
        <v>20</v>
      </c>
      <c r="P299" s="2" t="s">
        <v>20</v>
      </c>
      <c r="Q299" s="3">
        <v>80</v>
      </c>
      <c r="R299" s="4" t="s">
        <v>52</v>
      </c>
      <c r="S299" s="5">
        <v>5881491</v>
      </c>
      <c r="T299" s="3">
        <v>2011</v>
      </c>
      <c r="U299" s="7" t="s">
        <v>94</v>
      </c>
      <c r="V299" s="1" t="str">
        <f>IF(J299=S299,"Yes","")</f>
        <v>Yes</v>
      </c>
    </row>
    <row r="300" spans="1:22">
      <c r="A300" s="8">
        <f>INDEX(Albums!$A:$A, MATCH(C300,Albums!$C:$C,0))</f>
        <v>27</v>
      </c>
      <c r="B300">
        <f>INDEX(Albums!$B:$B, MATCH(C300,Albums!$C:$C,0))</f>
        <v>2017</v>
      </c>
      <c r="C300" t="s">
        <v>35</v>
      </c>
      <c r="D300">
        <v>13</v>
      </c>
      <c r="E300" t="s">
        <v>406</v>
      </c>
      <c r="F300" t="s">
        <v>225</v>
      </c>
      <c r="G300" t="s">
        <v>226</v>
      </c>
      <c r="H300" s="8" t="s">
        <v>2</v>
      </c>
      <c r="I300" s="8">
        <v>72</v>
      </c>
      <c r="J300" s="8">
        <v>7037787</v>
      </c>
      <c r="M300" t="s">
        <v>164</v>
      </c>
      <c r="N300" t="s">
        <v>95</v>
      </c>
      <c r="O300" s="2" t="s">
        <v>2</v>
      </c>
      <c r="P300" s="2" t="s">
        <v>2</v>
      </c>
      <c r="Q300" s="3">
        <v>72</v>
      </c>
      <c r="R300" s="4" t="s">
        <v>52</v>
      </c>
      <c r="S300" s="5">
        <v>7037787</v>
      </c>
      <c r="T300" s="3">
        <v>2015</v>
      </c>
      <c r="U300" s="3" t="s">
        <v>53</v>
      </c>
      <c r="V300" s="1" t="str">
        <f>IF(J300=S300,"Yes","")</f>
        <v>Yes</v>
      </c>
    </row>
    <row r="301" spans="1:22">
      <c r="A301" s="8">
        <f>INDEX(Albums!$A:$A, MATCH(C301,Albums!$C:$C,0))</f>
        <v>28</v>
      </c>
      <c r="B301">
        <f>INDEX(Albums!$B:$B, MATCH(C301,Albums!$C:$C,0))</f>
        <v>2017</v>
      </c>
      <c r="C301" t="s">
        <v>36</v>
      </c>
      <c r="D301">
        <v>1</v>
      </c>
      <c r="E301" t="s">
        <v>407</v>
      </c>
      <c r="F301" t="s">
        <v>225</v>
      </c>
      <c r="G301" t="s">
        <v>408</v>
      </c>
      <c r="H301" s="8" t="s">
        <v>20</v>
      </c>
      <c r="I301" s="8">
        <v>76</v>
      </c>
      <c r="J301" s="8">
        <v>7023294</v>
      </c>
    </row>
    <row r="302" spans="1:22">
      <c r="A302" s="8">
        <f>INDEX(Albums!$A:$A, MATCH(C302,Albums!$C:$C,0))</f>
        <v>28</v>
      </c>
      <c r="B302">
        <f>INDEX(Albums!$B:$B, MATCH(C302,Albums!$C:$C,0))</f>
        <v>2017</v>
      </c>
      <c r="C302" t="s">
        <v>36</v>
      </c>
      <c r="D302">
        <v>2</v>
      </c>
      <c r="E302" t="s">
        <v>409</v>
      </c>
      <c r="F302" t="s">
        <v>225</v>
      </c>
      <c r="G302" t="s">
        <v>226</v>
      </c>
      <c r="H302" s="8" t="s">
        <v>20</v>
      </c>
      <c r="I302" s="8">
        <v>94</v>
      </c>
      <c r="J302" s="8">
        <v>7068428</v>
      </c>
    </row>
    <row r="303" spans="1:22">
      <c r="A303" s="8">
        <f>INDEX(Albums!$A:$A, MATCH(C303,Albums!$C:$C,0))</f>
        <v>28</v>
      </c>
      <c r="B303">
        <f>INDEX(Albums!$B:$B, MATCH(C303,Albums!$C:$C,0))</f>
        <v>2017</v>
      </c>
      <c r="C303" t="s">
        <v>36</v>
      </c>
      <c r="D303">
        <v>3</v>
      </c>
      <c r="E303" t="s">
        <v>410</v>
      </c>
      <c r="F303" t="s">
        <v>225</v>
      </c>
      <c r="G303" t="s">
        <v>232</v>
      </c>
      <c r="H303" s="8" t="s">
        <v>20</v>
      </c>
      <c r="I303" s="8">
        <v>110</v>
      </c>
      <c r="J303" s="8">
        <v>7081388</v>
      </c>
      <c r="M303" t="s">
        <v>164</v>
      </c>
      <c r="N303" t="s">
        <v>96</v>
      </c>
      <c r="O303" s="2" t="s">
        <v>20</v>
      </c>
      <c r="P303" s="2" t="s">
        <v>20</v>
      </c>
      <c r="Q303" s="3">
        <v>110</v>
      </c>
      <c r="R303" s="4" t="s">
        <v>52</v>
      </c>
      <c r="S303" s="5">
        <v>7081388</v>
      </c>
      <c r="T303" s="3">
        <v>2017</v>
      </c>
      <c r="U303" s="7" t="s">
        <v>97</v>
      </c>
      <c r="V303" s="1" t="str">
        <f>IF(J303=S303,"Yes","")</f>
        <v>Yes</v>
      </c>
    </row>
    <row r="304" spans="1:22">
      <c r="A304" s="8">
        <f>INDEX(Albums!$A:$A, MATCH(C304,Albums!$C:$C,0))</f>
        <v>28</v>
      </c>
      <c r="B304">
        <f>INDEX(Albums!$B:$B, MATCH(C304,Albums!$C:$C,0))</f>
        <v>2017</v>
      </c>
      <c r="C304" t="s">
        <v>36</v>
      </c>
      <c r="D304">
        <v>4</v>
      </c>
      <c r="E304" t="s">
        <v>411</v>
      </c>
      <c r="F304" t="s">
        <v>225</v>
      </c>
      <c r="G304" t="s">
        <v>412</v>
      </c>
      <c r="H304" s="8" t="s">
        <v>15</v>
      </c>
      <c r="I304" s="8">
        <v>68</v>
      </c>
      <c r="J304" s="8">
        <v>7046145</v>
      </c>
      <c r="M304" t="s">
        <v>164</v>
      </c>
      <c r="N304" t="s">
        <v>98</v>
      </c>
      <c r="O304" s="2" t="s">
        <v>15</v>
      </c>
      <c r="P304" s="2" t="s">
        <v>18</v>
      </c>
      <c r="Q304" s="3">
        <v>68</v>
      </c>
      <c r="R304" s="4" t="s">
        <v>52</v>
      </c>
      <c r="S304" s="5">
        <v>7046145</v>
      </c>
      <c r="T304" s="3">
        <v>2015</v>
      </c>
      <c r="U304" s="7" t="s">
        <v>99</v>
      </c>
      <c r="V304" s="1" t="str">
        <f>IF(J304=S304,"Yes","")</f>
        <v>Yes</v>
      </c>
    </row>
    <row r="305" spans="1:22">
      <c r="A305" s="8">
        <f>INDEX(Albums!$A:$A, MATCH(C305,Albums!$C:$C,0))</f>
        <v>28</v>
      </c>
      <c r="B305">
        <f>INDEX(Albums!$B:$B, MATCH(C305,Albums!$C:$C,0))</f>
        <v>2017</v>
      </c>
      <c r="C305" t="s">
        <v>36</v>
      </c>
      <c r="D305">
        <v>5</v>
      </c>
      <c r="E305" t="s">
        <v>413</v>
      </c>
      <c r="F305" t="s">
        <v>225</v>
      </c>
      <c r="G305" t="s">
        <v>414</v>
      </c>
      <c r="H305" s="8" t="s">
        <v>7</v>
      </c>
      <c r="I305" s="8">
        <v>68</v>
      </c>
      <c r="J305" s="8">
        <v>5858163</v>
      </c>
    </row>
    <row r="306" spans="1:22">
      <c r="A306" s="8">
        <f>INDEX(Albums!$A:$A, MATCH(C306,Albums!$C:$C,0))</f>
        <v>29</v>
      </c>
      <c r="B306">
        <f>INDEX(Albums!$B:$B, MATCH(C306,Albums!$C:$C,0))</f>
        <v>2017</v>
      </c>
      <c r="C306" t="s">
        <v>37</v>
      </c>
      <c r="D306">
        <v>1</v>
      </c>
      <c r="E306" t="s">
        <v>415</v>
      </c>
      <c r="F306" t="s">
        <v>225</v>
      </c>
      <c r="G306" t="s">
        <v>232</v>
      </c>
      <c r="H306" s="8" t="s">
        <v>2</v>
      </c>
      <c r="I306" s="8">
        <v>81</v>
      </c>
      <c r="J306" s="8">
        <v>7052927</v>
      </c>
    </row>
    <row r="307" spans="1:22">
      <c r="A307" s="8">
        <f>INDEX(Albums!$A:$A, MATCH(C307,Albums!$C:$C,0))</f>
        <v>29</v>
      </c>
      <c r="B307">
        <f>INDEX(Albums!$B:$B, MATCH(C307,Albums!$C:$C,0))</f>
        <v>2017</v>
      </c>
      <c r="C307" t="s">
        <v>37</v>
      </c>
      <c r="D307">
        <v>2</v>
      </c>
      <c r="E307" t="s">
        <v>416</v>
      </c>
      <c r="F307" t="s">
        <v>225</v>
      </c>
      <c r="G307" t="s">
        <v>417</v>
      </c>
      <c r="H307" s="8" t="s">
        <v>0</v>
      </c>
      <c r="I307" s="8">
        <v>70</v>
      </c>
      <c r="J307" s="8">
        <v>7070345</v>
      </c>
      <c r="M307" t="s">
        <v>164</v>
      </c>
      <c r="N307" t="s">
        <v>100</v>
      </c>
      <c r="O307" s="2" t="s">
        <v>0</v>
      </c>
      <c r="P307" s="2" t="s">
        <v>0</v>
      </c>
      <c r="Q307" s="3">
        <v>70</v>
      </c>
      <c r="R307" s="3" t="s">
        <v>52</v>
      </c>
      <c r="S307" s="5">
        <v>7070345</v>
      </c>
      <c r="T307" s="3">
        <v>2016</v>
      </c>
      <c r="U307" s="7" t="s">
        <v>101</v>
      </c>
      <c r="V307" s="1" t="str">
        <f>IF(J307=S307,"Yes","")</f>
        <v>Yes</v>
      </c>
    </row>
    <row r="308" spans="1:22">
      <c r="A308" s="8">
        <f>INDEX(Albums!$A:$A, MATCH(C308,Albums!$C:$C,0))</f>
        <v>29</v>
      </c>
      <c r="B308">
        <f>INDEX(Albums!$B:$B, MATCH(C308,Albums!$C:$C,0))</f>
        <v>2017</v>
      </c>
      <c r="C308" t="s">
        <v>37</v>
      </c>
      <c r="D308">
        <v>3</v>
      </c>
      <c r="E308" t="s">
        <v>418</v>
      </c>
      <c r="F308" t="s">
        <v>225</v>
      </c>
      <c r="G308" t="s">
        <v>372</v>
      </c>
      <c r="H308" s="8" t="s">
        <v>4</v>
      </c>
      <c r="I308" s="8">
        <v>71</v>
      </c>
      <c r="J308" s="8">
        <v>7032328</v>
      </c>
    </row>
    <row r="309" spans="1:22">
      <c r="A309" s="8">
        <f>INDEX(Albums!$A:$A, MATCH(C309,Albums!$C:$C,0))</f>
        <v>29</v>
      </c>
      <c r="B309">
        <f>INDEX(Albums!$B:$B, MATCH(C309,Albums!$C:$C,0))</f>
        <v>2017</v>
      </c>
      <c r="C309" t="s">
        <v>37</v>
      </c>
      <c r="D309">
        <v>4</v>
      </c>
      <c r="E309" t="s">
        <v>419</v>
      </c>
      <c r="F309" t="s">
        <v>225</v>
      </c>
      <c r="G309" t="s">
        <v>232</v>
      </c>
      <c r="H309" s="8" t="s">
        <v>4</v>
      </c>
      <c r="I309" s="8">
        <v>81</v>
      </c>
      <c r="J309" s="8">
        <v>6517898</v>
      </c>
    </row>
    <row r="310" spans="1:22">
      <c r="A310" s="8">
        <f>INDEX(Albums!$A:$A, MATCH(C310,Albums!$C:$C,0))</f>
        <v>29</v>
      </c>
      <c r="B310">
        <f>INDEX(Albums!$B:$B, MATCH(C310,Albums!$C:$C,0))</f>
        <v>2017</v>
      </c>
      <c r="C310" t="s">
        <v>37</v>
      </c>
      <c r="D310">
        <v>5</v>
      </c>
      <c r="E310" t="s">
        <v>420</v>
      </c>
      <c r="F310" t="s">
        <v>225</v>
      </c>
      <c r="G310" t="s">
        <v>421</v>
      </c>
      <c r="H310" s="8" t="s">
        <v>4</v>
      </c>
      <c r="I310" s="8">
        <v>78</v>
      </c>
      <c r="J310" s="8">
        <v>7046448</v>
      </c>
    </row>
    <row r="311" spans="1:22">
      <c r="A311" s="8">
        <f>INDEX(Albums!$A:$A, MATCH(C311,Albums!$C:$C,0))</f>
        <v>30</v>
      </c>
      <c r="B311">
        <f>INDEX(Albums!$B:$B, MATCH(C311,Albums!$C:$C,0))</f>
        <v>2018</v>
      </c>
      <c r="C311" t="s">
        <v>179</v>
      </c>
      <c r="D311">
        <v>1</v>
      </c>
      <c r="E311" t="s">
        <v>196</v>
      </c>
      <c r="F311" t="s">
        <v>225</v>
      </c>
      <c r="G311" t="s">
        <v>256</v>
      </c>
      <c r="H311" t="s">
        <v>20</v>
      </c>
      <c r="I311">
        <v>102</v>
      </c>
      <c r="J311" s="8">
        <v>22609</v>
      </c>
    </row>
    <row r="312" spans="1:22">
      <c r="A312" s="8">
        <f>INDEX(Albums!$A:$A, MATCH(C312,Albums!$C:$C,0))</f>
        <v>30</v>
      </c>
      <c r="B312">
        <f>INDEX(Albums!$B:$B, MATCH(C312,Albums!$C:$C,0))</f>
        <v>2018</v>
      </c>
      <c r="C312" t="s">
        <v>179</v>
      </c>
      <c r="D312">
        <v>2</v>
      </c>
      <c r="E312" t="s">
        <v>197</v>
      </c>
      <c r="F312" t="s">
        <v>225</v>
      </c>
      <c r="G312" t="s">
        <v>256</v>
      </c>
      <c r="H312" t="s">
        <v>20</v>
      </c>
      <c r="I312">
        <v>58</v>
      </c>
      <c r="J312" s="8">
        <v>14181</v>
      </c>
    </row>
    <row r="313" spans="1:22">
      <c r="A313" s="8">
        <f>INDEX(Albums!$A:$A, MATCH(C313,Albums!$C:$C,0))</f>
        <v>30</v>
      </c>
      <c r="B313">
        <f>INDEX(Albums!$B:$B, MATCH(C313,Albums!$C:$C,0))</f>
        <v>2018</v>
      </c>
      <c r="C313" t="s">
        <v>179</v>
      </c>
      <c r="D313">
        <v>3</v>
      </c>
      <c r="E313" t="s">
        <v>543</v>
      </c>
      <c r="F313" t="s">
        <v>225</v>
      </c>
      <c r="G313" t="s">
        <v>256</v>
      </c>
      <c r="H313" t="s">
        <v>20</v>
      </c>
      <c r="I313">
        <v>72</v>
      </c>
      <c r="J313" s="8" t="s">
        <v>48</v>
      </c>
    </row>
    <row r="314" spans="1:22">
      <c r="A314" s="8">
        <f>INDEX(Albums!$A:$A, MATCH(C314,Albums!$C:$C,0))</f>
        <v>30</v>
      </c>
      <c r="B314">
        <f>INDEX(Albums!$B:$B, MATCH(C314,Albums!$C:$C,0))</f>
        <v>2018</v>
      </c>
      <c r="C314" t="s">
        <v>179</v>
      </c>
      <c r="D314">
        <v>4</v>
      </c>
      <c r="E314" t="s">
        <v>198</v>
      </c>
      <c r="F314" t="s">
        <v>544</v>
      </c>
      <c r="G314" t="s">
        <v>256</v>
      </c>
      <c r="H314" t="s">
        <v>20</v>
      </c>
      <c r="I314">
        <v>65</v>
      </c>
      <c r="J314" s="8">
        <v>7029505</v>
      </c>
    </row>
    <row r="315" spans="1:22">
      <c r="A315" s="8">
        <f>INDEX(Albums!$A:$A, MATCH(C315,Albums!$C:$C,0))</f>
        <v>30</v>
      </c>
      <c r="B315">
        <f>INDEX(Albums!$B:$B, MATCH(C315,Albums!$C:$C,0))</f>
        <v>2018</v>
      </c>
      <c r="C315" t="s">
        <v>179</v>
      </c>
      <c r="D315">
        <v>5</v>
      </c>
      <c r="E315" t="s">
        <v>201</v>
      </c>
      <c r="F315" t="s">
        <v>225</v>
      </c>
      <c r="G315" t="s">
        <v>545</v>
      </c>
      <c r="H315" t="s">
        <v>2</v>
      </c>
      <c r="I315">
        <v>66</v>
      </c>
      <c r="J315" s="8">
        <v>7063694</v>
      </c>
    </row>
    <row r="316" spans="1:22">
      <c r="A316" s="8">
        <f>INDEX(Albums!$A:$A, MATCH(C316,Albums!$C:$C,0))</f>
        <v>30</v>
      </c>
      <c r="B316">
        <f>INDEX(Albums!$B:$B, MATCH(C316,Albums!$C:$C,0))</f>
        <v>2018</v>
      </c>
      <c r="C316" t="s">
        <v>179</v>
      </c>
      <c r="D316">
        <v>6</v>
      </c>
      <c r="E316" t="s">
        <v>202</v>
      </c>
      <c r="F316" t="s">
        <v>546</v>
      </c>
      <c r="G316" t="s">
        <v>256</v>
      </c>
      <c r="H316" t="s">
        <v>2</v>
      </c>
      <c r="I316">
        <v>73</v>
      </c>
      <c r="J316" s="8">
        <v>7118356</v>
      </c>
    </row>
    <row r="317" spans="1:22">
      <c r="A317" s="8">
        <f>INDEX(Albums!$A:$A, MATCH(C317,Albums!$C:$C,0))</f>
        <v>30</v>
      </c>
      <c r="B317">
        <f>INDEX(Albums!$B:$B, MATCH(C317,Albums!$C:$C,0))</f>
        <v>2018</v>
      </c>
      <c r="C317" t="s">
        <v>179</v>
      </c>
      <c r="D317">
        <v>7</v>
      </c>
      <c r="E317" t="s">
        <v>203</v>
      </c>
      <c r="F317" t="s">
        <v>225</v>
      </c>
      <c r="G317" t="s">
        <v>545</v>
      </c>
      <c r="H317" t="s">
        <v>2</v>
      </c>
      <c r="I317">
        <v>58</v>
      </c>
      <c r="J317" s="8">
        <v>7016161</v>
      </c>
    </row>
    <row r="318" spans="1:22">
      <c r="A318" s="8">
        <f>INDEX(Albums!$A:$A, MATCH(C318,Albums!$C:$C,0))</f>
        <v>30</v>
      </c>
      <c r="B318">
        <f>INDEX(Albums!$B:$B, MATCH(C318,Albums!$C:$C,0))</f>
        <v>2018</v>
      </c>
      <c r="C318" t="s">
        <v>179</v>
      </c>
      <c r="D318">
        <v>8</v>
      </c>
      <c r="E318" t="s">
        <v>205</v>
      </c>
      <c r="F318" t="s">
        <v>225</v>
      </c>
      <c r="G318" t="s">
        <v>545</v>
      </c>
      <c r="H318" t="s">
        <v>7</v>
      </c>
      <c r="I318">
        <v>62</v>
      </c>
      <c r="J318" s="8">
        <v>7024758</v>
      </c>
    </row>
    <row r="319" spans="1:22">
      <c r="A319" s="8">
        <f>INDEX(Albums!$A:$A, MATCH(C319,Albums!$C:$C,0))</f>
        <v>30</v>
      </c>
      <c r="B319">
        <f>INDEX(Albums!$B:$B, MATCH(C319,Albums!$C:$C,0))</f>
        <v>2018</v>
      </c>
      <c r="C319" t="s">
        <v>179</v>
      </c>
      <c r="D319">
        <v>9</v>
      </c>
      <c r="E319" t="s">
        <v>547</v>
      </c>
      <c r="F319" t="s">
        <v>225</v>
      </c>
      <c r="G319" t="s">
        <v>548</v>
      </c>
      <c r="H319" t="s">
        <v>7</v>
      </c>
      <c r="I319">
        <v>61</v>
      </c>
      <c r="J319" s="8">
        <v>3350395</v>
      </c>
    </row>
    <row r="320" spans="1:22">
      <c r="A320" s="8">
        <f>INDEX(Albums!$A:$A, MATCH(C320,Albums!$C:$C,0))</f>
        <v>30</v>
      </c>
      <c r="B320">
        <f>INDEX(Albums!$B:$B, MATCH(C320,Albums!$C:$C,0))</f>
        <v>2018</v>
      </c>
      <c r="C320" t="s">
        <v>179</v>
      </c>
      <c r="D320">
        <v>10</v>
      </c>
      <c r="E320" t="s">
        <v>549</v>
      </c>
      <c r="F320" t="s">
        <v>550</v>
      </c>
      <c r="G320" t="s">
        <v>256</v>
      </c>
      <c r="H320" t="s">
        <v>4</v>
      </c>
      <c r="I320">
        <v>63</v>
      </c>
      <c r="J320" s="8">
        <v>7125088</v>
      </c>
    </row>
    <row r="321" spans="1:22">
      <c r="A321" s="8">
        <f>INDEX(Albums!$A:$A, MATCH(C321,Albums!$C:$C,0))</f>
        <v>31</v>
      </c>
      <c r="B321">
        <f>INDEX(Albums!$B:$B, MATCH(C321,Albums!$C:$C,0))</f>
        <v>2018</v>
      </c>
      <c r="C321" t="s">
        <v>180</v>
      </c>
      <c r="D321">
        <v>1</v>
      </c>
      <c r="E321" t="s">
        <v>553</v>
      </c>
      <c r="F321" t="s">
        <v>554</v>
      </c>
      <c r="G321" t="s">
        <v>256</v>
      </c>
      <c r="H321" t="s">
        <v>21</v>
      </c>
      <c r="I321">
        <v>71</v>
      </c>
      <c r="J321" s="8">
        <v>7056332</v>
      </c>
    </row>
    <row r="322" spans="1:22">
      <c r="A322" s="8">
        <f>INDEX(Albums!$A:$A, MATCH(C322,Albums!$C:$C,0))</f>
        <v>31</v>
      </c>
      <c r="B322">
        <f>INDEX(Albums!$B:$B, MATCH(C322,Albums!$C:$C,0))</f>
        <v>2018</v>
      </c>
      <c r="C322" t="s">
        <v>180</v>
      </c>
      <c r="D322">
        <v>2</v>
      </c>
      <c r="E322" t="s">
        <v>555</v>
      </c>
      <c r="F322" t="s">
        <v>200</v>
      </c>
      <c r="G322" t="s">
        <v>225</v>
      </c>
      <c r="H322" t="s">
        <v>18</v>
      </c>
      <c r="I322">
        <v>74</v>
      </c>
      <c r="J322" s="8">
        <v>15960</v>
      </c>
    </row>
    <row r="323" spans="1:22">
      <c r="A323" s="8">
        <f>INDEX(Albums!$A:$A, MATCH(C323,Albums!$C:$C,0))</f>
        <v>31</v>
      </c>
      <c r="B323">
        <f>INDEX(Albums!$B:$B, MATCH(C323,Albums!$C:$C,0))</f>
        <v>2018</v>
      </c>
      <c r="C323" t="s">
        <v>180</v>
      </c>
      <c r="D323">
        <v>3</v>
      </c>
      <c r="E323" t="s">
        <v>24</v>
      </c>
      <c r="F323" t="s">
        <v>225</v>
      </c>
      <c r="G323" t="s">
        <v>225</v>
      </c>
      <c r="H323" t="s">
        <v>18</v>
      </c>
      <c r="I323">
        <v>68</v>
      </c>
      <c r="J323" s="8">
        <v>27817</v>
      </c>
    </row>
    <row r="324" spans="1:22">
      <c r="A324" s="8">
        <f>INDEX(Albums!$A:$A, MATCH(C324,Albums!$C:$C,0))</f>
        <v>31</v>
      </c>
      <c r="B324">
        <f>INDEX(Albums!$B:$B, MATCH(C324,Albums!$C:$C,0))</f>
        <v>2018</v>
      </c>
      <c r="C324" t="s">
        <v>180</v>
      </c>
      <c r="D324">
        <v>4</v>
      </c>
      <c r="E324" t="s">
        <v>556</v>
      </c>
      <c r="F324" t="s">
        <v>557</v>
      </c>
      <c r="G324" t="s">
        <v>225</v>
      </c>
      <c r="H324" t="s">
        <v>18</v>
      </c>
      <c r="I324">
        <v>68</v>
      </c>
      <c r="J324" s="8">
        <v>43073</v>
      </c>
    </row>
    <row r="325" spans="1:22">
      <c r="A325" s="8">
        <f>INDEX(Albums!$A:$A, MATCH(C325,Albums!$C:$C,0))</f>
        <v>31</v>
      </c>
      <c r="B325">
        <f>INDEX(Albums!$B:$B, MATCH(C325,Albums!$C:$C,0))</f>
        <v>2018</v>
      </c>
      <c r="C325" t="s">
        <v>180</v>
      </c>
      <c r="D325">
        <v>5</v>
      </c>
      <c r="E325" t="s">
        <v>558</v>
      </c>
      <c r="F325" t="s">
        <v>225</v>
      </c>
      <c r="G325" t="s">
        <v>256</v>
      </c>
      <c r="H325" t="s">
        <v>2</v>
      </c>
      <c r="I325">
        <v>71</v>
      </c>
      <c r="J325" s="8">
        <v>7128814</v>
      </c>
    </row>
    <row r="326" spans="1:22">
      <c r="A326" s="8">
        <f>INDEX(Albums!$A:$A, MATCH(C326,Albums!$C:$C,0))</f>
        <v>31</v>
      </c>
      <c r="B326">
        <f>INDEX(Albums!$B:$B, MATCH(C326,Albums!$C:$C,0))</f>
        <v>2018</v>
      </c>
      <c r="C326" t="s">
        <v>180</v>
      </c>
      <c r="D326">
        <v>6</v>
      </c>
      <c r="E326" t="s">
        <v>559</v>
      </c>
      <c r="F326" t="s">
        <v>225</v>
      </c>
      <c r="G326" t="s">
        <v>560</v>
      </c>
      <c r="H326" t="s">
        <v>12</v>
      </c>
      <c r="I326">
        <v>57</v>
      </c>
      <c r="J326" s="8">
        <v>4490766</v>
      </c>
    </row>
    <row r="327" spans="1:22">
      <c r="A327" s="8">
        <f>INDEX(Albums!$A:$A, MATCH(C327,Albums!$C:$C,0))</f>
        <v>31</v>
      </c>
      <c r="B327">
        <f>INDEX(Albums!$B:$B, MATCH(C327,Albums!$C:$C,0))</f>
        <v>2018</v>
      </c>
      <c r="C327" t="s">
        <v>180</v>
      </c>
      <c r="D327">
        <v>7</v>
      </c>
      <c r="E327" t="s">
        <v>561</v>
      </c>
      <c r="F327" t="s">
        <v>225</v>
      </c>
      <c r="G327" t="s">
        <v>562</v>
      </c>
      <c r="H327" t="s">
        <v>4</v>
      </c>
      <c r="I327">
        <v>68</v>
      </c>
      <c r="J327" s="8" t="s">
        <v>48</v>
      </c>
    </row>
    <row r="328" spans="1:22">
      <c r="A328" s="8">
        <f>INDEX(Albums!$A:$A, MATCH(C328,Albums!$C:$C,0))</f>
        <v>31</v>
      </c>
      <c r="B328">
        <f>INDEX(Albums!$B:$B, MATCH(C328,Albums!$C:$C,0))</f>
        <v>2018</v>
      </c>
      <c r="C328" t="s">
        <v>180</v>
      </c>
      <c r="D328">
        <v>8</v>
      </c>
      <c r="E328" t="s">
        <v>563</v>
      </c>
      <c r="F328" t="s">
        <v>564</v>
      </c>
      <c r="G328" t="s">
        <v>560</v>
      </c>
      <c r="H328" t="s">
        <v>22</v>
      </c>
      <c r="I328">
        <v>84</v>
      </c>
      <c r="J328" s="8">
        <v>7063743</v>
      </c>
    </row>
    <row r="329" spans="1:22">
      <c r="A329" s="8">
        <f>INDEX(Albums!$A:$A, MATCH(C329,Albums!$C:$C,0))</f>
        <v>31</v>
      </c>
      <c r="B329">
        <f>INDEX(Albums!$B:$B, MATCH(C329,Albums!$C:$C,0))</f>
        <v>2018</v>
      </c>
      <c r="C329" t="s">
        <v>180</v>
      </c>
      <c r="D329">
        <v>9</v>
      </c>
      <c r="E329" t="s">
        <v>25</v>
      </c>
      <c r="F329" t="s">
        <v>225</v>
      </c>
      <c r="G329" t="s">
        <v>225</v>
      </c>
      <c r="H329" t="s">
        <v>22</v>
      </c>
      <c r="I329">
        <v>77</v>
      </c>
      <c r="J329" s="8">
        <v>25400</v>
      </c>
    </row>
    <row r="330" spans="1:22">
      <c r="A330" s="8">
        <f>INDEX(Albums!$A:$A, MATCH(C330,Albums!$C:$C,0))</f>
        <v>31</v>
      </c>
      <c r="B330">
        <f>INDEX(Albums!$B:$B, MATCH(C330,Albums!$C:$C,0))</f>
        <v>2018</v>
      </c>
      <c r="C330" t="s">
        <v>180</v>
      </c>
      <c r="D330">
        <v>10</v>
      </c>
      <c r="E330" t="s">
        <v>23</v>
      </c>
      <c r="F330" t="s">
        <v>225</v>
      </c>
      <c r="G330" t="s">
        <v>225</v>
      </c>
      <c r="H330" t="s">
        <v>22</v>
      </c>
      <c r="I330">
        <v>77</v>
      </c>
      <c r="J330" s="8">
        <v>23938</v>
      </c>
    </row>
    <row r="331" spans="1:22">
      <c r="A331" s="8">
        <f>INDEX(Albums!$A:$A, MATCH(C331,Albums!$C:$C,0))</f>
        <v>32</v>
      </c>
      <c r="B331">
        <f>INDEX(Albums!$B:$B, MATCH(C331,Albums!$C:$C,0))</f>
        <v>2018</v>
      </c>
      <c r="C331" t="s">
        <v>38</v>
      </c>
      <c r="D331">
        <v>1</v>
      </c>
      <c r="E331" t="s">
        <v>422</v>
      </c>
      <c r="F331" t="s">
        <v>225</v>
      </c>
      <c r="G331" t="s">
        <v>423</v>
      </c>
      <c r="H331" s="8" t="s">
        <v>9</v>
      </c>
      <c r="I331" s="8">
        <v>81</v>
      </c>
      <c r="J331" s="8">
        <v>7089641</v>
      </c>
      <c r="M331" t="s">
        <v>164</v>
      </c>
      <c r="N331" t="s">
        <v>102</v>
      </c>
      <c r="O331" s="2" t="s">
        <v>12</v>
      </c>
      <c r="P331" s="2" t="s">
        <v>9</v>
      </c>
      <c r="Q331" s="3">
        <v>56</v>
      </c>
      <c r="R331" s="4" t="s">
        <v>78</v>
      </c>
      <c r="S331" s="5">
        <v>7089641</v>
      </c>
      <c r="T331" s="3">
        <v>2017</v>
      </c>
      <c r="U331" s="7" t="s">
        <v>103</v>
      </c>
      <c r="V331" s="1" t="str">
        <f>IF(J331=S331,"Yes","")</f>
        <v>Yes</v>
      </c>
    </row>
    <row r="332" spans="1:22">
      <c r="A332" s="8">
        <f>INDEX(Albums!$A:$A, MATCH(C332,Albums!$C:$C,0))</f>
        <v>32</v>
      </c>
      <c r="B332">
        <f>INDEX(Albums!$B:$B, MATCH(C332,Albums!$C:$C,0))</f>
        <v>2018</v>
      </c>
      <c r="C332" t="s">
        <v>38</v>
      </c>
      <c r="D332">
        <v>2</v>
      </c>
      <c r="E332" t="s">
        <v>424</v>
      </c>
      <c r="F332" t="s">
        <v>225</v>
      </c>
      <c r="G332" t="s">
        <v>228</v>
      </c>
      <c r="H332" s="8" t="s">
        <v>4</v>
      </c>
      <c r="I332" s="8">
        <v>101</v>
      </c>
      <c r="J332" s="8">
        <v>7054720</v>
      </c>
    </row>
    <row r="333" spans="1:22">
      <c r="A333" s="8">
        <f>INDEX(Albums!$A:$A, MATCH(C333,Albums!$C:$C,0))</f>
        <v>32</v>
      </c>
      <c r="B333">
        <f>INDEX(Albums!$B:$B, MATCH(C333,Albums!$C:$C,0))</f>
        <v>2018</v>
      </c>
      <c r="C333" t="s">
        <v>38</v>
      </c>
      <c r="D333">
        <v>3</v>
      </c>
      <c r="E333" t="s">
        <v>425</v>
      </c>
      <c r="F333" t="s">
        <v>225</v>
      </c>
      <c r="G333" t="s">
        <v>226</v>
      </c>
      <c r="H333" s="8" t="s">
        <v>4</v>
      </c>
      <c r="I333" s="8">
        <v>80</v>
      </c>
      <c r="J333" s="8">
        <v>6514035</v>
      </c>
      <c r="M333" t="s">
        <v>164</v>
      </c>
      <c r="N333" t="s">
        <v>104</v>
      </c>
      <c r="O333" s="2" t="s">
        <v>4</v>
      </c>
      <c r="P333" s="2" t="s">
        <v>4</v>
      </c>
      <c r="Q333" s="3">
        <v>82</v>
      </c>
      <c r="R333" s="3" t="s">
        <v>52</v>
      </c>
      <c r="S333" s="5">
        <v>6514035</v>
      </c>
      <c r="T333" s="3">
        <v>2012</v>
      </c>
      <c r="U333" s="3" t="s">
        <v>105</v>
      </c>
      <c r="V333" s="1" t="str">
        <f>IF(J333=S333,"Yes","")</f>
        <v>Yes</v>
      </c>
    </row>
    <row r="334" spans="1:22">
      <c r="A334" s="8">
        <f>INDEX(Albums!$A:$A, MATCH(C334,Albums!$C:$C,0))</f>
        <v>32</v>
      </c>
      <c r="B334">
        <f>INDEX(Albums!$B:$B, MATCH(C334,Albums!$C:$C,0))</f>
        <v>2018</v>
      </c>
      <c r="C334" t="s">
        <v>38</v>
      </c>
      <c r="D334">
        <v>4</v>
      </c>
      <c r="E334" t="s">
        <v>426</v>
      </c>
      <c r="F334" t="s">
        <v>225</v>
      </c>
      <c r="G334" t="s">
        <v>427</v>
      </c>
      <c r="H334" s="8" t="s">
        <v>2</v>
      </c>
      <c r="I334" s="8">
        <v>74</v>
      </c>
      <c r="J334" s="8">
        <v>7065049</v>
      </c>
      <c r="M334" t="s">
        <v>164</v>
      </c>
      <c r="N334" t="s">
        <v>106</v>
      </c>
      <c r="O334" s="2" t="s">
        <v>2</v>
      </c>
      <c r="P334" s="2" t="s">
        <v>2</v>
      </c>
      <c r="Q334" s="3">
        <v>74</v>
      </c>
      <c r="R334" s="4" t="s">
        <v>52</v>
      </c>
      <c r="S334" s="5">
        <v>7065049</v>
      </c>
      <c r="T334" s="3">
        <v>2016</v>
      </c>
      <c r="U334" s="7" t="s">
        <v>107</v>
      </c>
      <c r="V334" s="1" t="str">
        <f>IF(J334=S334,"Yes","")</f>
        <v>Yes</v>
      </c>
    </row>
    <row r="335" spans="1:22">
      <c r="A335" s="8">
        <f>INDEX(Albums!$A:$A, MATCH(C335,Albums!$C:$C,0))</f>
        <v>32</v>
      </c>
      <c r="B335">
        <f>INDEX(Albums!$B:$B, MATCH(C335,Albums!$C:$C,0))</f>
        <v>2018</v>
      </c>
      <c r="C335" t="s">
        <v>38</v>
      </c>
      <c r="D335">
        <v>5</v>
      </c>
      <c r="E335" t="s">
        <v>428</v>
      </c>
      <c r="F335" t="s">
        <v>225</v>
      </c>
      <c r="G335" t="s">
        <v>429</v>
      </c>
      <c r="H335" s="8" t="s">
        <v>26</v>
      </c>
      <c r="I335" s="8">
        <v>75</v>
      </c>
      <c r="J335" s="8">
        <v>7051507</v>
      </c>
      <c r="M335" t="s">
        <v>164</v>
      </c>
      <c r="N335" t="s">
        <v>77</v>
      </c>
      <c r="O335" s="2" t="s">
        <v>2</v>
      </c>
      <c r="P335" s="2" t="s">
        <v>26</v>
      </c>
      <c r="Q335" s="3">
        <v>74</v>
      </c>
      <c r="R335" s="4" t="s">
        <v>52</v>
      </c>
      <c r="S335" s="5">
        <v>7051507</v>
      </c>
      <c r="T335" s="3">
        <v>2015</v>
      </c>
      <c r="U335" s="7" t="s">
        <v>79</v>
      </c>
      <c r="V335" s="1" t="str">
        <f>IF(J335=S335,"Yes","")</f>
        <v>Yes</v>
      </c>
    </row>
    <row r="336" spans="1:22">
      <c r="A336" s="8">
        <f>INDEX(Albums!$A:$A, MATCH(C336,Albums!$C:$C,0))</f>
        <v>33</v>
      </c>
      <c r="B336">
        <f>INDEX(Albums!$B:$B, MATCH(C336,Albums!$C:$C,0))</f>
        <v>2018</v>
      </c>
      <c r="C336" t="s">
        <v>39</v>
      </c>
      <c r="D336">
        <v>1</v>
      </c>
      <c r="E336" t="s">
        <v>430</v>
      </c>
      <c r="F336" t="s">
        <v>225</v>
      </c>
      <c r="G336" t="s">
        <v>256</v>
      </c>
      <c r="H336" s="8" t="s">
        <v>2</v>
      </c>
      <c r="I336" s="8">
        <v>76</v>
      </c>
      <c r="J336" s="8">
        <v>7107554</v>
      </c>
    </row>
    <row r="337" spans="1:22">
      <c r="A337" s="8">
        <f>INDEX(Albums!$A:$A, MATCH(C337,Albums!$C:$C,0))</f>
        <v>33</v>
      </c>
      <c r="B337">
        <f>INDEX(Albums!$B:$B, MATCH(C337,Albums!$C:$C,0))</f>
        <v>2018</v>
      </c>
      <c r="C337" t="s">
        <v>39</v>
      </c>
      <c r="D337">
        <v>2</v>
      </c>
      <c r="E337" t="s">
        <v>431</v>
      </c>
      <c r="F337" t="s">
        <v>225</v>
      </c>
      <c r="G337" t="s">
        <v>429</v>
      </c>
      <c r="H337" s="8" t="s">
        <v>18</v>
      </c>
      <c r="I337" s="8">
        <v>86</v>
      </c>
      <c r="J337" s="8">
        <v>7067555</v>
      </c>
      <c r="M337" t="s">
        <v>164</v>
      </c>
      <c r="N337" t="s">
        <v>176</v>
      </c>
      <c r="O337" s="2" t="s">
        <v>15</v>
      </c>
      <c r="P337" s="2" t="s">
        <v>18</v>
      </c>
      <c r="Q337" s="3">
        <v>86</v>
      </c>
      <c r="R337" s="3" t="s">
        <v>52</v>
      </c>
      <c r="S337" s="5">
        <v>7067555</v>
      </c>
      <c r="T337" s="3">
        <v>2016</v>
      </c>
      <c r="U337" s="7" t="s">
        <v>177</v>
      </c>
      <c r="V337" s="1" t="str">
        <f>IF(J337=S337,"Yes","")</f>
        <v>Yes</v>
      </c>
    </row>
    <row r="338" spans="1:22">
      <c r="A338" s="8">
        <f>INDEX(Albums!$A:$A, MATCH(C338,Albums!$C:$C,0))</f>
        <v>33</v>
      </c>
      <c r="B338">
        <f>INDEX(Albums!$B:$B, MATCH(C338,Albums!$C:$C,0))</f>
        <v>2018</v>
      </c>
      <c r="C338" t="s">
        <v>39</v>
      </c>
      <c r="D338">
        <v>3</v>
      </c>
      <c r="E338" t="s">
        <v>432</v>
      </c>
      <c r="F338" t="s">
        <v>225</v>
      </c>
      <c r="G338" t="s">
        <v>228</v>
      </c>
      <c r="H338" s="8" t="s">
        <v>21</v>
      </c>
      <c r="I338" s="8">
        <v>72</v>
      </c>
      <c r="J338" s="8">
        <v>7106807</v>
      </c>
      <c r="M338" t="s">
        <v>164</v>
      </c>
      <c r="N338" t="s">
        <v>108</v>
      </c>
      <c r="O338" s="2" t="s">
        <v>20</v>
      </c>
      <c r="P338" s="2" t="s">
        <v>21</v>
      </c>
      <c r="Q338" s="3">
        <v>72</v>
      </c>
      <c r="R338" s="3" t="s">
        <v>52</v>
      </c>
      <c r="S338" s="5">
        <v>7106807</v>
      </c>
      <c r="T338" s="3">
        <v>2017</v>
      </c>
      <c r="U338" s="7" t="s">
        <v>109</v>
      </c>
      <c r="V338" s="1" t="str">
        <f>IF(J338=S338,"Yes","")</f>
        <v>Yes</v>
      </c>
    </row>
    <row r="339" spans="1:22">
      <c r="A339" s="8">
        <f>INDEX(Albums!$A:$A, MATCH(C339,Albums!$C:$C,0))</f>
        <v>33</v>
      </c>
      <c r="B339">
        <f>INDEX(Albums!$B:$B, MATCH(C339,Albums!$C:$C,0))</f>
        <v>2018</v>
      </c>
      <c r="C339" t="s">
        <v>39</v>
      </c>
      <c r="D339">
        <v>4</v>
      </c>
      <c r="E339" t="s">
        <v>433</v>
      </c>
      <c r="F339" t="s">
        <v>225</v>
      </c>
      <c r="G339" t="s">
        <v>226</v>
      </c>
      <c r="H339" s="8" t="s">
        <v>9</v>
      </c>
      <c r="I339" s="8">
        <v>86</v>
      </c>
      <c r="J339" s="8">
        <v>7102401</v>
      </c>
      <c r="M339" t="s">
        <v>164</v>
      </c>
      <c r="N339" t="s">
        <v>64</v>
      </c>
      <c r="O339" s="2" t="s">
        <v>15</v>
      </c>
      <c r="P339" s="2" t="s">
        <v>15</v>
      </c>
      <c r="Q339" s="3">
        <v>58</v>
      </c>
      <c r="R339" s="4" t="s">
        <v>78</v>
      </c>
      <c r="S339" s="5">
        <v>7102401</v>
      </c>
      <c r="T339" s="3">
        <v>2017</v>
      </c>
      <c r="U339" s="3" t="s">
        <v>53</v>
      </c>
      <c r="V339" s="1" t="str">
        <f>IF(J339=S339,"Yes","")</f>
        <v>Yes</v>
      </c>
    </row>
    <row r="340" spans="1:22">
      <c r="A340" s="8">
        <f>INDEX(Albums!$A:$A, MATCH(C340,Albums!$C:$C,0))</f>
        <v>33</v>
      </c>
      <c r="B340">
        <f>INDEX(Albums!$B:$B, MATCH(C340,Albums!$C:$C,0))</f>
        <v>2018</v>
      </c>
      <c r="C340" t="s">
        <v>39</v>
      </c>
      <c r="D340">
        <v>5</v>
      </c>
      <c r="E340" t="s">
        <v>434</v>
      </c>
      <c r="F340" t="s">
        <v>225</v>
      </c>
      <c r="G340" t="s">
        <v>232</v>
      </c>
      <c r="H340" s="8" t="s">
        <v>4</v>
      </c>
      <c r="I340" s="8">
        <v>75</v>
      </c>
      <c r="J340" s="8">
        <v>7060709</v>
      </c>
    </row>
    <row r="341" spans="1:22">
      <c r="A341" s="8">
        <f>INDEX(Albums!$A:$A, MATCH(C341,Albums!$C:$C,0))</f>
        <v>33</v>
      </c>
      <c r="B341">
        <f>INDEX(Albums!$B:$B, MATCH(C341,Albums!$C:$C,0))</f>
        <v>2018</v>
      </c>
      <c r="C341" t="s">
        <v>39</v>
      </c>
      <c r="D341">
        <v>6</v>
      </c>
      <c r="E341" t="s">
        <v>435</v>
      </c>
      <c r="F341" t="s">
        <v>436</v>
      </c>
      <c r="G341" t="s">
        <v>400</v>
      </c>
      <c r="H341" s="8" t="s">
        <v>4</v>
      </c>
      <c r="I341" s="8">
        <v>74</v>
      </c>
      <c r="J341" s="8">
        <v>7068430</v>
      </c>
    </row>
    <row r="342" spans="1:22">
      <c r="A342" s="8">
        <f>INDEX(Albums!$A:$A, MATCH(C342,Albums!$C:$C,0))</f>
        <v>33</v>
      </c>
      <c r="B342">
        <f>INDEX(Albums!$B:$B, MATCH(C342,Albums!$C:$C,0))</f>
        <v>2018</v>
      </c>
      <c r="C342" t="s">
        <v>39</v>
      </c>
      <c r="D342">
        <v>7</v>
      </c>
      <c r="E342" t="s">
        <v>437</v>
      </c>
      <c r="F342" t="s">
        <v>438</v>
      </c>
      <c r="G342" t="s">
        <v>400</v>
      </c>
      <c r="H342" s="8" t="s">
        <v>15</v>
      </c>
      <c r="I342" s="8">
        <v>64</v>
      </c>
      <c r="J342" s="8">
        <v>7084123</v>
      </c>
      <c r="M342" t="s">
        <v>164</v>
      </c>
      <c r="N342" t="s">
        <v>110</v>
      </c>
      <c r="O342" s="2" t="s">
        <v>15</v>
      </c>
      <c r="P342" s="2" t="s">
        <v>15</v>
      </c>
      <c r="Q342" s="3">
        <v>64</v>
      </c>
      <c r="R342" s="4" t="s">
        <v>111</v>
      </c>
      <c r="S342" s="5">
        <v>7084123</v>
      </c>
      <c r="T342" s="3">
        <v>2017</v>
      </c>
      <c r="U342" s="3" t="s">
        <v>53</v>
      </c>
      <c r="V342" s="1" t="str">
        <f>IF(J342=S342,"Yes","")</f>
        <v>Yes</v>
      </c>
    </row>
    <row r="343" spans="1:22">
      <c r="A343" s="8">
        <f>INDEX(Albums!$A:$A, MATCH(C343,Albums!$C:$C,0))</f>
        <v>33</v>
      </c>
      <c r="B343">
        <f>INDEX(Albums!$B:$B, MATCH(C343,Albums!$C:$C,0))</f>
        <v>2018</v>
      </c>
      <c r="C343" t="s">
        <v>39</v>
      </c>
      <c r="D343">
        <v>8</v>
      </c>
      <c r="E343" t="s">
        <v>439</v>
      </c>
      <c r="F343" t="s">
        <v>225</v>
      </c>
      <c r="G343" t="s">
        <v>232</v>
      </c>
      <c r="H343" s="8" t="s">
        <v>22</v>
      </c>
      <c r="I343" s="8">
        <v>71</v>
      </c>
      <c r="J343" s="8">
        <v>7017785</v>
      </c>
    </row>
    <row r="344" spans="1:22">
      <c r="A344" s="8">
        <f>INDEX(Albums!$A:$A, MATCH(C344,Albums!$C:$C,0))</f>
        <v>33</v>
      </c>
      <c r="B344">
        <f>INDEX(Albums!$B:$B, MATCH(C344,Albums!$C:$C,0))</f>
        <v>2018</v>
      </c>
      <c r="C344" t="s">
        <v>39</v>
      </c>
      <c r="D344">
        <v>9</v>
      </c>
      <c r="E344" t="s">
        <v>440</v>
      </c>
      <c r="F344" t="s">
        <v>225</v>
      </c>
      <c r="G344" t="s">
        <v>226</v>
      </c>
      <c r="H344" s="8" t="s">
        <v>2</v>
      </c>
      <c r="I344" s="8">
        <v>122</v>
      </c>
      <c r="J344" s="8">
        <v>7068422</v>
      </c>
    </row>
    <row r="345" spans="1:22">
      <c r="A345" s="8">
        <f>INDEX(Albums!$A:$A, MATCH(C345,Albums!$C:$C,0))</f>
        <v>33</v>
      </c>
      <c r="B345">
        <f>INDEX(Albums!$B:$B, MATCH(C345,Albums!$C:$C,0))</f>
        <v>2018</v>
      </c>
      <c r="C345" t="s">
        <v>39</v>
      </c>
      <c r="D345">
        <v>10</v>
      </c>
      <c r="E345" t="s">
        <v>441</v>
      </c>
      <c r="F345" t="s">
        <v>225</v>
      </c>
      <c r="G345" t="s">
        <v>442</v>
      </c>
      <c r="H345" s="8" t="s">
        <v>2</v>
      </c>
      <c r="I345" s="8">
        <v>78</v>
      </c>
      <c r="J345" s="8">
        <v>7060031</v>
      </c>
    </row>
    <row r="346" spans="1:22">
      <c r="A346" s="8">
        <f>INDEX(Albums!$A:$A, MATCH(C346,Albums!$C:$C,0))</f>
        <v>34</v>
      </c>
      <c r="B346">
        <f>INDEX(Albums!$B:$B, MATCH(C346,Albums!$C:$C,0))</f>
        <v>2019</v>
      </c>
      <c r="C346" t="s">
        <v>192</v>
      </c>
      <c r="D346">
        <v>1</v>
      </c>
      <c r="E346" t="s">
        <v>195</v>
      </c>
      <c r="F346" t="s">
        <v>225</v>
      </c>
      <c r="G346" t="s">
        <v>225</v>
      </c>
    </row>
    <row r="347" spans="1:22">
      <c r="A347" s="8">
        <f>INDEX(Albums!$A:$A, MATCH(C347,Albums!$C:$C,0))</f>
        <v>34</v>
      </c>
      <c r="B347">
        <f>INDEX(Albums!$B:$B, MATCH(C347,Albums!$C:$C,0))</f>
        <v>2019</v>
      </c>
      <c r="C347" t="s">
        <v>192</v>
      </c>
      <c r="D347">
        <v>2</v>
      </c>
      <c r="E347" t="s">
        <v>196</v>
      </c>
      <c r="F347" t="s">
        <v>225</v>
      </c>
      <c r="G347" t="s">
        <v>225</v>
      </c>
      <c r="K347" s="23" t="s">
        <v>181</v>
      </c>
    </row>
    <row r="348" spans="1:22">
      <c r="A348" s="8">
        <f>INDEX(Albums!$A:$A, MATCH(C348,Albums!$C:$C,0))</f>
        <v>34</v>
      </c>
      <c r="B348">
        <f>INDEX(Albums!$B:$B, MATCH(C348,Albums!$C:$C,0))</f>
        <v>2019</v>
      </c>
      <c r="C348" t="s">
        <v>192</v>
      </c>
      <c r="D348">
        <v>3</v>
      </c>
      <c r="E348" t="s">
        <v>197</v>
      </c>
      <c r="F348" t="s">
        <v>225</v>
      </c>
      <c r="G348" t="s">
        <v>225</v>
      </c>
      <c r="K348" s="23" t="s">
        <v>181</v>
      </c>
    </row>
    <row r="349" spans="1:22">
      <c r="A349" s="8">
        <f>INDEX(Albums!$A:$A, MATCH(C349,Albums!$C:$C,0))</f>
        <v>34</v>
      </c>
      <c r="B349">
        <f>INDEX(Albums!$B:$B, MATCH(C349,Albums!$C:$C,0))</f>
        <v>2019</v>
      </c>
      <c r="C349" t="s">
        <v>192</v>
      </c>
      <c r="D349">
        <v>4</v>
      </c>
      <c r="E349" t="s">
        <v>198</v>
      </c>
      <c r="F349" t="s">
        <v>225</v>
      </c>
      <c r="G349" t="s">
        <v>225</v>
      </c>
      <c r="K349" s="23" t="s">
        <v>181</v>
      </c>
    </row>
    <row r="350" spans="1:22">
      <c r="A350" s="8">
        <f>INDEX(Albums!$A:$A, MATCH(C350,Albums!$C:$C,0))</f>
        <v>34</v>
      </c>
      <c r="B350">
        <f>INDEX(Albums!$B:$B, MATCH(C350,Albums!$C:$C,0))</f>
        <v>2019</v>
      </c>
      <c r="C350" t="s">
        <v>192</v>
      </c>
      <c r="D350">
        <v>5</v>
      </c>
      <c r="E350" t="s">
        <v>199</v>
      </c>
      <c r="F350" t="s">
        <v>225</v>
      </c>
      <c r="G350" t="s">
        <v>225</v>
      </c>
    </row>
    <row r="351" spans="1:22">
      <c r="A351" s="8">
        <f>INDEX(Albums!$A:$A, MATCH(C351,Albums!$C:$C,0))</f>
        <v>34</v>
      </c>
      <c r="B351">
        <f>INDEX(Albums!$B:$B, MATCH(C351,Albums!$C:$C,0))</f>
        <v>2019</v>
      </c>
      <c r="C351" t="s">
        <v>192</v>
      </c>
      <c r="D351">
        <v>6</v>
      </c>
      <c r="E351" t="s">
        <v>200</v>
      </c>
      <c r="F351" t="s">
        <v>225</v>
      </c>
      <c r="G351" t="s">
        <v>225</v>
      </c>
    </row>
    <row r="352" spans="1:22">
      <c r="A352" s="8">
        <f>INDEX(Albums!$A:$A, MATCH(C352,Albums!$C:$C,0))</f>
        <v>34</v>
      </c>
      <c r="B352">
        <f>INDEX(Albums!$B:$B, MATCH(C352,Albums!$C:$C,0))</f>
        <v>2019</v>
      </c>
      <c r="C352" t="s">
        <v>192</v>
      </c>
      <c r="D352">
        <v>7</v>
      </c>
      <c r="E352" t="s">
        <v>551</v>
      </c>
      <c r="F352" t="s">
        <v>552</v>
      </c>
      <c r="G352" t="s">
        <v>225</v>
      </c>
    </row>
    <row r="353" spans="1:11">
      <c r="A353" s="8">
        <f>INDEX(Albums!$A:$A, MATCH(C353,Albums!$C:$C,0))</f>
        <v>34</v>
      </c>
      <c r="B353">
        <f>INDEX(Albums!$B:$B, MATCH(C353,Albums!$C:$C,0))</f>
        <v>2019</v>
      </c>
      <c r="C353" t="s">
        <v>192</v>
      </c>
      <c r="D353">
        <v>8</v>
      </c>
      <c r="E353" t="s">
        <v>201</v>
      </c>
      <c r="F353" t="s">
        <v>225</v>
      </c>
      <c r="G353" t="s">
        <v>225</v>
      </c>
      <c r="K353" s="23" t="s">
        <v>181</v>
      </c>
    </row>
    <row r="354" spans="1:11">
      <c r="A354" s="8">
        <f>INDEX(Albums!$A:$A, MATCH(C354,Albums!$C:$C,0))</f>
        <v>34</v>
      </c>
      <c r="B354">
        <f>INDEX(Albums!$B:$B, MATCH(C354,Albums!$C:$C,0))</f>
        <v>2019</v>
      </c>
      <c r="C354" t="s">
        <v>192</v>
      </c>
      <c r="D354">
        <v>9</v>
      </c>
      <c r="E354" t="s">
        <v>202</v>
      </c>
      <c r="F354" t="s">
        <v>225</v>
      </c>
      <c r="G354" t="s">
        <v>225</v>
      </c>
      <c r="K354" s="23" t="s">
        <v>181</v>
      </c>
    </row>
    <row r="355" spans="1:11">
      <c r="A355" s="8">
        <f>INDEX(Albums!$A:$A, MATCH(C355,Albums!$C:$C,0))</f>
        <v>34</v>
      </c>
      <c r="B355">
        <f>INDEX(Albums!$B:$B, MATCH(C355,Albums!$C:$C,0))</f>
        <v>2019</v>
      </c>
      <c r="C355" t="s">
        <v>192</v>
      </c>
      <c r="D355">
        <v>10</v>
      </c>
      <c r="E355" t="s">
        <v>203</v>
      </c>
      <c r="F355" t="s">
        <v>225</v>
      </c>
      <c r="G355" t="s">
        <v>225</v>
      </c>
      <c r="K355" s="23" t="s">
        <v>181</v>
      </c>
    </row>
    <row r="356" spans="1:11">
      <c r="A356" s="8">
        <f>INDEX(Albums!$A:$A, MATCH(C356,Albums!$C:$C,0))</f>
        <v>34</v>
      </c>
      <c r="B356">
        <f>INDEX(Albums!$B:$B, MATCH(C356,Albums!$C:$C,0))</f>
        <v>2019</v>
      </c>
      <c r="C356" t="s">
        <v>192</v>
      </c>
      <c r="D356">
        <v>11</v>
      </c>
      <c r="E356" t="s">
        <v>204</v>
      </c>
      <c r="F356" t="s">
        <v>225</v>
      </c>
      <c r="G356" t="s">
        <v>225</v>
      </c>
      <c r="K356" s="23" t="s">
        <v>181</v>
      </c>
    </row>
    <row r="357" spans="1:11">
      <c r="A357" s="8">
        <f>INDEX(Albums!$A:$A, MATCH(C357,Albums!$C:$C,0))</f>
        <v>34</v>
      </c>
      <c r="B357">
        <f>INDEX(Albums!$B:$B, MATCH(C357,Albums!$C:$C,0))</f>
        <v>2019</v>
      </c>
      <c r="C357" t="s">
        <v>192</v>
      </c>
      <c r="D357">
        <v>12</v>
      </c>
      <c r="E357" t="s">
        <v>205</v>
      </c>
      <c r="F357" t="s">
        <v>225</v>
      </c>
      <c r="G357" t="s">
        <v>225</v>
      </c>
    </row>
    <row r="358" spans="1:11">
      <c r="A358" s="8">
        <f>INDEX(Albums!$A:$A, MATCH(C358,Albums!$C:$C,0))</f>
        <v>34</v>
      </c>
      <c r="B358">
        <f>INDEX(Albums!$B:$B, MATCH(C358,Albums!$C:$C,0))</f>
        <v>2019</v>
      </c>
      <c r="C358" t="s">
        <v>192</v>
      </c>
      <c r="D358">
        <v>13</v>
      </c>
      <c r="E358" t="s">
        <v>206</v>
      </c>
      <c r="F358" t="s">
        <v>225</v>
      </c>
      <c r="G358" t="s">
        <v>225</v>
      </c>
    </row>
    <row r="359" spans="1:11">
      <c r="A359" s="8">
        <f>INDEX(Albums!$A:$A, MATCH(C359,Albums!$C:$C,0))</f>
        <v>35</v>
      </c>
      <c r="B359">
        <f>INDEX(Albums!$B:$B, MATCH(C359,Albums!$C:$C,0))</f>
        <v>2019</v>
      </c>
      <c r="C359" t="s">
        <v>771</v>
      </c>
      <c r="D359">
        <v>1</v>
      </c>
      <c r="E359" t="s">
        <v>575</v>
      </c>
      <c r="F359" t="s">
        <v>576</v>
      </c>
      <c r="G359" t="s">
        <v>225</v>
      </c>
    </row>
    <row r="360" spans="1:11">
      <c r="A360" s="8">
        <f>INDEX(Albums!$A:$A, MATCH(C360,Albums!$C:$C,0))</f>
        <v>35</v>
      </c>
      <c r="B360">
        <f>INDEX(Albums!$B:$B, MATCH(C360,Albums!$C:$C,0))</f>
        <v>2019</v>
      </c>
      <c r="C360" t="s">
        <v>771</v>
      </c>
      <c r="D360">
        <v>2</v>
      </c>
      <c r="E360" t="s">
        <v>577</v>
      </c>
      <c r="F360" t="s">
        <v>576</v>
      </c>
      <c r="G360" t="s">
        <v>225</v>
      </c>
      <c r="K360" s="23" t="s">
        <v>181</v>
      </c>
    </row>
    <row r="361" spans="1:11">
      <c r="A361" s="8">
        <f>INDEX(Albums!$A:$A, MATCH(C361,Albums!$C:$C,0))</f>
        <v>35</v>
      </c>
      <c r="B361">
        <f>INDEX(Albums!$B:$B, MATCH(C361,Albums!$C:$C,0))</f>
        <v>2019</v>
      </c>
      <c r="C361" t="s">
        <v>771</v>
      </c>
      <c r="D361">
        <v>3</v>
      </c>
      <c r="E361" t="s">
        <v>568</v>
      </c>
      <c r="F361" t="s">
        <v>576</v>
      </c>
      <c r="G361" t="s">
        <v>225</v>
      </c>
      <c r="K361" s="23" t="s">
        <v>181</v>
      </c>
    </row>
    <row r="362" spans="1:11">
      <c r="A362" s="8">
        <f>INDEX(Albums!$A:$A, MATCH(C362,Albums!$C:$C,0))</f>
        <v>35</v>
      </c>
      <c r="B362">
        <f>INDEX(Albums!$B:$B, MATCH(C362,Albums!$C:$C,0))</f>
        <v>2019</v>
      </c>
      <c r="C362" t="s">
        <v>771</v>
      </c>
      <c r="D362">
        <v>4</v>
      </c>
      <c r="E362" t="s">
        <v>566</v>
      </c>
      <c r="F362" t="s">
        <v>576</v>
      </c>
      <c r="G362" t="s">
        <v>225</v>
      </c>
      <c r="K362" s="23" t="s">
        <v>181</v>
      </c>
    </row>
    <row r="363" spans="1:11">
      <c r="A363" s="8">
        <f>INDEX(Albums!$A:$A, MATCH(C363,Albums!$C:$C,0))</f>
        <v>35</v>
      </c>
      <c r="B363">
        <f>INDEX(Albums!$B:$B, MATCH(C363,Albums!$C:$C,0))</f>
        <v>2019</v>
      </c>
      <c r="C363" t="s">
        <v>771</v>
      </c>
      <c r="D363">
        <v>5</v>
      </c>
      <c r="E363" t="s">
        <v>567</v>
      </c>
      <c r="F363" t="s">
        <v>576</v>
      </c>
      <c r="G363" t="s">
        <v>225</v>
      </c>
      <c r="K363" s="23" t="s">
        <v>181</v>
      </c>
    </row>
    <row r="364" spans="1:11">
      <c r="A364" s="8">
        <f>INDEX(Albums!$A:$A, MATCH(C364,Albums!$C:$C,0))</f>
        <v>36</v>
      </c>
      <c r="B364">
        <f>INDEX(Albums!$B:$B, MATCH(C364,Albums!$C:$C,0))</f>
        <v>2019</v>
      </c>
      <c r="C364" t="s">
        <v>40</v>
      </c>
      <c r="D364">
        <v>1</v>
      </c>
      <c r="E364" t="s">
        <v>443</v>
      </c>
      <c r="F364" t="s">
        <v>225</v>
      </c>
      <c r="G364" t="s">
        <v>414</v>
      </c>
      <c r="H364" s="8" t="s">
        <v>22</v>
      </c>
      <c r="I364" s="8">
        <v>63</v>
      </c>
      <c r="J364" s="8">
        <v>7117726</v>
      </c>
    </row>
    <row r="365" spans="1:11">
      <c r="A365" s="8">
        <f>INDEX(Albums!$A:$A, MATCH(C365,Albums!$C:$C,0))</f>
        <v>36</v>
      </c>
      <c r="B365">
        <f>INDEX(Albums!$B:$B, MATCH(C365,Albums!$C:$C,0))</f>
        <v>2019</v>
      </c>
      <c r="C365" t="s">
        <v>40</v>
      </c>
      <c r="D365">
        <v>2</v>
      </c>
      <c r="E365" t="s">
        <v>444</v>
      </c>
      <c r="F365" t="s">
        <v>225</v>
      </c>
      <c r="G365" t="s">
        <v>395</v>
      </c>
      <c r="H365" s="8" t="s">
        <v>22</v>
      </c>
      <c r="I365" s="8">
        <v>90.5</v>
      </c>
      <c r="J365" s="8">
        <v>7033417</v>
      </c>
    </row>
    <row r="366" spans="1:11">
      <c r="A366" s="8">
        <f>INDEX(Albums!$A:$A, MATCH(C366,Albums!$C:$C,0))</f>
        <v>36</v>
      </c>
      <c r="B366">
        <f>INDEX(Albums!$B:$B, MATCH(C366,Albums!$C:$C,0))</f>
        <v>2019</v>
      </c>
      <c r="C366" t="s">
        <v>40</v>
      </c>
      <c r="D366">
        <v>3</v>
      </c>
      <c r="E366" t="s">
        <v>445</v>
      </c>
      <c r="F366" t="s">
        <v>225</v>
      </c>
      <c r="G366" t="s">
        <v>446</v>
      </c>
      <c r="H366" s="8" t="s">
        <v>12</v>
      </c>
      <c r="I366" s="8">
        <v>67</v>
      </c>
      <c r="J366" s="8">
        <v>7104907</v>
      </c>
    </row>
    <row r="367" spans="1:11">
      <c r="A367" s="8">
        <f>INDEX(Albums!$A:$A, MATCH(C367,Albums!$C:$C,0))</f>
        <v>36</v>
      </c>
      <c r="B367">
        <f>INDEX(Albums!$B:$B, MATCH(C367,Albums!$C:$C,0))</f>
        <v>2019</v>
      </c>
      <c r="C367" t="s">
        <v>40</v>
      </c>
      <c r="D367">
        <v>4</v>
      </c>
      <c r="E367" t="s">
        <v>447</v>
      </c>
      <c r="F367" t="s">
        <v>225</v>
      </c>
      <c r="G367" t="s">
        <v>448</v>
      </c>
      <c r="H367" s="8" t="s">
        <v>12</v>
      </c>
      <c r="I367" s="8">
        <v>74</v>
      </c>
      <c r="J367" s="8">
        <v>7080403</v>
      </c>
    </row>
    <row r="368" spans="1:11">
      <c r="A368" s="8">
        <f>INDEX(Albums!$A:$A, MATCH(C368,Albums!$C:$C,0))</f>
        <v>36</v>
      </c>
      <c r="B368">
        <f>INDEX(Albums!$B:$B, MATCH(C368,Albums!$C:$C,0))</f>
        <v>2019</v>
      </c>
      <c r="C368" t="s">
        <v>40</v>
      </c>
      <c r="D368">
        <v>5</v>
      </c>
      <c r="E368" t="s">
        <v>449</v>
      </c>
      <c r="F368" t="s">
        <v>225</v>
      </c>
      <c r="G368" t="s">
        <v>450</v>
      </c>
      <c r="H368" s="8" t="s">
        <v>12</v>
      </c>
      <c r="I368" s="8">
        <v>70</v>
      </c>
      <c r="J368" s="8">
        <v>7100876</v>
      </c>
    </row>
    <row r="369" spans="1:22">
      <c r="A369" s="8">
        <f>INDEX(Albums!$A:$A, MATCH(C369,Albums!$C:$C,0))</f>
        <v>36</v>
      </c>
      <c r="B369">
        <f>INDEX(Albums!$B:$B, MATCH(C369,Albums!$C:$C,0))</f>
        <v>2019</v>
      </c>
      <c r="C369" t="s">
        <v>40</v>
      </c>
      <c r="D369">
        <v>6</v>
      </c>
      <c r="E369" t="s">
        <v>275</v>
      </c>
      <c r="F369" t="s">
        <v>225</v>
      </c>
      <c r="G369" t="s">
        <v>451</v>
      </c>
      <c r="H369" s="8" t="s">
        <v>12</v>
      </c>
      <c r="I369" s="8">
        <v>65</v>
      </c>
      <c r="J369" s="8">
        <v>7021972</v>
      </c>
      <c r="M369" t="s">
        <v>164</v>
      </c>
      <c r="N369" t="s">
        <v>112</v>
      </c>
      <c r="O369" s="2" t="s">
        <v>0</v>
      </c>
      <c r="P369" s="2" t="s">
        <v>0</v>
      </c>
      <c r="Q369" s="3">
        <v>65</v>
      </c>
      <c r="R369" s="3" t="s">
        <v>113</v>
      </c>
      <c r="S369" s="5">
        <v>7021972</v>
      </c>
      <c r="T369" s="3">
        <v>2013</v>
      </c>
      <c r="U369" s="3" t="s">
        <v>81</v>
      </c>
      <c r="V369" s="1" t="str">
        <f>IF(J369=S369,"Yes","")</f>
        <v>Yes</v>
      </c>
    </row>
    <row r="370" spans="1:22">
      <c r="A370" s="8">
        <f>INDEX(Albums!$A:$A, MATCH(C370,Albums!$C:$C,0))</f>
        <v>36</v>
      </c>
      <c r="B370">
        <f>INDEX(Albums!$B:$B, MATCH(C370,Albums!$C:$C,0))</f>
        <v>2019</v>
      </c>
      <c r="C370" t="s">
        <v>40</v>
      </c>
      <c r="D370">
        <v>7</v>
      </c>
      <c r="E370" t="s">
        <v>452</v>
      </c>
      <c r="F370" t="s">
        <v>225</v>
      </c>
      <c r="G370" t="s">
        <v>453</v>
      </c>
      <c r="H370" s="8" t="s">
        <v>12</v>
      </c>
      <c r="I370" s="8">
        <v>71</v>
      </c>
      <c r="J370" s="8">
        <v>7006188</v>
      </c>
    </row>
    <row r="371" spans="1:22">
      <c r="A371" s="8">
        <f>INDEX(Albums!$A:$A, MATCH(C371,Albums!$C:$C,0))</f>
        <v>36</v>
      </c>
      <c r="B371">
        <f>INDEX(Albums!$B:$B, MATCH(C371,Albums!$C:$C,0))</f>
        <v>2019</v>
      </c>
      <c r="C371" t="s">
        <v>40</v>
      </c>
      <c r="D371">
        <v>8</v>
      </c>
      <c r="E371" t="s">
        <v>454</v>
      </c>
      <c r="F371" t="s">
        <v>225</v>
      </c>
      <c r="G371" t="s">
        <v>226</v>
      </c>
      <c r="H371" s="8" t="s">
        <v>2</v>
      </c>
      <c r="I371" s="8">
        <v>70</v>
      </c>
      <c r="J371" s="8">
        <v>7102397</v>
      </c>
      <c r="M371" t="s">
        <v>164</v>
      </c>
      <c r="N371" t="s">
        <v>114</v>
      </c>
      <c r="O371" s="2" t="s">
        <v>15</v>
      </c>
      <c r="P371" s="2" t="s">
        <v>18</v>
      </c>
      <c r="Q371" s="3">
        <v>77</v>
      </c>
      <c r="R371" s="4" t="s">
        <v>52</v>
      </c>
      <c r="S371" s="5">
        <v>7102397</v>
      </c>
      <c r="T371" s="3">
        <v>2017</v>
      </c>
      <c r="U371" s="3" t="s">
        <v>53</v>
      </c>
      <c r="V371" s="1" t="str">
        <f>IF(J371=S371,"Yes","")</f>
        <v>Yes</v>
      </c>
    </row>
    <row r="372" spans="1:22">
      <c r="A372" s="8">
        <f>INDEX(Albums!$A:$A, MATCH(C372,Albums!$C:$C,0))</f>
        <v>36</v>
      </c>
      <c r="B372">
        <f>INDEX(Albums!$B:$B, MATCH(C372,Albums!$C:$C,0))</f>
        <v>2019</v>
      </c>
      <c r="C372" t="s">
        <v>40</v>
      </c>
      <c r="D372">
        <v>9</v>
      </c>
      <c r="E372" t="s">
        <v>455</v>
      </c>
      <c r="F372" t="s">
        <v>225</v>
      </c>
      <c r="G372" t="s">
        <v>456</v>
      </c>
      <c r="H372" s="8" t="s">
        <v>2</v>
      </c>
      <c r="I372" s="8">
        <v>58</v>
      </c>
      <c r="J372" s="8">
        <v>7004369</v>
      </c>
    </row>
    <row r="373" spans="1:22">
      <c r="A373" s="8">
        <f>INDEX(Albums!$A:$A, MATCH(C373,Albums!$C:$C,0))</f>
        <v>36</v>
      </c>
      <c r="B373">
        <f>INDEX(Albums!$B:$B, MATCH(C373,Albums!$C:$C,0))</f>
        <v>2019</v>
      </c>
      <c r="C373" t="s">
        <v>40</v>
      </c>
      <c r="D373">
        <v>10</v>
      </c>
      <c r="E373" t="s">
        <v>457</v>
      </c>
      <c r="F373" t="s">
        <v>225</v>
      </c>
      <c r="G373" t="s">
        <v>232</v>
      </c>
      <c r="H373" s="8" t="s">
        <v>20</v>
      </c>
      <c r="I373" s="8">
        <v>72</v>
      </c>
      <c r="J373" s="8">
        <v>7078152</v>
      </c>
    </row>
    <row r="374" spans="1:22">
      <c r="A374" s="8">
        <f>INDEX(Albums!$A:$A, MATCH(C374,Albums!$C:$C,0))</f>
        <v>36</v>
      </c>
      <c r="B374">
        <f>INDEX(Albums!$B:$B, MATCH(C374,Albums!$C:$C,0))</f>
        <v>2019</v>
      </c>
      <c r="C374" t="s">
        <v>40</v>
      </c>
      <c r="D374">
        <v>11</v>
      </c>
      <c r="E374" t="s">
        <v>458</v>
      </c>
      <c r="F374" t="s">
        <v>225</v>
      </c>
      <c r="G374" t="s">
        <v>459</v>
      </c>
      <c r="H374" s="8" t="s">
        <v>7</v>
      </c>
      <c r="I374" s="8">
        <v>70</v>
      </c>
      <c r="J374" s="8">
        <v>7081764</v>
      </c>
    </row>
    <row r="375" spans="1:22">
      <c r="A375" s="8">
        <f>INDEX(Albums!$A:$A, MATCH(C375,Albums!$C:$C,0))</f>
        <v>36</v>
      </c>
      <c r="B375">
        <f>INDEX(Albums!$B:$B, MATCH(C375,Albums!$C:$C,0))</f>
        <v>2019</v>
      </c>
      <c r="C375" t="s">
        <v>40</v>
      </c>
      <c r="D375">
        <v>12</v>
      </c>
      <c r="E375" t="s">
        <v>460</v>
      </c>
      <c r="F375" t="s">
        <v>225</v>
      </c>
      <c r="G375" t="s">
        <v>226</v>
      </c>
      <c r="H375" s="8" t="s">
        <v>7</v>
      </c>
      <c r="I375" s="8">
        <v>70.5</v>
      </c>
      <c r="J375" s="8">
        <v>7019974</v>
      </c>
      <c r="M375" t="s">
        <v>164</v>
      </c>
      <c r="N375" t="s">
        <v>115</v>
      </c>
      <c r="O375" s="2" t="s">
        <v>0</v>
      </c>
      <c r="P375" s="2" t="s">
        <v>0</v>
      </c>
      <c r="Q375" s="3">
        <v>70</v>
      </c>
      <c r="R375" s="3" t="s">
        <v>52</v>
      </c>
      <c r="S375" s="5">
        <v>7019974</v>
      </c>
      <c r="T375" s="3">
        <v>2014</v>
      </c>
      <c r="U375" s="7" t="s">
        <v>53</v>
      </c>
      <c r="V375" s="1" t="str">
        <f>IF(J375=S375,"Yes","")</f>
        <v>Yes</v>
      </c>
    </row>
    <row r="376" spans="1:22">
      <c r="A376" s="8">
        <f>INDEX(Albums!$A:$A, MATCH(C376,Albums!$C:$C,0))</f>
        <v>37</v>
      </c>
      <c r="B376">
        <f>INDEX(Albums!$B:$B, MATCH(C376,Albums!$C:$C,0))</f>
        <v>2020</v>
      </c>
      <c r="C376" t="s">
        <v>41</v>
      </c>
      <c r="D376">
        <v>1</v>
      </c>
      <c r="E376" t="s">
        <v>461</v>
      </c>
      <c r="F376" t="s">
        <v>225</v>
      </c>
      <c r="G376" t="s">
        <v>374</v>
      </c>
      <c r="H376" s="8" t="s">
        <v>2</v>
      </c>
      <c r="I376" s="8">
        <v>74</v>
      </c>
      <c r="J376" s="8">
        <v>7097216</v>
      </c>
    </row>
    <row r="377" spans="1:22">
      <c r="A377" s="8">
        <f>INDEX(Albums!$A:$A, MATCH(C377,Albums!$C:$C,0))</f>
        <v>37</v>
      </c>
      <c r="B377">
        <f>INDEX(Albums!$B:$B, MATCH(C377,Albums!$C:$C,0))</f>
        <v>2020</v>
      </c>
      <c r="C377" t="s">
        <v>41</v>
      </c>
      <c r="D377">
        <v>2</v>
      </c>
      <c r="E377" t="s">
        <v>462</v>
      </c>
      <c r="F377" t="s">
        <v>225</v>
      </c>
      <c r="G377" t="s">
        <v>463</v>
      </c>
      <c r="H377" s="8" t="s">
        <v>4</v>
      </c>
      <c r="I377" s="8">
        <v>73</v>
      </c>
      <c r="J377" s="8">
        <v>7121852</v>
      </c>
      <c r="M377" t="s">
        <v>164</v>
      </c>
      <c r="N377" t="s">
        <v>116</v>
      </c>
      <c r="O377" s="2" t="s">
        <v>2</v>
      </c>
      <c r="P377" s="2" t="s">
        <v>2</v>
      </c>
      <c r="Q377" s="3">
        <v>75</v>
      </c>
      <c r="R377" s="4" t="s">
        <v>52</v>
      </c>
      <c r="S377" s="5">
        <v>7121852</v>
      </c>
      <c r="T377" s="3">
        <v>2018</v>
      </c>
      <c r="U377" s="7" t="s">
        <v>117</v>
      </c>
      <c r="V377" s="1" t="str">
        <f>IF(J377=S377,"Yes","")</f>
        <v>Yes</v>
      </c>
    </row>
    <row r="378" spans="1:22">
      <c r="A378" s="8">
        <f>INDEX(Albums!$A:$A, MATCH(C378,Albums!$C:$C,0))</f>
        <v>37</v>
      </c>
      <c r="B378">
        <f>INDEX(Albums!$B:$B, MATCH(C378,Albums!$C:$C,0))</f>
        <v>2020</v>
      </c>
      <c r="C378" t="s">
        <v>41</v>
      </c>
      <c r="D378">
        <v>3</v>
      </c>
      <c r="E378" t="s">
        <v>464</v>
      </c>
      <c r="F378" t="s">
        <v>225</v>
      </c>
      <c r="G378" t="s">
        <v>228</v>
      </c>
      <c r="H378" s="8" t="s">
        <v>2</v>
      </c>
      <c r="I378" s="8">
        <v>74</v>
      </c>
      <c r="J378" s="8">
        <v>7076958</v>
      </c>
    </row>
    <row r="379" spans="1:22">
      <c r="A379" s="8">
        <f>INDEX(Albums!$A:$A, MATCH(C379,Albums!$C:$C,0))</f>
        <v>37</v>
      </c>
      <c r="B379">
        <f>INDEX(Albums!$B:$B, MATCH(C379,Albums!$C:$C,0))</f>
        <v>2020</v>
      </c>
      <c r="C379" t="s">
        <v>41</v>
      </c>
      <c r="D379">
        <v>4</v>
      </c>
      <c r="E379" t="s">
        <v>465</v>
      </c>
      <c r="F379" t="s">
        <v>225</v>
      </c>
      <c r="G379" t="s">
        <v>400</v>
      </c>
      <c r="H379" s="8" t="s">
        <v>2</v>
      </c>
      <c r="I379" s="8">
        <v>68</v>
      </c>
      <c r="J379" s="8">
        <v>7127647</v>
      </c>
      <c r="M379" t="s">
        <v>164</v>
      </c>
      <c r="N379" t="s">
        <v>118</v>
      </c>
      <c r="O379" s="2" t="s">
        <v>20</v>
      </c>
      <c r="P379" s="2" t="s">
        <v>20</v>
      </c>
      <c r="Q379" s="3">
        <v>68</v>
      </c>
      <c r="R379" s="4" t="s">
        <v>52</v>
      </c>
      <c r="S379" s="5">
        <v>7127647</v>
      </c>
      <c r="T379" s="3">
        <v>2019</v>
      </c>
      <c r="U379" s="7" t="s">
        <v>53</v>
      </c>
      <c r="V379" s="1" t="str">
        <f>IF(J379=S379,"Yes","")</f>
        <v>Yes</v>
      </c>
    </row>
    <row r="380" spans="1:22">
      <c r="A380" s="8">
        <f>INDEX(Albums!$A:$A, MATCH(C380,Albums!$C:$C,0))</f>
        <v>37</v>
      </c>
      <c r="B380">
        <f>INDEX(Albums!$B:$B, MATCH(C380,Albums!$C:$C,0))</f>
        <v>2020</v>
      </c>
      <c r="C380" t="s">
        <v>41</v>
      </c>
      <c r="D380">
        <v>5</v>
      </c>
      <c r="E380" t="s">
        <v>466</v>
      </c>
      <c r="F380" t="s">
        <v>225</v>
      </c>
      <c r="G380" t="s">
        <v>467</v>
      </c>
      <c r="H380" s="8" t="s">
        <v>12</v>
      </c>
      <c r="I380" s="8">
        <v>80</v>
      </c>
      <c r="J380" s="8">
        <v>7120418</v>
      </c>
    </row>
    <row r="381" spans="1:22">
      <c r="A381" s="8">
        <f>INDEX(Albums!$A:$A, MATCH(C381,Albums!$C:$C,0))</f>
        <v>37</v>
      </c>
      <c r="B381">
        <f>INDEX(Albums!$B:$B, MATCH(C381,Albums!$C:$C,0))</f>
        <v>2020</v>
      </c>
      <c r="C381" t="s">
        <v>41</v>
      </c>
      <c r="D381">
        <v>6</v>
      </c>
      <c r="E381" t="s">
        <v>468</v>
      </c>
      <c r="F381" t="s">
        <v>225</v>
      </c>
      <c r="G381" t="s">
        <v>469</v>
      </c>
      <c r="H381" s="8" t="s">
        <v>4</v>
      </c>
      <c r="I381" s="8">
        <v>72</v>
      </c>
      <c r="J381" s="8">
        <v>7107821</v>
      </c>
    </row>
    <row r="382" spans="1:22">
      <c r="A382" s="8">
        <f>INDEX(Albums!$A:$A, MATCH(C382,Albums!$C:$C,0))</f>
        <v>37</v>
      </c>
      <c r="B382">
        <f>INDEX(Albums!$B:$B, MATCH(C382,Albums!$C:$C,0))</f>
        <v>2020</v>
      </c>
      <c r="C382" t="s">
        <v>41</v>
      </c>
      <c r="D382">
        <v>7</v>
      </c>
      <c r="E382" t="s">
        <v>470</v>
      </c>
      <c r="F382" t="s">
        <v>471</v>
      </c>
      <c r="G382" t="s">
        <v>472</v>
      </c>
      <c r="H382" s="8" t="s">
        <v>18</v>
      </c>
      <c r="I382" s="8">
        <v>80</v>
      </c>
      <c r="J382" s="8">
        <v>7089024</v>
      </c>
    </row>
    <row r="383" spans="1:22">
      <c r="A383" s="8">
        <f>INDEX(Albums!$A:$A, MATCH(C383,Albums!$C:$C,0))</f>
        <v>37</v>
      </c>
      <c r="B383">
        <f>INDEX(Albums!$B:$B, MATCH(C383,Albums!$C:$C,0))</f>
        <v>2020</v>
      </c>
      <c r="C383" t="s">
        <v>41</v>
      </c>
      <c r="D383">
        <v>8</v>
      </c>
      <c r="E383" t="s">
        <v>473</v>
      </c>
      <c r="F383" t="s">
        <v>225</v>
      </c>
      <c r="G383" t="s">
        <v>474</v>
      </c>
      <c r="H383" s="8" t="s">
        <v>2</v>
      </c>
      <c r="I383" s="8">
        <v>75</v>
      </c>
      <c r="J383" s="8">
        <v>7105442</v>
      </c>
    </row>
    <row r="384" spans="1:22">
      <c r="A384" s="8">
        <f>INDEX(Albums!$A:$A, MATCH(C384,Albums!$C:$C,0))</f>
        <v>37</v>
      </c>
      <c r="B384">
        <f>INDEX(Albums!$B:$B, MATCH(C384,Albums!$C:$C,0))</f>
        <v>2020</v>
      </c>
      <c r="C384" t="s">
        <v>41</v>
      </c>
      <c r="D384">
        <v>9</v>
      </c>
      <c r="E384" t="s">
        <v>475</v>
      </c>
      <c r="F384" t="s">
        <v>225</v>
      </c>
      <c r="G384" t="s">
        <v>345</v>
      </c>
      <c r="H384" s="8" t="s">
        <v>2</v>
      </c>
      <c r="I384" s="8">
        <v>75</v>
      </c>
      <c r="J384" s="8">
        <v>7107551</v>
      </c>
      <c r="M384" t="s">
        <v>164</v>
      </c>
      <c r="N384" t="s">
        <v>119</v>
      </c>
      <c r="O384" s="2" t="s">
        <v>20</v>
      </c>
      <c r="P384" s="2" t="s">
        <v>20</v>
      </c>
      <c r="Q384" s="3">
        <v>75</v>
      </c>
      <c r="R384" s="3" t="s">
        <v>52</v>
      </c>
      <c r="S384" s="5">
        <v>7107551</v>
      </c>
      <c r="T384" s="3">
        <v>2018</v>
      </c>
      <c r="U384" s="7" t="s">
        <v>120</v>
      </c>
      <c r="V384" s="1" t="str">
        <f>IF(J384=S384,"Yes","")</f>
        <v>Yes</v>
      </c>
    </row>
    <row r="385" spans="1:22">
      <c r="A385" s="8">
        <f>INDEX(Albums!$A:$A, MATCH(C385,Albums!$C:$C,0))</f>
        <v>37</v>
      </c>
      <c r="B385">
        <f>INDEX(Albums!$B:$B, MATCH(C385,Albums!$C:$C,0))</f>
        <v>2020</v>
      </c>
      <c r="C385" t="s">
        <v>41</v>
      </c>
      <c r="D385">
        <v>10</v>
      </c>
      <c r="E385" t="s">
        <v>476</v>
      </c>
      <c r="F385" t="s">
        <v>225</v>
      </c>
      <c r="G385" t="s">
        <v>228</v>
      </c>
      <c r="H385" s="8" t="s">
        <v>4</v>
      </c>
      <c r="I385" s="8">
        <v>102</v>
      </c>
      <c r="J385" s="8">
        <v>7076958</v>
      </c>
    </row>
    <row r="386" spans="1:22">
      <c r="A386" s="8">
        <f>INDEX(Albums!$A:$A, MATCH(C386,Albums!$C:$C,0))</f>
        <v>38</v>
      </c>
      <c r="B386">
        <f>INDEX(Albums!$B:$B, MATCH(C386,Albums!$C:$C,0))</f>
        <v>2020</v>
      </c>
      <c r="C386" t="s">
        <v>42</v>
      </c>
      <c r="D386">
        <v>1</v>
      </c>
      <c r="E386" t="s">
        <v>477</v>
      </c>
      <c r="F386" t="s">
        <v>225</v>
      </c>
      <c r="G386" t="s">
        <v>361</v>
      </c>
      <c r="H386" s="8" t="s">
        <v>2</v>
      </c>
      <c r="I386" s="8">
        <v>67</v>
      </c>
      <c r="J386" s="8">
        <v>7124907</v>
      </c>
      <c r="M386" t="s">
        <v>164</v>
      </c>
      <c r="N386" t="s">
        <v>121</v>
      </c>
      <c r="O386" s="2" t="s">
        <v>2</v>
      </c>
      <c r="P386" s="2" t="s">
        <v>2</v>
      </c>
      <c r="Q386" s="3">
        <v>67</v>
      </c>
      <c r="R386" s="4" t="s">
        <v>52</v>
      </c>
      <c r="S386" s="5">
        <v>7124907</v>
      </c>
      <c r="T386" s="3">
        <v>2018</v>
      </c>
      <c r="U386" s="7" t="s">
        <v>53</v>
      </c>
      <c r="V386" s="1" t="str">
        <f>IF(J386=S386,"Yes","")</f>
        <v>Yes</v>
      </c>
    </row>
    <row r="387" spans="1:22">
      <c r="A387" s="8">
        <f>INDEX(Albums!$A:$A, MATCH(C387,Albums!$C:$C,0))</f>
        <v>38</v>
      </c>
      <c r="B387">
        <f>INDEX(Albums!$B:$B, MATCH(C387,Albums!$C:$C,0))</f>
        <v>2020</v>
      </c>
      <c r="C387" t="s">
        <v>42</v>
      </c>
      <c r="D387">
        <v>2</v>
      </c>
      <c r="E387" t="s">
        <v>478</v>
      </c>
      <c r="F387" t="s">
        <v>225</v>
      </c>
      <c r="G387" t="s">
        <v>479</v>
      </c>
      <c r="H387" s="8" t="s">
        <v>2</v>
      </c>
      <c r="I387" s="8">
        <v>69</v>
      </c>
      <c r="J387" s="8">
        <v>7133375</v>
      </c>
    </row>
    <row r="388" spans="1:22">
      <c r="A388" s="8">
        <f>INDEX(Albums!$A:$A, MATCH(C388,Albums!$C:$C,0))</f>
        <v>38</v>
      </c>
      <c r="B388">
        <f>INDEX(Albums!$B:$B, MATCH(C388,Albums!$C:$C,0))</f>
        <v>2020</v>
      </c>
      <c r="C388" t="s">
        <v>42</v>
      </c>
      <c r="D388">
        <v>3</v>
      </c>
      <c r="E388" t="s">
        <v>480</v>
      </c>
      <c r="F388" t="s">
        <v>225</v>
      </c>
      <c r="G388" t="s">
        <v>376</v>
      </c>
      <c r="H388" s="8" t="s">
        <v>2</v>
      </c>
      <c r="I388" s="8">
        <v>73</v>
      </c>
      <c r="J388" s="8">
        <v>7048885</v>
      </c>
    </row>
    <row r="389" spans="1:22">
      <c r="A389" s="8">
        <f>INDEX(Albums!$A:$A, MATCH(C389,Albums!$C:$C,0))</f>
        <v>38</v>
      </c>
      <c r="B389">
        <f>INDEX(Albums!$B:$B, MATCH(C389,Albums!$C:$C,0))</f>
        <v>2020</v>
      </c>
      <c r="C389" t="s">
        <v>42</v>
      </c>
      <c r="D389">
        <v>4</v>
      </c>
      <c r="E389" t="s">
        <v>481</v>
      </c>
      <c r="F389" t="s">
        <v>225</v>
      </c>
      <c r="G389" t="s">
        <v>395</v>
      </c>
      <c r="H389" s="8" t="s">
        <v>2</v>
      </c>
      <c r="I389" s="8">
        <v>71</v>
      </c>
      <c r="J389" s="8">
        <v>7109453</v>
      </c>
    </row>
    <row r="390" spans="1:22">
      <c r="A390" s="8">
        <f>INDEX(Albums!$A:$A, MATCH(C390,Albums!$C:$C,0))</f>
        <v>38</v>
      </c>
      <c r="B390">
        <f>INDEX(Albums!$B:$B, MATCH(C390,Albums!$C:$C,0))</f>
        <v>2020</v>
      </c>
      <c r="C390" t="s">
        <v>42</v>
      </c>
      <c r="D390">
        <v>5</v>
      </c>
      <c r="E390" t="s">
        <v>482</v>
      </c>
      <c r="F390" t="s">
        <v>225</v>
      </c>
      <c r="G390" t="s">
        <v>463</v>
      </c>
      <c r="H390" s="8" t="s">
        <v>12</v>
      </c>
      <c r="I390" s="8">
        <v>75</v>
      </c>
      <c r="J390" s="8">
        <v>7073332</v>
      </c>
    </row>
    <row r="391" spans="1:22">
      <c r="A391" s="8">
        <f>INDEX(Albums!$A:$A, MATCH(C391,Albums!$C:$C,0))</f>
        <v>38</v>
      </c>
      <c r="B391">
        <f>INDEX(Albums!$B:$B, MATCH(C391,Albums!$C:$C,0))</f>
        <v>2020</v>
      </c>
      <c r="C391" t="s">
        <v>42</v>
      </c>
      <c r="D391">
        <v>6</v>
      </c>
      <c r="E391" t="s">
        <v>483</v>
      </c>
      <c r="F391" t="s">
        <v>225</v>
      </c>
      <c r="G391" t="s">
        <v>463</v>
      </c>
      <c r="H391" s="8" t="s">
        <v>18</v>
      </c>
      <c r="I391" s="8">
        <v>72</v>
      </c>
      <c r="J391" s="8">
        <v>7036096</v>
      </c>
    </row>
    <row r="392" spans="1:22">
      <c r="A392" s="8">
        <f>INDEX(Albums!$A:$A, MATCH(C392,Albums!$C:$C,0))</f>
        <v>38</v>
      </c>
      <c r="B392">
        <f>INDEX(Albums!$B:$B, MATCH(C392,Albums!$C:$C,0))</f>
        <v>2020</v>
      </c>
      <c r="C392" t="s">
        <v>42</v>
      </c>
      <c r="D392">
        <v>7</v>
      </c>
      <c r="E392" t="s">
        <v>484</v>
      </c>
      <c r="F392" t="s">
        <v>225</v>
      </c>
      <c r="G392" t="s">
        <v>485</v>
      </c>
      <c r="H392" s="8" t="s">
        <v>21</v>
      </c>
      <c r="I392" s="8">
        <v>65</v>
      </c>
      <c r="J392" s="8">
        <v>5174122</v>
      </c>
    </row>
    <row r="393" spans="1:22">
      <c r="A393" s="8">
        <f>INDEX(Albums!$A:$A, MATCH(C393,Albums!$C:$C,0))</f>
        <v>38</v>
      </c>
      <c r="B393">
        <f>INDEX(Albums!$B:$B, MATCH(C393,Albums!$C:$C,0))</f>
        <v>2020</v>
      </c>
      <c r="C393" t="s">
        <v>42</v>
      </c>
      <c r="D393">
        <v>8</v>
      </c>
      <c r="E393" t="s">
        <v>486</v>
      </c>
      <c r="F393" t="s">
        <v>225</v>
      </c>
      <c r="G393" t="s">
        <v>487</v>
      </c>
      <c r="H393" s="8" t="s">
        <v>4</v>
      </c>
      <c r="I393" s="8">
        <v>72</v>
      </c>
      <c r="J393" s="8">
        <v>7098243</v>
      </c>
    </row>
    <row r="394" spans="1:22">
      <c r="A394" s="8">
        <f>INDEX(Albums!$A:$A, MATCH(C394,Albums!$C:$C,0))</f>
        <v>38</v>
      </c>
      <c r="B394">
        <f>INDEX(Albums!$B:$B, MATCH(C394,Albums!$C:$C,0))</f>
        <v>2020</v>
      </c>
      <c r="C394" t="s">
        <v>42</v>
      </c>
      <c r="D394">
        <v>9</v>
      </c>
      <c r="E394" t="s">
        <v>488</v>
      </c>
      <c r="F394" t="s">
        <v>225</v>
      </c>
      <c r="G394" t="s">
        <v>370</v>
      </c>
      <c r="H394" s="8" t="s">
        <v>20</v>
      </c>
      <c r="I394" s="8">
        <v>70</v>
      </c>
      <c r="J394" s="8">
        <v>7011451</v>
      </c>
      <c r="V394" s="1" t="str">
        <f>IF(J394=S394,"Yes","")</f>
        <v/>
      </c>
    </row>
    <row r="395" spans="1:22">
      <c r="A395" s="8">
        <f>INDEX(Albums!$A:$A, MATCH(C395,Albums!$C:$C,0))</f>
        <v>38</v>
      </c>
      <c r="B395">
        <f>INDEX(Albums!$B:$B, MATCH(C395,Albums!$C:$C,0))</f>
        <v>2020</v>
      </c>
      <c r="C395" t="s">
        <v>42</v>
      </c>
      <c r="D395">
        <v>10</v>
      </c>
      <c r="E395" t="s">
        <v>489</v>
      </c>
      <c r="F395" t="s">
        <v>225</v>
      </c>
      <c r="G395" t="s">
        <v>490</v>
      </c>
      <c r="H395" s="8" t="s">
        <v>18</v>
      </c>
      <c r="I395" s="8">
        <v>86</v>
      </c>
      <c r="J395" s="8">
        <v>7142008</v>
      </c>
    </row>
    <row r="396" spans="1:22">
      <c r="A396" s="8">
        <f>INDEX(Albums!$A:$A, MATCH(C396,Albums!$C:$C,0))</f>
        <v>39</v>
      </c>
      <c r="B396">
        <f>INDEX(Albums!$B:$B, MATCH(C396,Albums!$C:$C,0))</f>
        <v>2020</v>
      </c>
      <c r="C396" t="s">
        <v>43</v>
      </c>
      <c r="D396">
        <v>1</v>
      </c>
      <c r="E396" t="s">
        <v>491</v>
      </c>
      <c r="F396" t="s">
        <v>225</v>
      </c>
      <c r="G396" t="s">
        <v>490</v>
      </c>
      <c r="H396" s="8" t="s">
        <v>2</v>
      </c>
      <c r="I396" s="8">
        <v>75</v>
      </c>
      <c r="J396" s="8">
        <v>7122996</v>
      </c>
    </row>
    <row r="397" spans="1:22">
      <c r="A397" s="8">
        <f>INDEX(Albums!$A:$A, MATCH(C397,Albums!$C:$C,0))</f>
        <v>39</v>
      </c>
      <c r="B397">
        <f>INDEX(Albums!$B:$B, MATCH(C397,Albums!$C:$C,0))</f>
        <v>2020</v>
      </c>
      <c r="C397" t="s">
        <v>43</v>
      </c>
      <c r="D397">
        <v>2</v>
      </c>
      <c r="E397" t="s">
        <v>492</v>
      </c>
      <c r="F397" t="s">
        <v>225</v>
      </c>
      <c r="G397" t="s">
        <v>226</v>
      </c>
      <c r="H397" s="8" t="s">
        <v>20</v>
      </c>
      <c r="I397" s="8">
        <v>70</v>
      </c>
      <c r="J397" s="8">
        <v>7102399</v>
      </c>
    </row>
    <row r="398" spans="1:22">
      <c r="A398" s="8">
        <f>INDEX(Albums!$A:$A, MATCH(C398,Albums!$C:$C,0))</f>
        <v>39</v>
      </c>
      <c r="B398">
        <f>INDEX(Albums!$B:$B, MATCH(C398,Albums!$C:$C,0))</f>
        <v>2020</v>
      </c>
      <c r="C398" t="s">
        <v>43</v>
      </c>
      <c r="D398">
        <v>3</v>
      </c>
      <c r="E398" t="s">
        <v>493</v>
      </c>
      <c r="F398" t="s">
        <v>225</v>
      </c>
      <c r="G398" t="s">
        <v>494</v>
      </c>
      <c r="H398" s="8" t="s">
        <v>2</v>
      </c>
      <c r="I398" s="8">
        <v>91</v>
      </c>
      <c r="J398" s="8">
        <v>7127096</v>
      </c>
    </row>
    <row r="399" spans="1:22">
      <c r="A399" s="8">
        <f>INDEX(Albums!$A:$A, MATCH(C399,Albums!$C:$C,0))</f>
        <v>39</v>
      </c>
      <c r="B399">
        <f>INDEX(Albums!$B:$B, MATCH(C399,Albums!$C:$C,0))</f>
        <v>2020</v>
      </c>
      <c r="C399" t="s">
        <v>43</v>
      </c>
      <c r="D399">
        <v>4</v>
      </c>
      <c r="E399" t="s">
        <v>495</v>
      </c>
      <c r="F399" t="s">
        <v>225</v>
      </c>
      <c r="G399" t="s">
        <v>496</v>
      </c>
      <c r="H399" s="8" t="s">
        <v>2</v>
      </c>
      <c r="I399" s="8">
        <v>98</v>
      </c>
      <c r="J399" s="8">
        <v>7110696</v>
      </c>
    </row>
    <row r="400" spans="1:22">
      <c r="A400" s="8">
        <f>INDEX(Albums!$A:$A, MATCH(C400,Albums!$C:$C,0))</f>
        <v>39</v>
      </c>
      <c r="B400">
        <f>INDEX(Albums!$B:$B, MATCH(C400,Albums!$C:$C,0))</f>
        <v>2020</v>
      </c>
      <c r="C400" t="s">
        <v>43</v>
      </c>
      <c r="D400">
        <v>5</v>
      </c>
      <c r="E400" t="s">
        <v>497</v>
      </c>
      <c r="F400" t="s">
        <v>225</v>
      </c>
      <c r="G400" t="s">
        <v>490</v>
      </c>
      <c r="H400" s="8" t="s">
        <v>0</v>
      </c>
      <c r="I400" s="8">
        <v>65</v>
      </c>
      <c r="J400" s="8">
        <v>6517269</v>
      </c>
    </row>
    <row r="401" spans="1:22">
      <c r="A401" s="8">
        <f>INDEX(Albums!$A:$A, MATCH(C401,Albums!$C:$C,0))</f>
        <v>39</v>
      </c>
      <c r="B401">
        <f>INDEX(Albums!$B:$B, MATCH(C401,Albums!$C:$C,0))</f>
        <v>2020</v>
      </c>
      <c r="C401" t="s">
        <v>43</v>
      </c>
      <c r="D401">
        <v>6</v>
      </c>
      <c r="E401" t="s">
        <v>498</v>
      </c>
      <c r="F401" t="s">
        <v>225</v>
      </c>
      <c r="G401" t="s">
        <v>499</v>
      </c>
      <c r="H401" s="8" t="s">
        <v>22</v>
      </c>
      <c r="I401" s="8">
        <v>71</v>
      </c>
      <c r="J401" s="8">
        <v>7147502</v>
      </c>
    </row>
    <row r="402" spans="1:22">
      <c r="A402" s="8">
        <f>INDEX(Albums!$A:$A, MATCH(C402,Albums!$C:$C,0))</f>
        <v>39</v>
      </c>
      <c r="B402">
        <f>INDEX(Albums!$B:$B, MATCH(C402,Albums!$C:$C,0))</f>
        <v>2020</v>
      </c>
      <c r="C402" t="s">
        <v>43</v>
      </c>
      <c r="D402">
        <v>7</v>
      </c>
      <c r="E402" t="s">
        <v>500</v>
      </c>
      <c r="F402" t="s">
        <v>225</v>
      </c>
      <c r="G402" t="s">
        <v>279</v>
      </c>
      <c r="H402" s="8" t="s">
        <v>4</v>
      </c>
      <c r="I402" s="8">
        <v>74</v>
      </c>
      <c r="J402" s="8">
        <v>7054548</v>
      </c>
    </row>
    <row r="403" spans="1:22">
      <c r="A403" s="8">
        <f>INDEX(Albums!$A:$A, MATCH(C403,Albums!$C:$C,0))</f>
        <v>39</v>
      </c>
      <c r="B403">
        <f>INDEX(Albums!$B:$B, MATCH(C403,Albums!$C:$C,0))</f>
        <v>2020</v>
      </c>
      <c r="C403" t="s">
        <v>43</v>
      </c>
      <c r="D403">
        <v>8</v>
      </c>
      <c r="E403" t="s">
        <v>410</v>
      </c>
      <c r="F403" t="s">
        <v>501</v>
      </c>
      <c r="G403" t="s">
        <v>502</v>
      </c>
      <c r="H403" s="8" t="s">
        <v>2</v>
      </c>
      <c r="I403" s="8">
        <v>74</v>
      </c>
      <c r="J403" s="8">
        <v>5638022</v>
      </c>
      <c r="M403" t="s">
        <v>164</v>
      </c>
      <c r="N403" t="s">
        <v>122</v>
      </c>
      <c r="O403" s="2" t="s">
        <v>4</v>
      </c>
      <c r="P403" s="2" t="s">
        <v>4</v>
      </c>
      <c r="Q403" s="3">
        <v>120</v>
      </c>
      <c r="R403" s="4" t="s">
        <v>52</v>
      </c>
      <c r="S403" s="5">
        <v>5638022</v>
      </c>
      <c r="T403" s="3">
        <v>2009</v>
      </c>
      <c r="U403" s="7" t="s">
        <v>123</v>
      </c>
      <c r="V403" s="1" t="str">
        <f>IF(J403=S403,"Yes","")</f>
        <v>Yes</v>
      </c>
    </row>
    <row r="404" spans="1:22">
      <c r="A404" s="8">
        <f>INDEX(Albums!$A:$A, MATCH(C404,Albums!$C:$C,0))</f>
        <v>39</v>
      </c>
      <c r="B404">
        <f>INDEX(Albums!$B:$B, MATCH(C404,Albums!$C:$C,0))</f>
        <v>2020</v>
      </c>
      <c r="C404" t="s">
        <v>43</v>
      </c>
      <c r="D404">
        <v>9</v>
      </c>
      <c r="E404" t="s">
        <v>503</v>
      </c>
      <c r="F404" t="s">
        <v>225</v>
      </c>
      <c r="G404" t="s">
        <v>370</v>
      </c>
      <c r="H404" s="8" t="s">
        <v>2</v>
      </c>
      <c r="I404" s="8">
        <v>80</v>
      </c>
      <c r="J404" s="8">
        <v>7067561</v>
      </c>
    </row>
    <row r="405" spans="1:22">
      <c r="A405" s="8">
        <f>INDEX(Albums!$A:$A, MATCH(C405,Albums!$C:$C,0))</f>
        <v>39</v>
      </c>
      <c r="B405">
        <f>INDEX(Albums!$B:$B, MATCH(C405,Albums!$C:$C,0))</f>
        <v>2020</v>
      </c>
      <c r="C405" t="s">
        <v>43</v>
      </c>
      <c r="D405">
        <v>10</v>
      </c>
      <c r="E405" t="s">
        <v>337</v>
      </c>
      <c r="F405" t="s">
        <v>225</v>
      </c>
      <c r="G405" t="s">
        <v>228</v>
      </c>
      <c r="H405" s="8" t="s">
        <v>4</v>
      </c>
      <c r="I405" s="8">
        <v>70</v>
      </c>
      <c r="J405" s="8">
        <v>7107548</v>
      </c>
    </row>
    <row r="406" spans="1:22">
      <c r="A406" s="8">
        <f>INDEX(Albums!$A:$A, MATCH(C406,Albums!$C:$C,0))</f>
        <v>40</v>
      </c>
      <c r="B406">
        <f>INDEX(Albums!$B:$B, MATCH(C406,Albums!$C:$C,0))</f>
        <v>2020</v>
      </c>
      <c r="C406" t="s">
        <v>44</v>
      </c>
      <c r="D406">
        <v>1</v>
      </c>
      <c r="E406" t="s">
        <v>504</v>
      </c>
      <c r="F406" t="s">
        <v>225</v>
      </c>
      <c r="G406" t="s">
        <v>505</v>
      </c>
      <c r="H406" s="8" t="s">
        <v>2</v>
      </c>
      <c r="I406" s="8">
        <v>76</v>
      </c>
      <c r="J406" s="8" t="s">
        <v>48</v>
      </c>
    </row>
    <row r="407" spans="1:22">
      <c r="A407" s="8">
        <f>INDEX(Albums!$A:$A, MATCH(C407,Albums!$C:$C,0))</f>
        <v>40</v>
      </c>
      <c r="B407">
        <f>INDEX(Albums!$B:$B, MATCH(C407,Albums!$C:$C,0))</f>
        <v>2020</v>
      </c>
      <c r="C407" t="s">
        <v>44</v>
      </c>
      <c r="D407">
        <v>2</v>
      </c>
      <c r="E407" t="s">
        <v>506</v>
      </c>
      <c r="F407" t="s">
        <v>225</v>
      </c>
      <c r="G407" t="s">
        <v>228</v>
      </c>
      <c r="H407" s="8" t="s">
        <v>2</v>
      </c>
      <c r="I407" s="8">
        <v>73.5</v>
      </c>
      <c r="J407" s="8">
        <v>7059306</v>
      </c>
    </row>
    <row r="408" spans="1:22">
      <c r="A408" s="8">
        <f>INDEX(Albums!$A:$A, MATCH(C408,Albums!$C:$C,0))</f>
        <v>40</v>
      </c>
      <c r="B408">
        <f>INDEX(Albums!$B:$B, MATCH(C408,Albums!$C:$C,0))</f>
        <v>2020</v>
      </c>
      <c r="C408" t="s">
        <v>44</v>
      </c>
      <c r="D408">
        <v>3</v>
      </c>
      <c r="E408" t="s">
        <v>507</v>
      </c>
      <c r="F408" t="s">
        <v>225</v>
      </c>
      <c r="G408" t="s">
        <v>370</v>
      </c>
      <c r="H408" s="8" t="s">
        <v>4</v>
      </c>
      <c r="I408" s="8">
        <v>70</v>
      </c>
      <c r="J408" s="8">
        <v>7138219</v>
      </c>
    </row>
    <row r="409" spans="1:22">
      <c r="A409" s="8">
        <f>INDEX(Albums!$A:$A, MATCH(C409,Albums!$C:$C,0))</f>
        <v>40</v>
      </c>
      <c r="B409">
        <f>INDEX(Albums!$B:$B, MATCH(C409,Albums!$C:$C,0))</f>
        <v>2020</v>
      </c>
      <c r="C409" t="s">
        <v>44</v>
      </c>
      <c r="D409">
        <v>4</v>
      </c>
      <c r="E409" t="s">
        <v>508</v>
      </c>
      <c r="F409" t="s">
        <v>225</v>
      </c>
      <c r="G409" t="s">
        <v>29</v>
      </c>
      <c r="H409" s="8" t="s">
        <v>18</v>
      </c>
      <c r="I409" s="8">
        <v>70</v>
      </c>
      <c r="J409" s="8">
        <v>27714</v>
      </c>
    </row>
    <row r="410" spans="1:22">
      <c r="A410" s="8">
        <f>INDEX(Albums!$A:$A, MATCH(C410,Albums!$C:$C,0))</f>
        <v>40</v>
      </c>
      <c r="B410">
        <f>INDEX(Albums!$B:$B, MATCH(C410,Albums!$C:$C,0))</f>
        <v>2020</v>
      </c>
      <c r="C410" t="s">
        <v>44</v>
      </c>
      <c r="D410">
        <v>5</v>
      </c>
      <c r="E410" t="s">
        <v>509</v>
      </c>
      <c r="F410" t="s">
        <v>225</v>
      </c>
      <c r="G410" t="s">
        <v>510</v>
      </c>
      <c r="H410" s="8" t="s">
        <v>2</v>
      </c>
      <c r="I410" s="8">
        <v>70</v>
      </c>
      <c r="J410" s="8">
        <v>3469389</v>
      </c>
    </row>
    <row r="411" spans="1:22">
      <c r="A411" s="8">
        <f>INDEX(Albums!$A:$A, MATCH(C411,Albums!$C:$C,0))</f>
        <v>40</v>
      </c>
      <c r="B411">
        <f>INDEX(Albums!$B:$B, MATCH(C411,Albums!$C:$C,0))</f>
        <v>2020</v>
      </c>
      <c r="C411" t="s">
        <v>44</v>
      </c>
      <c r="D411">
        <v>6</v>
      </c>
      <c r="E411" t="s">
        <v>511</v>
      </c>
      <c r="F411" t="s">
        <v>225</v>
      </c>
      <c r="G411" t="s">
        <v>512</v>
      </c>
      <c r="H411" s="8" t="s">
        <v>4</v>
      </c>
      <c r="I411" s="8">
        <v>72</v>
      </c>
      <c r="J411" s="8">
        <v>7054172</v>
      </c>
    </row>
    <row r="412" spans="1:22">
      <c r="A412" s="8">
        <f>INDEX(Albums!$A:$A, MATCH(C412,Albums!$C:$C,0))</f>
        <v>40</v>
      </c>
      <c r="B412">
        <f>INDEX(Albums!$B:$B, MATCH(C412,Albums!$C:$C,0))</f>
        <v>2020</v>
      </c>
      <c r="C412" t="s">
        <v>44</v>
      </c>
      <c r="D412">
        <v>7</v>
      </c>
      <c r="E412" t="s">
        <v>513</v>
      </c>
      <c r="F412" t="s">
        <v>225</v>
      </c>
      <c r="G412" t="s">
        <v>62</v>
      </c>
      <c r="H412" s="8" t="s">
        <v>4</v>
      </c>
      <c r="I412" s="8">
        <v>74</v>
      </c>
      <c r="J412" s="8">
        <v>7138939</v>
      </c>
    </row>
    <row r="413" spans="1:22">
      <c r="A413" s="8">
        <f>INDEX(Albums!$A:$A, MATCH(C413,Albums!$C:$C,0))</f>
        <v>40</v>
      </c>
      <c r="B413">
        <f>INDEX(Albums!$B:$B, MATCH(C413,Albums!$C:$C,0))</f>
        <v>2020</v>
      </c>
      <c r="C413" t="s">
        <v>44</v>
      </c>
      <c r="D413">
        <v>8</v>
      </c>
      <c r="E413" t="s">
        <v>514</v>
      </c>
      <c r="F413" t="s">
        <v>515</v>
      </c>
      <c r="G413" t="s">
        <v>29</v>
      </c>
      <c r="H413" s="8" t="s">
        <v>2</v>
      </c>
      <c r="I413" s="8">
        <v>73.5</v>
      </c>
      <c r="J413" s="8">
        <v>23189</v>
      </c>
    </row>
    <row r="414" spans="1:22">
      <c r="A414" s="8">
        <f>INDEX(Albums!$A:$A, MATCH(C414,Albums!$C:$C,0))</f>
        <v>40</v>
      </c>
      <c r="B414">
        <f>INDEX(Albums!$B:$B, MATCH(C414,Albums!$C:$C,0))</f>
        <v>2020</v>
      </c>
      <c r="C414" t="s">
        <v>44</v>
      </c>
      <c r="D414">
        <v>9</v>
      </c>
      <c r="E414" t="s">
        <v>516</v>
      </c>
      <c r="F414" t="s">
        <v>225</v>
      </c>
      <c r="G414" t="s">
        <v>490</v>
      </c>
      <c r="H414" s="8" t="s">
        <v>22</v>
      </c>
      <c r="I414" s="8">
        <v>105</v>
      </c>
      <c r="J414" s="8">
        <v>7141227</v>
      </c>
    </row>
    <row r="415" spans="1:22">
      <c r="A415" s="8">
        <f>INDEX(Albums!$A:$A, MATCH(C415,Albums!$C:$C,0))</f>
        <v>40</v>
      </c>
      <c r="B415">
        <f>INDEX(Albums!$B:$B, MATCH(C415,Albums!$C:$C,0))</f>
        <v>2020</v>
      </c>
      <c r="C415" t="s">
        <v>44</v>
      </c>
      <c r="D415">
        <v>10</v>
      </c>
      <c r="E415" t="s">
        <v>517</v>
      </c>
      <c r="F415" t="s">
        <v>225</v>
      </c>
      <c r="G415" t="s">
        <v>518</v>
      </c>
      <c r="H415" s="8" t="s">
        <v>15</v>
      </c>
      <c r="I415" s="8">
        <v>70</v>
      </c>
      <c r="J415" s="8">
        <v>7147007</v>
      </c>
    </row>
    <row r="416" spans="1:22">
      <c r="A416" s="8">
        <f>INDEX(Albums!$A:$A, MATCH(C416,Albums!$C:$C,0))</f>
        <v>41</v>
      </c>
      <c r="B416">
        <f>INDEX(Albums!$B:$B, MATCH(C416,Albums!$C:$C,0))</f>
        <v>2020</v>
      </c>
      <c r="C416" t="s">
        <v>45</v>
      </c>
      <c r="D416">
        <v>1</v>
      </c>
      <c r="E416" t="s">
        <v>519</v>
      </c>
      <c r="F416" t="s">
        <v>225</v>
      </c>
      <c r="G416" t="s">
        <v>29</v>
      </c>
      <c r="H416" s="8" t="s">
        <v>18</v>
      </c>
      <c r="I416" s="8">
        <v>72</v>
      </c>
      <c r="J416" s="8">
        <v>4582588</v>
      </c>
    </row>
    <row r="417" spans="1:12">
      <c r="A417" s="8">
        <f>INDEX(Albums!$A:$A, MATCH(C417,Albums!$C:$C,0))</f>
        <v>41</v>
      </c>
      <c r="B417">
        <f>INDEX(Albums!$B:$B, MATCH(C417,Albums!$C:$C,0))</f>
        <v>2020</v>
      </c>
      <c r="C417" t="s">
        <v>45</v>
      </c>
      <c r="D417">
        <v>2</v>
      </c>
      <c r="E417" t="s">
        <v>520</v>
      </c>
      <c r="F417" t="s">
        <v>225</v>
      </c>
      <c r="G417" t="s">
        <v>521</v>
      </c>
      <c r="H417" s="8" t="s">
        <v>18</v>
      </c>
      <c r="I417" s="8">
        <v>62</v>
      </c>
      <c r="J417" s="8">
        <v>7146673</v>
      </c>
    </row>
    <row r="418" spans="1:12">
      <c r="A418" s="8">
        <f>INDEX(Albums!$A:$A, MATCH(C418,Albums!$C:$C,0))</f>
        <v>41</v>
      </c>
      <c r="B418">
        <f>INDEX(Albums!$B:$B, MATCH(C418,Albums!$C:$C,0))</f>
        <v>2020</v>
      </c>
      <c r="C418" t="s">
        <v>45</v>
      </c>
      <c r="D418">
        <v>3</v>
      </c>
      <c r="E418" t="s">
        <v>522</v>
      </c>
      <c r="F418" t="s">
        <v>225</v>
      </c>
      <c r="G418" t="s">
        <v>523</v>
      </c>
      <c r="H418" s="8" t="s">
        <v>18</v>
      </c>
      <c r="I418" s="8">
        <v>86</v>
      </c>
      <c r="J418" s="8">
        <v>7149439</v>
      </c>
    </row>
    <row r="419" spans="1:12">
      <c r="A419" s="8">
        <f>INDEX(Albums!$A:$A, MATCH(C419,Albums!$C:$C,0))</f>
        <v>41</v>
      </c>
      <c r="B419">
        <f>INDEX(Albums!$B:$B, MATCH(C419,Albums!$C:$C,0))</f>
        <v>2020</v>
      </c>
      <c r="C419" t="s">
        <v>45</v>
      </c>
      <c r="D419">
        <v>4</v>
      </c>
      <c r="E419" t="s">
        <v>524</v>
      </c>
      <c r="F419" t="s">
        <v>225</v>
      </c>
      <c r="G419" t="s">
        <v>525</v>
      </c>
      <c r="H419" s="8" t="s">
        <v>4</v>
      </c>
      <c r="I419" s="8">
        <v>58</v>
      </c>
      <c r="J419" s="8">
        <v>7079706</v>
      </c>
    </row>
    <row r="420" spans="1:12">
      <c r="A420" s="8">
        <f>INDEX(Albums!$A:$A, MATCH(C420,Albums!$C:$C,0))</f>
        <v>41</v>
      </c>
      <c r="B420">
        <f>INDEX(Albums!$B:$B, MATCH(C420,Albums!$C:$C,0))</f>
        <v>2020</v>
      </c>
      <c r="C420" t="s">
        <v>45</v>
      </c>
      <c r="D420">
        <v>5</v>
      </c>
      <c r="E420" t="s">
        <v>526</v>
      </c>
      <c r="F420" t="s">
        <v>225</v>
      </c>
      <c r="G420" t="s">
        <v>527</v>
      </c>
      <c r="H420" s="8" t="s">
        <v>7</v>
      </c>
      <c r="I420" s="8">
        <v>66.5</v>
      </c>
      <c r="J420" s="8">
        <v>7130622</v>
      </c>
    </row>
    <row r="421" spans="1:12">
      <c r="A421" s="8">
        <f>INDEX(Albums!$A:$A, MATCH(C421,Albums!$C:$C,0))</f>
        <v>41</v>
      </c>
      <c r="B421">
        <f>INDEX(Albums!$B:$B, MATCH(C421,Albums!$C:$C,0))</f>
        <v>2020</v>
      </c>
      <c r="C421" t="s">
        <v>45</v>
      </c>
      <c r="D421">
        <v>6</v>
      </c>
      <c r="E421" t="s">
        <v>528</v>
      </c>
      <c r="F421" t="s">
        <v>225</v>
      </c>
      <c r="G421" t="s">
        <v>228</v>
      </c>
      <c r="H421" s="8" t="s">
        <v>15</v>
      </c>
      <c r="I421" s="8">
        <v>84</v>
      </c>
      <c r="J421" s="8">
        <v>5942543</v>
      </c>
    </row>
    <row r="422" spans="1:12">
      <c r="A422" s="8">
        <f>INDEX(Albums!$A:$A, MATCH(C422,Albums!$C:$C,0))</f>
        <v>41</v>
      </c>
      <c r="B422">
        <f>INDEX(Albums!$B:$B, MATCH(C422,Albums!$C:$C,0))</f>
        <v>2020</v>
      </c>
      <c r="C422" t="s">
        <v>45</v>
      </c>
      <c r="D422">
        <v>7</v>
      </c>
      <c r="E422" t="s">
        <v>529</v>
      </c>
      <c r="F422" t="s">
        <v>225</v>
      </c>
      <c r="G422" t="s">
        <v>523</v>
      </c>
      <c r="H422" s="8" t="s">
        <v>0</v>
      </c>
      <c r="I422" s="8">
        <v>76</v>
      </c>
      <c r="J422" s="8">
        <v>7126793</v>
      </c>
    </row>
    <row r="423" spans="1:12">
      <c r="A423" s="8">
        <f>INDEX(Albums!$A:$A, MATCH(C423,Albums!$C:$C,0))</f>
        <v>41</v>
      </c>
      <c r="B423">
        <f>INDEX(Albums!$B:$B, MATCH(C423,Albums!$C:$C,0))</f>
        <v>2020</v>
      </c>
      <c r="C423" t="s">
        <v>45</v>
      </c>
      <c r="D423">
        <v>8</v>
      </c>
      <c r="E423" t="s">
        <v>530</v>
      </c>
      <c r="F423" t="s">
        <v>225</v>
      </c>
      <c r="G423" t="s">
        <v>523</v>
      </c>
      <c r="H423" s="8" t="s">
        <v>12</v>
      </c>
      <c r="I423" s="8">
        <v>70.5</v>
      </c>
      <c r="J423" s="8">
        <v>7153516</v>
      </c>
    </row>
    <row r="424" spans="1:12">
      <c r="A424" s="8">
        <f>INDEX(Albums!$A:$A, MATCH(C424,Albums!$C:$C,0))</f>
        <v>41</v>
      </c>
      <c r="B424">
        <f>INDEX(Albums!$B:$B, MATCH(C424,Albums!$C:$C,0))</f>
        <v>2020</v>
      </c>
      <c r="C424" t="s">
        <v>45</v>
      </c>
      <c r="D424">
        <v>9</v>
      </c>
      <c r="E424" t="s">
        <v>531</v>
      </c>
      <c r="F424" t="s">
        <v>225</v>
      </c>
      <c r="G424" t="s">
        <v>532</v>
      </c>
      <c r="H424" s="8" t="s">
        <v>2</v>
      </c>
      <c r="I424" s="8">
        <v>79</v>
      </c>
      <c r="J424" s="8">
        <v>6472799</v>
      </c>
    </row>
    <row r="425" spans="1:12">
      <c r="A425" s="8">
        <f>INDEX(Albums!$A:$A, MATCH(C425,Albums!$C:$C,0))</f>
        <v>41</v>
      </c>
      <c r="B425">
        <f>INDEX(Albums!$B:$B, MATCH(C425,Albums!$C:$C,0))</f>
        <v>2020</v>
      </c>
      <c r="C425" t="s">
        <v>45</v>
      </c>
      <c r="D425">
        <v>10</v>
      </c>
      <c r="E425" t="s">
        <v>533</v>
      </c>
      <c r="F425" t="s">
        <v>225</v>
      </c>
      <c r="G425" t="s">
        <v>400</v>
      </c>
      <c r="H425" s="8" t="s">
        <v>0</v>
      </c>
      <c r="I425" s="8">
        <v>70</v>
      </c>
      <c r="J425" s="8">
        <v>7068421</v>
      </c>
    </row>
    <row r="426" spans="1:12">
      <c r="A426" s="8">
        <f>INDEX(Albums!$A:$A, MATCH(C426,Albums!$C:$C,0))</f>
        <v>41</v>
      </c>
      <c r="B426">
        <f>INDEX(Albums!$B:$B, MATCH(C426,Albums!$C:$C,0))</f>
        <v>2020</v>
      </c>
      <c r="C426" t="s">
        <v>45</v>
      </c>
      <c r="D426">
        <v>11</v>
      </c>
      <c r="E426" t="s">
        <v>534</v>
      </c>
      <c r="F426" t="s">
        <v>225</v>
      </c>
      <c r="G426" t="s">
        <v>521</v>
      </c>
      <c r="H426" s="8" t="s">
        <v>20</v>
      </c>
      <c r="I426" s="8">
        <v>68</v>
      </c>
      <c r="J426" s="8">
        <v>7151239</v>
      </c>
    </row>
    <row r="427" spans="1:12">
      <c r="A427" s="8">
        <f>INDEX(Albums!$A:$A, MATCH(C427,Albums!$C:$C,0))</f>
        <v>42</v>
      </c>
      <c r="B427">
        <f>INDEX(Albums!$B:$B, MATCH(C427,Albums!$C:$C,0))</f>
        <v>2021</v>
      </c>
      <c r="C427" t="s">
        <v>46</v>
      </c>
      <c r="D427">
        <v>1</v>
      </c>
      <c r="E427" t="s">
        <v>165</v>
      </c>
      <c r="F427" t="s">
        <v>225</v>
      </c>
      <c r="G427" t="s">
        <v>393</v>
      </c>
      <c r="H427" t="s">
        <v>2</v>
      </c>
      <c r="I427">
        <v>71</v>
      </c>
      <c r="J427" s="8">
        <v>7025708</v>
      </c>
      <c r="L427" s="28"/>
    </row>
    <row r="428" spans="1:12">
      <c r="A428" s="8">
        <f>INDEX(Albums!$A:$A, MATCH(C428,Albums!$C:$C,0))</f>
        <v>42</v>
      </c>
      <c r="B428">
        <f>INDEX(Albums!$B:$B, MATCH(C428,Albums!$C:$C,0))</f>
        <v>2021</v>
      </c>
      <c r="C428" t="s">
        <v>46</v>
      </c>
      <c r="D428">
        <v>2</v>
      </c>
      <c r="E428" t="s">
        <v>535</v>
      </c>
      <c r="F428" t="s">
        <v>225</v>
      </c>
      <c r="G428" t="s">
        <v>536</v>
      </c>
      <c r="H428" s="8" t="s">
        <v>12</v>
      </c>
      <c r="I428" s="8">
        <v>68.5</v>
      </c>
      <c r="J428" s="8">
        <v>7133494</v>
      </c>
      <c r="L428" s="28"/>
    </row>
    <row r="429" spans="1:12">
      <c r="A429" s="8">
        <f>INDEX(Albums!$A:$A, MATCH(C429,Albums!$C:$C,0))</f>
        <v>42</v>
      </c>
      <c r="B429">
        <f>INDEX(Albums!$B:$B, MATCH(C429,Albums!$C:$C,0))</f>
        <v>2021</v>
      </c>
      <c r="C429" t="s">
        <v>46</v>
      </c>
      <c r="D429">
        <v>3</v>
      </c>
      <c r="E429" t="s">
        <v>537</v>
      </c>
      <c r="F429" t="s">
        <v>225</v>
      </c>
      <c r="G429" t="s">
        <v>538</v>
      </c>
      <c r="H429" s="8" t="s">
        <v>20</v>
      </c>
      <c r="I429" s="8">
        <v>77</v>
      </c>
      <c r="J429" s="8">
        <v>7125876</v>
      </c>
      <c r="L429" s="28"/>
    </row>
    <row r="430" spans="1:12">
      <c r="A430" s="8">
        <f>INDEX(Albums!$A:$A, MATCH(C430,Albums!$C:$C,0))</f>
        <v>42</v>
      </c>
      <c r="B430">
        <f>INDEX(Albums!$B:$B, MATCH(C430,Albums!$C:$C,0))</f>
        <v>2021</v>
      </c>
      <c r="C430" t="s">
        <v>46</v>
      </c>
      <c r="D430">
        <v>4</v>
      </c>
      <c r="E430" t="s">
        <v>166</v>
      </c>
      <c r="F430" t="s">
        <v>225</v>
      </c>
      <c r="G430" t="s">
        <v>472</v>
      </c>
      <c r="H430" t="s">
        <v>18</v>
      </c>
      <c r="I430">
        <v>78</v>
      </c>
      <c r="J430" s="8">
        <v>7108556</v>
      </c>
      <c r="L430" s="28"/>
    </row>
    <row r="431" spans="1:12">
      <c r="A431" s="8">
        <f>INDEX(Albums!$A:$A, MATCH(C431,Albums!$C:$C,0))</f>
        <v>42</v>
      </c>
      <c r="B431">
        <f>INDEX(Albums!$B:$B, MATCH(C431,Albums!$C:$C,0))</f>
        <v>2021</v>
      </c>
      <c r="C431" t="s">
        <v>46</v>
      </c>
      <c r="D431">
        <v>5</v>
      </c>
      <c r="E431" t="s">
        <v>539</v>
      </c>
      <c r="F431" t="s">
        <v>225</v>
      </c>
      <c r="G431" t="s">
        <v>540</v>
      </c>
      <c r="H431" s="8" t="s">
        <v>18</v>
      </c>
      <c r="I431" s="8">
        <v>68</v>
      </c>
      <c r="J431" s="8">
        <v>7108656</v>
      </c>
      <c r="L431" s="28"/>
    </row>
    <row r="432" spans="1:12">
      <c r="A432" s="8">
        <f>INDEX(Albums!$A:$A, MATCH(C432,Albums!$C:$C,0))</f>
        <v>42</v>
      </c>
      <c r="B432">
        <f>INDEX(Albums!$B:$B, MATCH(C432,Albums!$C:$C,0))</f>
        <v>2021</v>
      </c>
      <c r="C432" t="s">
        <v>46</v>
      </c>
      <c r="D432">
        <v>6</v>
      </c>
      <c r="E432" t="s">
        <v>541</v>
      </c>
      <c r="F432" t="s">
        <v>225</v>
      </c>
      <c r="G432" t="s">
        <v>542</v>
      </c>
      <c r="H432" s="8" t="s">
        <v>12</v>
      </c>
      <c r="I432" s="8">
        <v>69</v>
      </c>
      <c r="J432" s="8">
        <v>19007</v>
      </c>
      <c r="L432" s="28"/>
    </row>
    <row r="433" spans="1:12">
      <c r="A433" s="8">
        <f>INDEX(Albums!$A:$A, MATCH(C433,Albums!$C:$C,0))</f>
        <v>42</v>
      </c>
      <c r="B433">
        <f>INDEX(Albums!$B:$B, MATCH(C433,Albums!$C:$C,0))</f>
        <v>2021</v>
      </c>
      <c r="C433" t="s">
        <v>46</v>
      </c>
      <c r="D433">
        <v>7</v>
      </c>
      <c r="E433" t="s">
        <v>167</v>
      </c>
      <c r="F433" t="s">
        <v>225</v>
      </c>
      <c r="G433" t="s">
        <v>763</v>
      </c>
      <c r="H433" t="s">
        <v>2</v>
      </c>
      <c r="I433">
        <v>72</v>
      </c>
      <c r="J433" s="8">
        <v>7143863</v>
      </c>
      <c r="L433" s="28"/>
    </row>
    <row r="434" spans="1:12">
      <c r="A434" s="8">
        <f>INDEX(Albums!$A:$A, MATCH(C434,Albums!$C:$C,0))</f>
        <v>42</v>
      </c>
      <c r="B434">
        <f>INDEX(Albums!$B:$B, MATCH(C434,Albums!$C:$C,0))</f>
        <v>2021</v>
      </c>
      <c r="C434" t="s">
        <v>46</v>
      </c>
      <c r="D434">
        <v>8</v>
      </c>
      <c r="E434" t="s">
        <v>762</v>
      </c>
      <c r="F434" t="s">
        <v>225</v>
      </c>
      <c r="G434" t="s">
        <v>765</v>
      </c>
      <c r="H434" t="s">
        <v>20</v>
      </c>
      <c r="I434">
        <v>77</v>
      </c>
      <c r="J434" s="8">
        <v>7149237</v>
      </c>
      <c r="L434" s="28"/>
    </row>
    <row r="435" spans="1:12">
      <c r="A435" s="8">
        <f>INDEX(Albums!$A:$A, MATCH(C435,Albums!$C:$C,0))</f>
        <v>42</v>
      </c>
      <c r="B435">
        <f>INDEX(Albums!$B:$B, MATCH(C435,Albums!$C:$C,0))</f>
        <v>2021</v>
      </c>
      <c r="C435" t="s">
        <v>46</v>
      </c>
      <c r="D435">
        <v>9</v>
      </c>
      <c r="E435" t="s">
        <v>168</v>
      </c>
      <c r="F435" t="s">
        <v>225</v>
      </c>
      <c r="G435" t="s">
        <v>764</v>
      </c>
      <c r="H435" t="s">
        <v>12</v>
      </c>
      <c r="I435">
        <v>61</v>
      </c>
      <c r="J435" s="8">
        <v>7122057</v>
      </c>
      <c r="L435" s="28"/>
    </row>
    <row r="436" spans="1:12">
      <c r="A436" s="8">
        <f>INDEX(Albums!$A:$A, MATCH(C436,Albums!$C:$C,0))</f>
        <v>42</v>
      </c>
      <c r="B436">
        <f>INDEX(Albums!$B:$B, MATCH(C436,Albums!$C:$C,0))</f>
        <v>2021</v>
      </c>
      <c r="C436" t="s">
        <v>46</v>
      </c>
      <c r="D436">
        <v>10</v>
      </c>
      <c r="E436" t="s">
        <v>169</v>
      </c>
      <c r="F436" t="s">
        <v>225</v>
      </c>
      <c r="G436" t="s">
        <v>540</v>
      </c>
      <c r="H436" t="s">
        <v>22</v>
      </c>
      <c r="I436">
        <v>59</v>
      </c>
      <c r="J436" s="8">
        <v>7087303</v>
      </c>
      <c r="L436" s="28"/>
    </row>
    <row r="437" spans="1:12">
      <c r="A437" s="8">
        <f>INDEX(Albums!$A:$A, MATCH(C437,Albums!$C:$C,0))</f>
        <v>43</v>
      </c>
      <c r="B437">
        <f>INDEX(Albums!$B:$B, MATCH(C437,Albums!$C:$C,0))</f>
        <v>2100</v>
      </c>
      <c r="C437" t="s">
        <v>182</v>
      </c>
      <c r="D437">
        <v>1</v>
      </c>
      <c r="E437" t="s">
        <v>601</v>
      </c>
      <c r="F437" t="s">
        <v>225</v>
      </c>
      <c r="G437" t="s">
        <v>228</v>
      </c>
      <c r="H437" t="s">
        <v>26</v>
      </c>
      <c r="I437">
        <v>81</v>
      </c>
      <c r="J437" s="8">
        <v>7148126</v>
      </c>
    </row>
    <row r="438" spans="1:12">
      <c r="A438" s="8">
        <f>INDEX(Albums!$A:$A, MATCH(C438,Albums!$C:$C,0))</f>
        <v>43</v>
      </c>
      <c r="B438">
        <f>INDEX(Albums!$B:$B, MATCH(C438,Albums!$C:$C,0))</f>
        <v>2100</v>
      </c>
      <c r="C438" t="s">
        <v>182</v>
      </c>
      <c r="D438">
        <v>2</v>
      </c>
      <c r="E438" t="s">
        <v>528</v>
      </c>
      <c r="F438" t="s">
        <v>183</v>
      </c>
      <c r="G438" t="s">
        <v>228</v>
      </c>
      <c r="H438" t="s">
        <v>15</v>
      </c>
      <c r="I438">
        <v>84</v>
      </c>
      <c r="J438" s="8">
        <v>5942543</v>
      </c>
    </row>
    <row r="439" spans="1:12">
      <c r="A439" s="8">
        <f>INDEX(Albums!$A:$A, MATCH(C439,Albums!$C:$C,0))</f>
        <v>43</v>
      </c>
      <c r="B439">
        <f>INDEX(Albums!$B:$B, MATCH(C439,Albums!$C:$C,0))</f>
        <v>2100</v>
      </c>
      <c r="C439" t="s">
        <v>182</v>
      </c>
      <c r="D439">
        <v>3</v>
      </c>
      <c r="E439" t="s">
        <v>602</v>
      </c>
      <c r="F439" t="s">
        <v>183</v>
      </c>
      <c r="G439" t="s">
        <v>381</v>
      </c>
      <c r="H439" t="s">
        <v>2</v>
      </c>
      <c r="I439">
        <v>82</v>
      </c>
      <c r="J439" s="8">
        <v>7119315</v>
      </c>
    </row>
    <row r="440" spans="1:12">
      <c r="A440" s="8">
        <f>INDEX(Albums!$A:$A, MATCH(C440,Albums!$C:$C,0))</f>
        <v>43</v>
      </c>
      <c r="B440">
        <f>INDEX(Albums!$B:$B, MATCH(C440,Albums!$C:$C,0))</f>
        <v>2100</v>
      </c>
      <c r="C440" t="s">
        <v>182</v>
      </c>
      <c r="D440">
        <v>4</v>
      </c>
      <c r="E440" t="s">
        <v>603</v>
      </c>
      <c r="F440" t="s">
        <v>183</v>
      </c>
      <c r="G440" t="s">
        <v>395</v>
      </c>
      <c r="H440" t="s">
        <v>20</v>
      </c>
      <c r="I440">
        <v>64</v>
      </c>
      <c r="J440" s="8">
        <v>7104628</v>
      </c>
    </row>
    <row r="441" spans="1:12">
      <c r="A441" s="8">
        <f>INDEX(Albums!$A:$A, MATCH(C441,Albums!$C:$C,0))</f>
        <v>43</v>
      </c>
      <c r="B441">
        <f>INDEX(Albums!$B:$B, MATCH(C441,Albums!$C:$C,0))</f>
        <v>2100</v>
      </c>
      <c r="C441" t="s">
        <v>182</v>
      </c>
      <c r="D441">
        <v>5</v>
      </c>
      <c r="E441" t="s">
        <v>604</v>
      </c>
      <c r="F441" t="s">
        <v>183</v>
      </c>
      <c r="G441" t="s">
        <v>232</v>
      </c>
      <c r="H441" t="s">
        <v>18</v>
      </c>
      <c r="I441">
        <v>63</v>
      </c>
      <c r="J441" s="8">
        <v>7123203</v>
      </c>
    </row>
    <row r="442" spans="1:12">
      <c r="A442" s="8">
        <f>INDEX(Albums!$A:$A, MATCH(C442,Albums!$C:$C,0))</f>
        <v>43</v>
      </c>
      <c r="B442">
        <f>INDEX(Albums!$B:$B, MATCH(C442,Albums!$C:$C,0))</f>
        <v>2100</v>
      </c>
      <c r="C442" t="s">
        <v>182</v>
      </c>
      <c r="D442">
        <v>6</v>
      </c>
      <c r="E442" t="s">
        <v>605</v>
      </c>
      <c r="F442" t="s">
        <v>183</v>
      </c>
      <c r="G442" t="s">
        <v>395</v>
      </c>
      <c r="H442" t="s">
        <v>15</v>
      </c>
      <c r="I442">
        <v>70</v>
      </c>
      <c r="J442" s="8">
        <v>6605236</v>
      </c>
    </row>
    <row r="443" spans="1:12">
      <c r="A443" s="8">
        <f>INDEX(Albums!$A:$A, MATCH(C443,Albums!$C:$C,0))</f>
        <v>43</v>
      </c>
      <c r="B443">
        <f>INDEX(Albums!$B:$B, MATCH(C443,Albums!$C:$C,0))</f>
        <v>2100</v>
      </c>
      <c r="C443" t="s">
        <v>182</v>
      </c>
      <c r="D443">
        <v>7</v>
      </c>
      <c r="E443" t="s">
        <v>606</v>
      </c>
      <c r="F443" t="s">
        <v>183</v>
      </c>
      <c r="G443" t="s">
        <v>256</v>
      </c>
      <c r="H443" t="s">
        <v>0</v>
      </c>
      <c r="I443">
        <v>80</v>
      </c>
      <c r="J443" s="8">
        <v>3407011</v>
      </c>
    </row>
    <row r="444" spans="1:12">
      <c r="A444" s="8">
        <f>INDEX(Albums!$A:$A, MATCH(C444,Albums!$C:$C,0))</f>
        <v>43</v>
      </c>
      <c r="B444">
        <f>INDEX(Albums!$B:$B, MATCH(C444,Albums!$C:$C,0))</f>
        <v>2100</v>
      </c>
      <c r="C444" t="s">
        <v>182</v>
      </c>
      <c r="D444">
        <v>8</v>
      </c>
      <c r="E444" t="s">
        <v>169</v>
      </c>
      <c r="F444" t="s">
        <v>183</v>
      </c>
      <c r="G444" t="s">
        <v>256</v>
      </c>
      <c r="H444" t="s">
        <v>20</v>
      </c>
      <c r="I444">
        <v>80</v>
      </c>
      <c r="J444" s="8">
        <v>3406988</v>
      </c>
    </row>
    <row r="445" spans="1:12">
      <c r="A445" s="8">
        <f>INDEX(Albums!$A:$A, MATCH(C445,Albums!$C:$C,0))</f>
        <v>43</v>
      </c>
      <c r="B445">
        <f>INDEX(Albums!$B:$B, MATCH(C445,Albums!$C:$C,0))</f>
        <v>2100</v>
      </c>
      <c r="C445" t="s">
        <v>182</v>
      </c>
      <c r="D445">
        <v>9</v>
      </c>
      <c r="E445" t="s">
        <v>607</v>
      </c>
      <c r="F445" t="s">
        <v>183</v>
      </c>
      <c r="G445" t="s">
        <v>256</v>
      </c>
      <c r="H445" t="s">
        <v>20</v>
      </c>
      <c r="I445">
        <v>118</v>
      </c>
      <c r="J445" s="8">
        <v>6590815</v>
      </c>
    </row>
    <row r="446" spans="1:12">
      <c r="A446" s="8">
        <f>INDEX(Albums!$A:$A, MATCH(C446,Albums!$C:$C,0))</f>
        <v>43</v>
      </c>
      <c r="B446">
        <f>INDEX(Albums!$B:$B, MATCH(C446,Albums!$C:$C,0))</f>
        <v>2100</v>
      </c>
      <c r="C446" t="s">
        <v>182</v>
      </c>
      <c r="D446">
        <v>10</v>
      </c>
      <c r="E446" t="s">
        <v>608</v>
      </c>
      <c r="F446" t="s">
        <v>183</v>
      </c>
      <c r="G446" t="s">
        <v>256</v>
      </c>
      <c r="H446" t="s">
        <v>4</v>
      </c>
      <c r="I446">
        <v>72</v>
      </c>
      <c r="J446" s="8">
        <v>5627789</v>
      </c>
    </row>
    <row r="447" spans="1:12">
      <c r="A447" s="8">
        <f>INDEX(Albums!$A:$A, MATCH(C447,Albums!$C:$C,0))</f>
        <v>44</v>
      </c>
      <c r="B447">
        <f>INDEX(Albums!$B:$B, MATCH(C447,Albums!$C:$C,0))</f>
        <v>2100</v>
      </c>
      <c r="C447" t="s">
        <v>184</v>
      </c>
      <c r="D447">
        <v>1</v>
      </c>
      <c r="E447" t="s">
        <v>609</v>
      </c>
      <c r="F447" t="s">
        <v>225</v>
      </c>
      <c r="G447" t="s">
        <v>610</v>
      </c>
      <c r="H447" t="s">
        <v>4</v>
      </c>
      <c r="I447">
        <v>85</v>
      </c>
      <c r="J447" s="8">
        <v>7087777</v>
      </c>
    </row>
  </sheetData>
  <autoFilter ref="A1:V447" xr:uid="{32F1CA80-FBFE-40A6-ABD2-DDA6052FC8A3}">
    <sortState xmlns:xlrd2="http://schemas.microsoft.com/office/spreadsheetml/2017/richdata2" ref="A2:V447">
      <sortCondition ref="B2:B447"/>
      <sortCondition ref="C2:C447"/>
      <sortCondition ref="D2:D447"/>
    </sortState>
  </autoFilter>
  <sortState xmlns:xlrd2="http://schemas.microsoft.com/office/spreadsheetml/2017/richdata2" ref="B2:V350">
    <sortCondition ref="B25:B350"/>
    <sortCondition ref="C25:C350"/>
    <sortCondition ref="D25:D350"/>
  </sortState>
  <phoneticPr fontId="5" type="noConversion"/>
  <conditionalFormatting sqref="J1:J1048576">
    <cfRule type="duplicateValues" dxfId="1" priority="35"/>
  </conditionalFormatting>
  <conditionalFormatting sqref="E1:E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Statistics</vt:lpstr>
      <vt:lpstr>Albums</vt:lpstr>
      <vt:lpstr>Songs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2020-12-16T20:52:48Z</dcterms:created>
  <dcterms:modified xsi:type="dcterms:W3CDTF">2021-01-26T04:53:00Z</dcterms:modified>
</cp:coreProperties>
</file>