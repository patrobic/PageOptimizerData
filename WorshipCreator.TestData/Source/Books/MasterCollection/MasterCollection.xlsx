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MasterCollection\"/>
    </mc:Choice>
  </mc:AlternateContent>
  <xr:revisionPtr revIDLastSave="0" documentId="13_ncr:1_{744AB8E8-ECC4-45F7-8466-35EB95BF2E9F}" xr6:coauthVersionLast="46" xr6:coauthVersionMax="46" xr10:uidLastSave="{00000000-0000-0000-0000-000000000000}"/>
  <bookViews>
    <workbookView xWindow="-120" yWindow="-120" windowWidth="29040" windowHeight="15990" activeTab="2" xr2:uid="{CD347702-B65D-448E-9FF6-E909C95B2269}"/>
  </bookViews>
  <sheets>
    <sheet name="Statistics" sheetId="3" r:id="rId1"/>
    <sheet name="Albums" sheetId="2" r:id="rId2"/>
    <sheet name="Songs" sheetId="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Albums!$A$1:$G$36</definedName>
    <definedName name="_xlnm._FilterDatabase" localSheetId="2" hidden="1">Songs!$A$1:$AF$464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2" i="1"/>
  <c r="D36" i="2" l="1"/>
  <c r="E12" i="2"/>
  <c r="E26" i="2"/>
  <c r="E27" i="2"/>
  <c r="E28" i="2"/>
  <c r="E29" i="2"/>
  <c r="E30" i="2"/>
  <c r="E31" i="2"/>
  <c r="V274" i="1" l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2" i="1"/>
  <c r="B18" i="3" l="1"/>
  <c r="F17" i="3"/>
  <c r="F13" i="3"/>
  <c r="F5" i="3"/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6" i="2"/>
  <c r="E5" i="2"/>
  <c r="E4" i="2"/>
  <c r="E3" i="2"/>
  <c r="E2" i="2"/>
  <c r="AD296" i="1" l="1"/>
  <c r="AD391" i="1" l="1"/>
  <c r="AD392" i="1"/>
  <c r="AD393" i="1"/>
  <c r="AD394" i="1"/>
  <c r="AD395" i="1"/>
  <c r="AD396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2" i="1"/>
</calcChain>
</file>

<file path=xl/sharedStrings.xml><?xml version="1.0" encoding="utf-8"?>
<sst xmlns="http://schemas.openxmlformats.org/spreadsheetml/2006/main" count="5849" uniqueCount="1200">
  <si>
    <t>The Worship Initiative, Vol. 10</t>
  </si>
  <si>
    <t>The Worship Initiative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</si>
  <si>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</si>
  <si>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</si>
  <si>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</si>
  <si>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</si>
  <si>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</si>
  <si>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</si>
  <si>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</si>
  <si>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</si>
  <si>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</si>
  <si>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</si>
  <si>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</si>
  <si>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</si>
  <si>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</si>
  <si>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Hymns, Vol. 1</t>
  </si>
  <si>
    <t>Hymns, Vol. 2</t>
  </si>
  <si>
    <t>Lite</t>
  </si>
  <si>
    <t>WI Lite</t>
  </si>
  <si>
    <t>Alt Title</t>
  </si>
  <si>
    <t>Author</t>
  </si>
  <si>
    <t>Key</t>
  </si>
  <si>
    <t>Oceans</t>
  </si>
  <si>
    <t/>
  </si>
  <si>
    <t>Hillsong</t>
  </si>
  <si>
    <t>G</t>
  </si>
  <si>
    <t>This Is Amazing Grace</t>
  </si>
  <si>
    <t>Phil Wickham</t>
  </si>
  <si>
    <t>Bb</t>
  </si>
  <si>
    <t>All the Poor and Powerless</t>
  </si>
  <si>
    <t>All Sons &amp; Daughters</t>
  </si>
  <si>
    <t>B</t>
  </si>
  <si>
    <t>Lord I Need You</t>
  </si>
  <si>
    <t>Matt Maher</t>
  </si>
  <si>
    <t>In Christ Alone</t>
  </si>
  <si>
    <t>Passion</t>
  </si>
  <si>
    <t>E</t>
  </si>
  <si>
    <t>Beautiful Things</t>
  </si>
  <si>
    <t>Gungor</t>
  </si>
  <si>
    <t>D</t>
  </si>
  <si>
    <t>Come Thou Fount</t>
  </si>
  <si>
    <t>Vol. 1</t>
  </si>
  <si>
    <t>10,000 Reasons</t>
  </si>
  <si>
    <t>Matt Redman</t>
  </si>
  <si>
    <t>Whom Shall I Fear</t>
  </si>
  <si>
    <t>God of Angel Armies</t>
  </si>
  <si>
    <t>Chris Tomlin</t>
  </si>
  <si>
    <t>C</t>
  </si>
  <si>
    <t>Happy Day</t>
  </si>
  <si>
    <t>Tim Hughes</t>
  </si>
  <si>
    <t>Heart Starts Beating</t>
  </si>
  <si>
    <t>Tim Neufeld</t>
  </si>
  <si>
    <t>A</t>
  </si>
  <si>
    <t>Hosanna</t>
  </si>
  <si>
    <t>Praise is Rising</t>
  </si>
  <si>
    <t>Paul Baloche</t>
  </si>
  <si>
    <t>Forever Reign</t>
  </si>
  <si>
    <t>Mercy</t>
  </si>
  <si>
    <t>How Great Is Our God</t>
  </si>
  <si>
    <t>You Are My All In All</t>
  </si>
  <si>
    <t>Dennis Jernigan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</si>
  <si>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</si>
  <si>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</si>
  <si>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</si>
  <si>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</si>
  <si>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</si>
  <si>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</si>
  <si>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Ab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</si>
  <si>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</si>
  <si>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</si>
  <si>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</si>
  <si>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</si>
  <si>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</si>
  <si>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</si>
  <si>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</si>
  <si>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</si>
  <si>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</si>
  <si>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</si>
  <si>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Eb</t>
  </si>
  <si>
    <t>Beautiful One</t>
  </si>
  <si>
    <t>Blessed Be Your Name</t>
  </si>
  <si>
    <t>I Stand Amazed</t>
  </si>
  <si>
    <t>How Marvelous</t>
  </si>
  <si>
    <t>Our God Is Love</t>
  </si>
  <si>
    <t>F#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</si>
  <si>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</si>
  <si>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</si>
  <si>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</si>
  <si>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</si>
  <si>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</si>
  <si>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</si>
  <si>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</si>
  <si>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</si>
  <si>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Db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</si>
  <si>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</si>
  <si>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</si>
  <si>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</si>
  <si>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</si>
  <si>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</si>
  <si>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</si>
  <si>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</si>
  <si>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</si>
  <si>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</si>
  <si>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</si>
  <si>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</si>
  <si>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</si>
  <si>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</si>
  <si>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</si>
  <si>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</si>
  <si>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</si>
  <si>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</si>
  <si>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</si>
  <si>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</si>
  <si>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</si>
  <si>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</si>
  <si>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</si>
  <si>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</si>
  <si>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</si>
  <si>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</si>
  <si>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</si>
  <si>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</si>
  <si>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</si>
  <si>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</si>
  <si>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</si>
  <si>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</si>
  <si>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</si>
  <si>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</si>
  <si>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</si>
  <si>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</si>
  <si>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</si>
  <si>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</si>
  <si>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</si>
  <si>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</si>
  <si>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</si>
  <si>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</si>
  <si>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</si>
  <si>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</si>
  <si>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</si>
  <si>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</si>
  <si>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</si>
  <si>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</si>
  <si>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</si>
  <si>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</si>
  <si>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</si>
  <si>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</si>
  <si>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</si>
  <si>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</si>
  <si>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</si>
  <si>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</si>
  <si>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</si>
  <si>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</si>
  <si>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</si>
  <si>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</si>
  <si>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</si>
  <si>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</si>
  <si>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</si>
  <si>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</si>
  <si>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</si>
  <si>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</si>
  <si>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</si>
  <si>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</si>
  <si>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</si>
  <si>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</si>
  <si>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</si>
  <si>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</si>
  <si>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</si>
  <si>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</si>
  <si>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</si>
  <si>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</si>
  <si>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</si>
  <si>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</si>
  <si>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</si>
  <si>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</si>
  <si>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</si>
  <si>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</si>
  <si>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Stuart Townend</t>
  </si>
  <si>
    <t>F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</si>
  <si>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</si>
  <si>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</si>
  <si>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</si>
  <si>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</si>
  <si>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</si>
  <si>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</si>
  <si>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</si>
  <si>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</si>
  <si>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</si>
  <si>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</si>
  <si>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</si>
  <si>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</si>
  <si>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</si>
  <si>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</si>
  <si>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</si>
  <si>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</si>
  <si>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</si>
  <si>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</si>
  <si>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</si>
  <si>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</si>
  <si>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</si>
  <si>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</si>
  <si>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</si>
  <si>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</si>
  <si>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</si>
  <si>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</si>
  <si>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</si>
  <si>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</si>
  <si>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</si>
  <si>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</si>
  <si>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</si>
  <si>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</si>
  <si>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</si>
  <si>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</si>
  <si>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</si>
  <si>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</si>
  <si>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</si>
  <si>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</si>
  <si>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</si>
  <si>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</si>
  <si>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</si>
  <si>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</si>
  <si>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</si>
  <si>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</si>
  <si>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</si>
  <si>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</si>
  <si>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</si>
  <si>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</si>
  <si>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</si>
  <si>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Jared Anderson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</si>
  <si>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</si>
  <si>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</si>
  <si>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</si>
  <si>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</si>
  <si>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</si>
  <si>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</si>
  <si>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</si>
  <si>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</si>
  <si>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</si>
  <si>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</si>
  <si>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</si>
  <si>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</si>
  <si>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</si>
  <si>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</si>
  <si>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</si>
  <si>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</si>
  <si>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</si>
  <si>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</si>
  <si>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</si>
  <si>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</si>
  <si>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</si>
  <si>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</si>
  <si>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</si>
  <si>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</si>
  <si>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</si>
  <si>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</si>
  <si>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</si>
  <si>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</si>
  <si>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</si>
  <si>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</si>
  <si>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</si>
  <si>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</si>
  <si>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</si>
  <si>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</si>
  <si>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</si>
  <si>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</si>
  <si>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</si>
  <si>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</si>
  <si>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</si>
  <si>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</si>
  <si>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</si>
  <si>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</si>
  <si>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</si>
  <si>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</si>
  <si>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</si>
  <si>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</si>
  <si>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</si>
  <si>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</si>
  <si>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</si>
  <si>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</si>
  <si>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</si>
  <si>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</si>
  <si>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</si>
  <si>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</si>
  <si>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</si>
  <si>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</si>
  <si>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</si>
  <si>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</si>
  <si>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</si>
  <si>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</si>
  <si>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</si>
  <si>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</si>
  <si>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</si>
  <si>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</si>
  <si>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</si>
  <si>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</si>
  <si>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</si>
  <si>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</si>
  <si>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</si>
  <si>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</si>
  <si>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</si>
  <si>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</si>
  <si>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</si>
  <si>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</si>
  <si>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</si>
  <si>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</si>
  <si>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</si>
  <si>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</si>
  <si>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</si>
  <si>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</si>
  <si>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</si>
  <si>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</si>
  <si>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</si>
  <si>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</si>
  <si>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</si>
  <si>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</si>
  <si>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</si>
  <si>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</si>
  <si>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</si>
  <si>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</si>
  <si>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</si>
  <si>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</si>
  <si>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</si>
  <si>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</si>
  <si>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</si>
  <si>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</si>
  <si>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</si>
  <si>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</si>
  <si>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</si>
  <si>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</si>
  <si>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N/A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</si>
  <si>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</si>
  <si>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</si>
  <si>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</si>
  <si>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</si>
  <si>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</si>
  <si>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</si>
  <si>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</si>
  <si>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</si>
  <si>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</si>
  <si>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</si>
  <si>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</si>
  <si>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</si>
  <si>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</si>
  <si>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</si>
  <si>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</si>
  <si>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</si>
  <si>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</si>
  <si>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</si>
  <si>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</si>
  <si>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</si>
  <si>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</si>
  <si>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</si>
  <si>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</si>
  <si>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</si>
  <si>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</si>
  <si>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</si>
  <si>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</si>
  <si>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</si>
  <si>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</si>
  <si>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</si>
  <si>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</si>
  <si>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</si>
  <si>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</si>
  <si>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</si>
  <si>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</si>
  <si>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</si>
  <si>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</si>
  <si>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Original Key</t>
  </si>
  <si>
    <t>Tempo (BPM)</t>
  </si>
  <si>
    <t>Time Signature</t>
  </si>
  <si>
    <t>Publication Year</t>
  </si>
  <si>
    <t>Copyright Holder</t>
  </si>
  <si>
    <t>Joel Houston, Matt Crocker</t>
  </si>
  <si>
    <t>4/4</t>
  </si>
  <si>
    <t>Hillsong Music Publishing Australia</t>
  </si>
  <si>
    <t>Jeremy Riddle, Josh Farro</t>
  </si>
  <si>
    <t>Phil Wickham Music</t>
  </si>
  <si>
    <t>David Leonard, Leslie Jordan</t>
  </si>
  <si>
    <t>Integrity's Alleluia! Music</t>
  </si>
  <si>
    <t>Christy Nockels, Daniel Carson</t>
  </si>
  <si>
    <t>sixsteps Music</t>
  </si>
  <si>
    <t>Keith Getty, Stuart Townend</t>
  </si>
  <si>
    <t>3/4</t>
  </si>
  <si>
    <t>Thankyou Music</t>
  </si>
  <si>
    <t>Jonas Myrin, Matt Redman</t>
  </si>
  <si>
    <t>Atlas Mountain Songs</t>
  </si>
  <si>
    <t>Chris Tomlin, Ed Cash</t>
  </si>
  <si>
    <t>Alletrop Music</t>
  </si>
  <si>
    <t>Brenton Brown, Paul Baloche</t>
  </si>
  <si>
    <t>Matt Redman, Jonas Myrin</t>
  </si>
  <si>
    <t>Shepherd's Heart Music, Inc.</t>
  </si>
  <si>
    <t>Chris Tomlin, Jesse Reeves</t>
  </si>
  <si>
    <t>Integrity's Hosanna! Music</t>
  </si>
  <si>
    <t>Chris Tomlin, Jason Ingram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</si>
  <si>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</si>
  <si>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</si>
  <si>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</si>
  <si>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</si>
  <si>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</si>
  <si>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Beth Redman, Matt Redman</t>
  </si>
  <si>
    <t>Mike Guglielmucci</t>
  </si>
  <si>
    <t>Planetshakers Ministries Int. Inc.</t>
  </si>
  <si>
    <t>Edward Mote, Eric Liljero</t>
  </si>
  <si>
    <t>Public Domain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</si>
  <si>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</si>
  <si>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</si>
  <si>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</si>
  <si>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</si>
  <si>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</si>
  <si>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</si>
  <si>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</si>
  <si>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</si>
  <si>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Brian Johnson, Christa B. Gifford</t>
  </si>
  <si>
    <t>ChristaJoy Music Publishing</t>
  </si>
  <si>
    <t>Brooke Ligertwood</t>
  </si>
  <si>
    <t>Ben Fielding, Reuben Morgan</t>
  </si>
  <si>
    <t>Joel Houston</t>
  </si>
  <si>
    <t>Chris Tomlin, John Newton</t>
  </si>
  <si>
    <t>Anthony Skinner, Chris McClarney</t>
  </si>
  <si>
    <t>Martin Smith, Stuart Garrard</t>
  </si>
  <si>
    <t>Curious? Music UK</t>
  </si>
  <si>
    <t>Chris Tomlin, Daniel Carson</t>
  </si>
  <si>
    <t>Marc Byrd, Steve Hindalong</t>
  </si>
  <si>
    <t>Ab,Bb</t>
  </si>
  <si>
    <t>Never Say Never Songs</t>
  </si>
  <si>
    <t>Billy J. Foote</t>
  </si>
  <si>
    <t>worshiptogether.com songs</t>
  </si>
  <si>
    <t>6/8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</si>
  <si>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</si>
  <si>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</si>
  <si>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</si>
  <si>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</si>
  <si>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</si>
  <si>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Chris Brown, Mack Brock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</si>
  <si>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</si>
  <si>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</si>
  <si>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</si>
  <si>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</si>
  <si>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</si>
  <si>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</si>
  <si>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</si>
  <si>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</si>
  <si>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</si>
  <si>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</si>
  <si>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</si>
  <si>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S. D. G. Publishing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</si>
  <si>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</si>
  <si>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</si>
  <si>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</si>
  <si>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</si>
  <si>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</si>
  <si>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</si>
  <si>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</si>
  <si>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</si>
  <si>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</si>
  <si>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</si>
  <si>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</si>
  <si>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</si>
  <si>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</si>
  <si>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</si>
  <si>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Steven Furtick, Matt Redman</t>
  </si>
  <si>
    <t>Said And Done Music</t>
  </si>
  <si>
    <t>Phil Wickham, Brian Johnson</t>
  </si>
  <si>
    <t>Joel Houston, Benjamin Hastings</t>
  </si>
  <si>
    <t>2/2</t>
  </si>
  <si>
    <t>Kristene DiMarco, Horatio Spafford</t>
  </si>
  <si>
    <t>3/4+4/4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</si>
  <si>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</si>
  <si>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</si>
  <si>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</si>
  <si>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</si>
  <si>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</si>
  <si>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</si>
  <si>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</si>
  <si>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</si>
  <si>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</si>
  <si>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S&amp;S Author</t>
  </si>
  <si>
    <t>S&amp;S Tempo</t>
  </si>
  <si>
    <t>S&amp;S Key</t>
  </si>
  <si>
    <t>CCWS?</t>
  </si>
  <si>
    <t>Done</t>
  </si>
  <si>
    <t>NoNumber</t>
  </si>
  <si>
    <t>Tis So Sweet</t>
  </si>
  <si>
    <t>How Great Thou Art</t>
  </si>
  <si>
    <t>Give Me Jesus</t>
  </si>
  <si>
    <t>The Lord is My Salvation</t>
  </si>
  <si>
    <t>He Will Hold Me Fast</t>
  </si>
  <si>
    <t>My Worth Is Not In What I Own</t>
  </si>
  <si>
    <t>My Jesus I Love Thee</t>
  </si>
  <si>
    <t>Oh Lord Almighty</t>
  </si>
  <si>
    <t>Power of the Cross</t>
  </si>
  <si>
    <t>Come Behold the Wondrous Mystery</t>
  </si>
  <si>
    <t>All Hail The Power of Jesus Name</t>
  </si>
  <si>
    <t>Crown Him With Many Crowns</t>
  </si>
  <si>
    <t>Angels We Have Heard On High</t>
  </si>
  <si>
    <t>O Come All Ye Faithful</t>
  </si>
  <si>
    <t>Go Tell It On The Mountain</t>
  </si>
  <si>
    <t>Joy To The World</t>
  </si>
  <si>
    <t>Silent Night</t>
  </si>
  <si>
    <t>Love Comes Down</t>
  </si>
  <si>
    <t>Come Thou Long Expected Jesus</t>
  </si>
  <si>
    <t>Hark the Herald Angels Sing</t>
  </si>
  <si>
    <t>O Little Town of Bethlehem</t>
  </si>
  <si>
    <t>Breath of Heaven</t>
  </si>
  <si>
    <t>Face of God</t>
  </si>
  <si>
    <t>What Child Is This</t>
  </si>
  <si>
    <t>Away in a Manger</t>
  </si>
  <si>
    <t>Winter Snow</t>
  </si>
  <si>
    <t>It Came Upon A Midnight Clear</t>
  </si>
  <si>
    <t>Take Over</t>
  </si>
  <si>
    <t>Battle Belongs</t>
  </si>
  <si>
    <t xml:space="preserve">Peace </t>
  </si>
  <si>
    <t xml:space="preserve">Bigger Than I Thought </t>
  </si>
  <si>
    <t xml:space="preserve">Sinking Deep </t>
  </si>
  <si>
    <t xml:space="preserve">Psalm 145 </t>
  </si>
  <si>
    <t xml:space="preserve">Psalm 13 </t>
  </si>
  <si>
    <t xml:space="preserve">The One You'll Find </t>
  </si>
  <si>
    <t xml:space="preserve">Great Reward </t>
  </si>
  <si>
    <t>O Holy Night</t>
  </si>
  <si>
    <t>The First Noel</t>
  </si>
  <si>
    <t>O Come O Come Emmanuel</t>
  </si>
  <si>
    <t>Little Drummer Boy</t>
  </si>
  <si>
    <t>Across The Lands</t>
  </si>
  <si>
    <t>CcliTop100Uk</t>
  </si>
  <si>
    <t>Agnus Dei</t>
  </si>
  <si>
    <t xml:space="preserve">Michael W. Smith   </t>
  </si>
  <si>
    <t>CcliTop100Canada</t>
  </si>
  <si>
    <t>All Who Are Thirsty</t>
  </si>
  <si>
    <t xml:space="preserve">Brenton Brown, Glenn Robertson   </t>
  </si>
  <si>
    <t>Be Still</t>
  </si>
  <si>
    <t>David J. Evans</t>
  </si>
  <si>
    <t>Be The Centre</t>
  </si>
  <si>
    <t>Michael Frye</t>
  </si>
  <si>
    <t>Be Unto Your Name</t>
  </si>
  <si>
    <t xml:space="preserve">Gary Sadler, Lynn DeShazo   </t>
  </si>
  <si>
    <t>Beautiful Saviour</t>
  </si>
  <si>
    <t>Chris Tomlin, Daniel Carson, Ed Cash, Gloria Gaither, Jason Ingram, Matt Maher, William J. Gaither</t>
  </si>
  <si>
    <t>CcliTop100Usa</t>
  </si>
  <si>
    <t>By Faith</t>
  </si>
  <si>
    <t>Keith Getty, Kristyn Getty, Stuart Townend</t>
  </si>
  <si>
    <t>Christ Be Magnified</t>
  </si>
  <si>
    <t>Cody Carnes, Cory Asbury, Ethan Hulse</t>
  </si>
  <si>
    <t>Come People Of The Risen King</t>
  </si>
  <si>
    <t>Come Thou Fount Come Thou King</t>
  </si>
  <si>
    <t>PraiseChartsTop100AllTime</t>
  </si>
  <si>
    <t>Consuming Fire</t>
  </si>
  <si>
    <t>Faithful One</t>
  </si>
  <si>
    <t xml:space="preserve">Brian Doerksen   </t>
  </si>
  <si>
    <t>Glory To God Forever</t>
  </si>
  <si>
    <t xml:space="preserve">Ben Smith, Daniel Bashta, Pat Barrett   </t>
  </si>
  <si>
    <t>God Of Revival</t>
  </si>
  <si>
    <t>Brian Johnson, Phil Wickham</t>
  </si>
  <si>
    <t>God So Loved</t>
  </si>
  <si>
    <t>Andrew Bergthold, Ed Cash, Franni Cash, Martin Cash, Scott Cash</t>
  </si>
  <si>
    <t>God You're So Good</t>
  </si>
  <si>
    <t xml:space="preserve">Brett Younker, Brooke Ligertwood, Kristian Stanfill, Scott Ligertwood   </t>
  </si>
  <si>
    <t>Good Grace</t>
  </si>
  <si>
    <t>Great Big God</t>
  </si>
  <si>
    <t>Jo Hemming, Nigel Hemming</t>
  </si>
  <si>
    <t>Great Is The Lord</t>
  </si>
  <si>
    <t>Steve McEwan</t>
  </si>
  <si>
    <t>Thomas Obediah Chisholm</t>
  </si>
  <si>
    <t xml:space="preserve">Jonas Myrin, Phil Wickham   </t>
  </si>
  <si>
    <t>He Shall Reign Forevermore</t>
  </si>
  <si>
    <t xml:space="preserve">Ada Ruth Habershon, Matthew Merker   </t>
  </si>
  <si>
    <t>Hear The Call Of The Kingdom</t>
  </si>
  <si>
    <t>His Mercy Is More</t>
  </si>
  <si>
    <t xml:space="preserve">Matt Boswell, Matt Papa   </t>
  </si>
  <si>
    <t>Holy Holy</t>
  </si>
  <si>
    <t>Nathan Fellingham</t>
  </si>
  <si>
    <t xml:space="preserve">Keith Getty, Stuart Townend   </t>
  </si>
  <si>
    <t>Holy Water</t>
  </si>
  <si>
    <t>Hope Of The Nations</t>
  </si>
  <si>
    <t>I Will Offer Up My Life</t>
  </si>
  <si>
    <t>Is He Worthy</t>
  </si>
  <si>
    <t>Jesus</t>
  </si>
  <si>
    <t>King Of Heaven</t>
  </si>
  <si>
    <t xml:space="preserve">Jason Ingram, Paul Baloche   </t>
  </si>
  <si>
    <t>King Of Kings Majesty</t>
  </si>
  <si>
    <t>Jarrod Cooper</t>
  </si>
  <si>
    <t>Light Of The World</t>
  </si>
  <si>
    <t>Lord Reign In Me</t>
  </si>
  <si>
    <t>Love The Lord</t>
  </si>
  <si>
    <t>Lincoln Brewster</t>
  </si>
  <si>
    <t>My Heart Is Filled</t>
  </si>
  <si>
    <t>New Doxology</t>
  </si>
  <si>
    <t>Nothing Else</t>
  </si>
  <si>
    <t>Cody Carnes, Hank Bentley, Jessie Early</t>
  </si>
  <si>
    <t>O The Blood</t>
  </si>
  <si>
    <t>Only King Forever</t>
  </si>
  <si>
    <t>Chris Brown, Mack Brock, Steven Furtick, Wade Joye</t>
  </si>
  <si>
    <t>Our God Saves</t>
  </si>
  <si>
    <t>Psalm 23</t>
  </si>
  <si>
    <t>Raise A Hallelujah</t>
  </si>
  <si>
    <t xml:space="preserve">Jake Stevens, Jonathan David Helser, Melissa Helser, Molly Skaggs   </t>
  </si>
  <si>
    <t>Refiner's Fire</t>
  </si>
  <si>
    <t>Resurrection Hymn</t>
  </si>
  <si>
    <t>See A Victory</t>
  </si>
  <si>
    <t xml:space="preserve">Ben Fielding, Chris Brown, Jason Ingram, Steven Furtick   </t>
  </si>
  <si>
    <t>Shine Jesus Shine</t>
  </si>
  <si>
    <t>Graham Kendrick</t>
  </si>
  <si>
    <t>Speak O Lord</t>
  </si>
  <si>
    <t>Spirit Break Out</t>
  </si>
  <si>
    <t>Ben Bryant, Luke Hellebronth, Myles Dhillon, Tim Hughes</t>
  </si>
  <si>
    <t xml:space="preserve">Elyssa Smith   </t>
  </si>
  <si>
    <t>Tell Out My Soul</t>
  </si>
  <si>
    <t>Timothy Dudley-Smith</t>
  </si>
  <si>
    <t>The Servant King</t>
  </si>
  <si>
    <t>There Is A Higher Throne</t>
  </si>
  <si>
    <t>Keith Getty, Kristyn Getty</t>
  </si>
  <si>
    <t>This Is A Move</t>
  </si>
  <si>
    <t>Brandon Lake, Nate Moore, Tasha Cobbs Leonard, Tony Brown</t>
  </si>
  <si>
    <t>This Is Our God</t>
  </si>
  <si>
    <t>Reuben Morgan</t>
  </si>
  <si>
    <t>Today Is The Day</t>
  </si>
  <si>
    <t>Unstoppable God</t>
  </si>
  <si>
    <t>Chris Brown, Steven Furtick, Wade Joye</t>
  </si>
  <si>
    <t>Waiting Here For You</t>
  </si>
  <si>
    <t>Chris Tomlin, Jesse Reeves, Martin Smith</t>
  </si>
  <si>
    <t>We Praise You</t>
  </si>
  <si>
    <t xml:space="preserve">Brandon Lake, Brian Johnson, Matt Redman, Phil Wickham   </t>
  </si>
  <si>
    <t>Won't Stop Now</t>
  </si>
  <si>
    <t>Chris Brown, Steven Furtick</t>
  </si>
  <si>
    <t>Worthy Is The Lamb</t>
  </si>
  <si>
    <t>You Alone Can Rescue</t>
  </si>
  <si>
    <t xml:space="preserve">You Are Good </t>
  </si>
  <si>
    <t>Amen</t>
  </si>
  <si>
    <t>God Is So Good</t>
  </si>
  <si>
    <t>You Are Worthy</t>
  </si>
  <si>
    <t>Surrounded</t>
  </si>
  <si>
    <t>Fight My Battles</t>
  </si>
  <si>
    <t>Source</t>
  </si>
  <si>
    <t>S&amp;S</t>
  </si>
  <si>
    <t>S&amp;S Extra</t>
  </si>
  <si>
    <t>Other ID</t>
  </si>
  <si>
    <t>Other</t>
  </si>
  <si>
    <t>A Mighty Fortress Is Our God</t>
  </si>
  <si>
    <t>Above All</t>
  </si>
  <si>
    <t>All Glory Be To Christ</t>
  </si>
  <si>
    <t>All Heaven Declares</t>
  </si>
  <si>
    <t>Martin Luther</t>
  </si>
  <si>
    <t>Lenny LeBlanc, Paul Baloche</t>
  </si>
  <si>
    <t>Dustin Kensrue</t>
  </si>
  <si>
    <t>We Are Younger We Are Faster Music</t>
  </si>
  <si>
    <t>Noel Richards, Tricia Richards</t>
  </si>
  <si>
    <t>All To Us</t>
  </si>
  <si>
    <t>John Newton, John P. Rees</t>
  </si>
  <si>
    <t>Ancient Words</t>
  </si>
  <si>
    <t>And Can It Be</t>
  </si>
  <si>
    <t>Lynn DeShazo</t>
  </si>
  <si>
    <t>Charles Wesley</t>
  </si>
  <si>
    <t>Are You Washed In The Blood</t>
  </si>
  <si>
    <t>As The Deer</t>
  </si>
  <si>
    <t>Elisha A. Hoffman</t>
  </si>
  <si>
    <t>Martin Nystrom</t>
  </si>
  <si>
    <t>Universal Music</t>
  </si>
  <si>
    <t>Isaac Watts, Ralph E. Hudson</t>
  </si>
  <si>
    <t>Be Thou My Vision</t>
  </si>
  <si>
    <t>Eleanor H. Hull, Mary E. Byrne</t>
  </si>
  <si>
    <t>Behold Our God</t>
  </si>
  <si>
    <t>Behold The Lord</t>
  </si>
  <si>
    <t>Jonathan Baird, Meghan Baird</t>
  </si>
  <si>
    <t>Sovereign Grace Praise</t>
  </si>
  <si>
    <t>Gerald Coates, Noel Richards</t>
  </si>
  <si>
    <t>Fanny J. Crosby</t>
  </si>
  <si>
    <t>9/8</t>
  </si>
  <si>
    <t>Break Every Chain</t>
  </si>
  <si>
    <t>Will Reagan</t>
  </si>
  <si>
    <t>Capitol CMG Genesis</t>
  </si>
  <si>
    <t>Build Your Kingdom Here</t>
  </si>
  <si>
    <t>Came To My Rescue</t>
  </si>
  <si>
    <t>Gareth Gilkeson, Chris Llewellyn</t>
  </si>
  <si>
    <t>Dylan Thoma, Joel Davies</t>
  </si>
  <si>
    <t>Christ The Lord Is Risen Today</t>
  </si>
  <si>
    <t>He Is Not Dead</t>
  </si>
  <si>
    <t>Come Now Is The Time To Worship</t>
  </si>
  <si>
    <t>Charles Wesley, Samuel Arnold</t>
  </si>
  <si>
    <t>Vineyard Songs</t>
  </si>
  <si>
    <t>Robert Robinson</t>
  </si>
  <si>
    <t>Crown Him</t>
  </si>
  <si>
    <t>Days Of Elijah</t>
  </si>
  <si>
    <t>Db,Eb</t>
  </si>
  <si>
    <t>Matthew Bridges, Godfrey Thring</t>
  </si>
  <si>
    <t>Robin Mark</t>
  </si>
  <si>
    <t>Song Solutions Daybreak</t>
  </si>
  <si>
    <t>Death Where Is Your Sting</t>
  </si>
  <si>
    <t>Cory Asbury, Anna Asbury</t>
  </si>
  <si>
    <t>Chris Tomlin, Christy Nockels</t>
  </si>
  <si>
    <t>Gb</t>
  </si>
  <si>
    <t>Forgiven</t>
  </si>
  <si>
    <t>David Crowder, Ed Cash</t>
  </si>
  <si>
    <t>God Of This City</t>
  </si>
  <si>
    <t>Aaron Boyd, Andrew McCann</t>
  </si>
  <si>
    <t>Gracefully Broken</t>
  </si>
  <si>
    <t>Beginning To End</t>
  </si>
  <si>
    <t>William Runyan, Thomas Chisholm</t>
  </si>
  <si>
    <t>Weave Country</t>
  </si>
  <si>
    <t>Up To The Hill</t>
  </si>
  <si>
    <t>He Reigns</t>
  </si>
  <si>
    <t>Ross King, Todd Wright</t>
  </si>
  <si>
    <t>Simple Tense Songs</t>
  </si>
  <si>
    <t>Peter Furler, Steve Taylor</t>
  </si>
  <si>
    <t>Soylent Tunes</t>
  </si>
  <si>
    <t>Here Again</t>
  </si>
  <si>
    <t>Steven Furtick, Chris Brown</t>
  </si>
  <si>
    <t>Here Is Love</t>
  </si>
  <si>
    <t>Holy</t>
  </si>
  <si>
    <t>Wedding Day</t>
  </si>
  <si>
    <t>Holy Holy Holy</t>
  </si>
  <si>
    <t>Robert Lowry, William Rees</t>
  </si>
  <si>
    <t>Aaron Powell, Elias Dummer</t>
  </si>
  <si>
    <t>John B. Dykes, Reginald Heber</t>
  </si>
  <si>
    <t>Carl Tuttle</t>
  </si>
  <si>
    <t>Shadow Spring Music</t>
  </si>
  <si>
    <t>How Firm A Foundation</t>
  </si>
  <si>
    <t>George Keith</t>
  </si>
  <si>
    <t>I Can Only Imagine</t>
  </si>
  <si>
    <t>I Know Whom I Have Believed</t>
  </si>
  <si>
    <t>I Lift My Hands</t>
  </si>
  <si>
    <t>My Savior's Love</t>
  </si>
  <si>
    <t>I Stand In Awe</t>
  </si>
  <si>
    <t>Stuart W. K. Hine</t>
  </si>
  <si>
    <t>Stuart Hine Trust</t>
  </si>
  <si>
    <t>Bart Millard</t>
  </si>
  <si>
    <t>Simpleville Music</t>
  </si>
  <si>
    <t>Daniel W. Whittle</t>
  </si>
  <si>
    <t>Chris Tomlin, Louie Giglio</t>
  </si>
  <si>
    <t>Charles H. Gabriel</t>
  </si>
  <si>
    <t>Mark Altrogge</t>
  </si>
  <si>
    <t>I Will Sing Of My Redeemer</t>
  </si>
  <si>
    <t>I Will Sing The Wondrous Story</t>
  </si>
  <si>
    <t>I'll Fly Away</t>
  </si>
  <si>
    <t>Travis Cottrell, Philip Paul Bliss</t>
  </si>
  <si>
    <t>Francis H. Rawley</t>
  </si>
  <si>
    <t>Albert E. Brumley</t>
  </si>
  <si>
    <t>Hartford Music Company</t>
  </si>
  <si>
    <t>It Is Well With My Soul</t>
  </si>
  <si>
    <t>Jesus I Am Resting</t>
  </si>
  <si>
    <t>Jesus Is Alive</t>
  </si>
  <si>
    <t>Horatio G. Spafford</t>
  </si>
  <si>
    <t>Jean Sophia Pigott</t>
  </si>
  <si>
    <t>Michael Farren, Tiarne Tranter</t>
  </si>
  <si>
    <t>Jesus Son Of God</t>
  </si>
  <si>
    <t>Just As I Am</t>
  </si>
  <si>
    <t>I Come Broken</t>
  </si>
  <si>
    <t>Charlotte Elliot</t>
  </si>
  <si>
    <t>6/4</t>
  </si>
  <si>
    <t>Charlotte Elliott, David Moffitt</t>
  </si>
  <si>
    <t>CCTB Music</t>
  </si>
  <si>
    <t>Knowing You</t>
  </si>
  <si>
    <t>All I Once Held Dear</t>
  </si>
  <si>
    <t>Lamb Of God</t>
  </si>
  <si>
    <t>Lay Me Down</t>
  </si>
  <si>
    <t>Make Way Music</t>
  </si>
  <si>
    <t>Mountain Spring Music</t>
  </si>
  <si>
    <t>Like A River Glorious</t>
  </si>
  <si>
    <t>James Mountain</t>
  </si>
  <si>
    <t>Lord I Lift Your Name On High</t>
  </si>
  <si>
    <t>Rick Founds</t>
  </si>
  <si>
    <t>Jonas Myrin, Keith Getty</t>
  </si>
  <si>
    <t>Love Of God, The</t>
  </si>
  <si>
    <t>Frederick M. Lehman</t>
  </si>
  <si>
    <t>Jack Hayford</t>
  </si>
  <si>
    <t>New Spring</t>
  </si>
  <si>
    <t>Mine Eyes Have Seen The Glory</t>
  </si>
  <si>
    <t>Battle Hymn</t>
  </si>
  <si>
    <t>Mountain</t>
  </si>
  <si>
    <t>You're Wonderful</t>
  </si>
  <si>
    <t>My Lighthouse</t>
  </si>
  <si>
    <t>My Redeemer Lives</t>
  </si>
  <si>
    <t>Nearer My God To Thee</t>
  </si>
  <si>
    <t>Julia W. Howe</t>
  </si>
  <si>
    <t>Matt Crocker, Joel Houston</t>
  </si>
  <si>
    <t>Bryan Torwalt, Katie Torwalt</t>
  </si>
  <si>
    <t>Sarah F. F. Adams</t>
  </si>
  <si>
    <t>O Church Arise</t>
  </si>
  <si>
    <t>O The Deep Deep Love Of Jesus</t>
  </si>
  <si>
    <t>Samuel T. Francis</t>
  </si>
  <si>
    <t>Em</t>
  </si>
  <si>
    <t>Oh What Love</t>
  </si>
  <si>
    <t>Once Again</t>
  </si>
  <si>
    <t>Onward Christian Soldiers</t>
  </si>
  <si>
    <t>Sabine B. Gould</t>
  </si>
  <si>
    <t>Power Of Your Love, The</t>
  </si>
  <si>
    <t>Praise You In This Storm</t>
  </si>
  <si>
    <t>Geoff Bullock</t>
  </si>
  <si>
    <t>Geoff Bullock Music</t>
  </si>
  <si>
    <t>Bernie Herms, Mark Hall</t>
  </si>
  <si>
    <t>Rooftops</t>
  </si>
  <si>
    <t>Lindsey Sweat, Ben Williams</t>
  </si>
  <si>
    <t>Capitol CMG Amplifier</t>
  </si>
  <si>
    <t>Seek Ye First</t>
  </si>
  <si>
    <t>Karen Lafferty</t>
  </si>
  <si>
    <t>CCCM Music</t>
  </si>
  <si>
    <t>Solid Rock, The</t>
  </si>
  <si>
    <t>Edward Mote</t>
  </si>
  <si>
    <t>Still</t>
  </si>
  <si>
    <t>Hide Me Now</t>
  </si>
  <si>
    <t>Sweetly Broken</t>
  </si>
  <si>
    <t>Take My Life And Let It Be</t>
  </si>
  <si>
    <t>There Is A Fountain</t>
  </si>
  <si>
    <t>There Is A Redeemer</t>
  </si>
  <si>
    <t>Mercy / Vineyard Publishing</t>
  </si>
  <si>
    <t>Frances R. Havergal</t>
  </si>
  <si>
    <t>William Cowper</t>
  </si>
  <si>
    <t>Melody Green</t>
  </si>
  <si>
    <t>This Is My Father's World</t>
  </si>
  <si>
    <t>To God Be The Glory</t>
  </si>
  <si>
    <t>Aaron Purdy, Franklin L. Sheppard</t>
  </si>
  <si>
    <t>Jennie Lee Riddle Music</t>
  </si>
  <si>
    <t>Lousa M. R. Stead</t>
  </si>
  <si>
    <t>Fanny Jane Crosby</t>
  </si>
  <si>
    <t>Trust And Obey</t>
  </si>
  <si>
    <t>Victor's Crown</t>
  </si>
  <si>
    <t>Victory In Jesus</t>
  </si>
  <si>
    <t>I Heard An Old Old Story</t>
  </si>
  <si>
    <t>Way Maker</t>
  </si>
  <si>
    <t>We Believe</t>
  </si>
  <si>
    <t>John H. Sammis</t>
  </si>
  <si>
    <t>Darlene Zschech, Israel Houghton</t>
  </si>
  <si>
    <t>Worship Together Music</t>
  </si>
  <si>
    <t>Eugene M. Bartlett</t>
  </si>
  <si>
    <t>Osinachi K. O. Egbu</t>
  </si>
  <si>
    <t>Integrity Music Europe</t>
  </si>
  <si>
    <t>Matthew Hooper, Richie Fike</t>
  </si>
  <si>
    <t>When I Survey The Wondrous Cross</t>
  </si>
  <si>
    <t>When The Roll Is Called Up Yonder</t>
  </si>
  <si>
    <t>Who Am I</t>
  </si>
  <si>
    <t>Isaac Watts</t>
  </si>
  <si>
    <t>James M. Black</t>
  </si>
  <si>
    <t>Mark Hall</t>
  </si>
  <si>
    <t>Wonderful Merciful Savior</t>
  </si>
  <si>
    <t>Dawn Rodgers, Eric Wyse</t>
  </si>
  <si>
    <t>Curb Dayspring Music</t>
  </si>
  <si>
    <t>You Are God Alone</t>
  </si>
  <si>
    <t>Not A God</t>
  </si>
  <si>
    <t>You Are Holy</t>
  </si>
  <si>
    <t>Prince Of Piece</t>
  </si>
  <si>
    <t>Billy J. Foote, Cindy Foote</t>
  </si>
  <si>
    <t>Billy Foote Music</t>
  </si>
  <si>
    <t>Marc Imboden, Tammi Rhoton</t>
  </si>
  <si>
    <t>Imboden Music</t>
  </si>
  <si>
    <t>Your Presence Is Heaven</t>
  </si>
  <si>
    <t>Israel Houghton, Micah Massey</t>
  </si>
  <si>
    <t>CCWS</t>
  </si>
  <si>
    <t>Heath Balltzglier, Brandon Coker</t>
  </si>
  <si>
    <t>Seems Like Music</t>
  </si>
  <si>
    <t>Bobby Strand, Chris Greely</t>
  </si>
  <si>
    <t>Brenton Brown, Ken Riley</t>
  </si>
  <si>
    <t>Jesse Reeves, Matt Maher</t>
  </si>
  <si>
    <t>Chrysalis Music Ltd.</t>
  </si>
  <si>
    <t>Judson DeVenter, Winfield Weeden</t>
  </si>
  <si>
    <t>Jesse Reeves, Laura Story</t>
  </si>
  <si>
    <t>Laura Stories</t>
  </si>
  <si>
    <t>Charles Converse, Joseph Scriven</t>
  </si>
  <si>
    <t>Remove?</t>
  </si>
  <si>
    <t>Remove</t>
  </si>
  <si>
    <t>Notes</t>
  </si>
  <si>
    <t>S&amp;S Adj Key</t>
  </si>
  <si>
    <t>All Keys</t>
  </si>
  <si>
    <t>Title</t>
  </si>
  <si>
    <t>James Montgomery</t>
  </si>
  <si>
    <t>James Chadwick</t>
  </si>
  <si>
    <t>Martin Luther, John McFarland</t>
  </si>
  <si>
    <t>John Work</t>
  </si>
  <si>
    <t>Unknown (English Carol)</t>
  </si>
  <si>
    <t>John Neale</t>
  </si>
  <si>
    <t>Edmund Sears</t>
  </si>
  <si>
    <t>2/4</t>
  </si>
  <si>
    <t>Buddy Greene</t>
  </si>
  <si>
    <t>Cm</t>
  </si>
  <si>
    <t>Rufus Music</t>
  </si>
  <si>
    <t>John Wade, Frederick Oakeley</t>
  </si>
  <si>
    <t>Veni Emmanuel, John Neale</t>
  </si>
  <si>
    <t>Placide Cappeau</t>
  </si>
  <si>
    <t>Phillips Brooks</t>
  </si>
  <si>
    <t>Joseph Mohr</t>
  </si>
  <si>
    <t>John Hopkins</t>
  </si>
  <si>
    <t>William Dix</t>
  </si>
  <si>
    <t>Nahum Tate</t>
  </si>
  <si>
    <t>Angels From The Realms Of Glory</t>
  </si>
  <si>
    <t>God Rest Ye Merry Gentlemen</t>
  </si>
  <si>
    <t>Good Christian Men Rejoice</t>
  </si>
  <si>
    <t>Mary Did You Know</t>
  </si>
  <si>
    <t>We Three Kings</t>
  </si>
  <si>
    <t>While Shepherds Watched</t>
  </si>
  <si>
    <t>CCWS Christmas</t>
  </si>
  <si>
    <t>Keith &amp; Kristyn Getty</t>
  </si>
  <si>
    <t>Keith Getty</t>
  </si>
  <si>
    <t>Keith and Kristyn Getty</t>
  </si>
  <si>
    <t>Matt Boswell</t>
  </si>
  <si>
    <t>Michael Farren</t>
  </si>
  <si>
    <t>Amy Grant</t>
  </si>
  <si>
    <t>Joy to the World</t>
  </si>
  <si>
    <t>Joyful, Joyful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</si>
  <si>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</si>
  <si>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</si>
  <si>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</si>
  <si>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</si>
  <si>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</si>
  <si>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</si>
  <si>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</si>
  <si>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</si>
  <si>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</si>
  <si>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</si>
  <si>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</si>
  <si>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</si>
  <si>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</si>
  <si>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</si>
  <si>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</si>
  <si>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</si>
  <si>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</si>
  <si>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</si>
  <si>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Psalm 27</t>
  </si>
  <si>
    <t>One Thing</t>
  </si>
  <si>
    <t>Surely Goodness, Surely Mercy</t>
  </si>
  <si>
    <t>Above All Else</t>
  </si>
  <si>
    <t>Holy, Holy, Holy</t>
  </si>
  <si>
    <t>We Bow Before Thee</t>
  </si>
  <si>
    <t>Full of Love</t>
  </si>
  <si>
    <t>Lord You Are</t>
  </si>
  <si>
    <t>Turn Your Eyes Upon Jesus</t>
  </si>
  <si>
    <t>Praise to the Lord</t>
  </si>
  <si>
    <t>Living Waters</t>
  </si>
  <si>
    <t>As the Deer</t>
  </si>
  <si>
    <t>WI Singles</t>
  </si>
  <si>
    <t>Run</t>
  </si>
  <si>
    <t>Liberty Worship Collective</t>
  </si>
  <si>
    <t>Where You Are</t>
  </si>
  <si>
    <t>Better</t>
  </si>
  <si>
    <t>By The Grace of God</t>
  </si>
  <si>
    <t>Make Room</t>
  </si>
  <si>
    <t>Psalm 13</t>
  </si>
  <si>
    <t>Other CCLI#</t>
  </si>
  <si>
    <t>Category</t>
  </si>
  <si>
    <t>Christmas</t>
  </si>
  <si>
    <t>Contemporary</t>
  </si>
  <si>
    <t>Brian Doerksen</t>
  </si>
  <si>
    <t>Andrew Peterson, Ben Shive</t>
  </si>
  <si>
    <t>Lisa Gungor, Michael Gungor</t>
  </si>
  <si>
    <t>worshiptogether.com</t>
  </si>
  <si>
    <t>Robert Robinson, John Wyeth</t>
  </si>
  <si>
    <t>Songs From Wellhouse</t>
  </si>
  <si>
    <t>Jason Ingram, Reuben Morgan</t>
  </si>
  <si>
    <t>Ben Cantelon, Tim Hughes</t>
  </si>
  <si>
    <t>Leslie Jordan</t>
  </si>
  <si>
    <t>Charles Hutchinson Gabriel, Chris Tomlin</t>
  </si>
  <si>
    <t>Horatio Gates Spafford, Philip Paul Bliss</t>
  </si>
  <si>
    <t>Alex Nifong, Elvina Hall</t>
  </si>
  <si>
    <t>Pay Me Please Publishing</t>
  </si>
  <si>
    <t>Matt Redman, Beth Redman</t>
  </si>
  <si>
    <t>Jason Ingram, Matt Redman</t>
  </si>
  <si>
    <t>David Crowder</t>
  </si>
  <si>
    <t>Joel Houston, Scott Ligertwood</t>
  </si>
  <si>
    <t>Tim Neufeld, Jon Neufeld</t>
  </si>
  <si>
    <t>Birdwing Music</t>
  </si>
  <si>
    <t>Tim Hughes, Nick Herbert</t>
  </si>
  <si>
    <t>Shane Barnard, Beth Barnard</t>
  </si>
  <si>
    <t>River Oaks Music Company</t>
  </si>
  <si>
    <t>Shane Barnard, Shane Everett</t>
  </si>
  <si>
    <t>Hillsong?</t>
  </si>
  <si>
    <t>Year</t>
  </si>
  <si>
    <t>Kickstarter Project</t>
  </si>
  <si>
    <t>Prerelease</t>
  </si>
  <si>
    <t>Psalms</t>
  </si>
  <si>
    <t>A Worship Initiative Christmas, Vol. 2</t>
  </si>
  <si>
    <t>Played live but not included on any album</t>
  </si>
  <si>
    <t>A Worship Initiative Christmas, Vol. 1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</si>
  <si>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</si>
  <si>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</si>
  <si>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</si>
  <si>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</si>
  <si>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</si>
  <si>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</si>
  <si>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</si>
  <si>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</si>
  <si>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</si>
  <si>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</si>
  <si>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</si>
  <si>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From CCWS Xmas</t>
  </si>
  <si>
    <t>From CCWS</t>
  </si>
  <si>
    <t>Extra</t>
  </si>
  <si>
    <t>CCLI#</t>
  </si>
  <si>
    <t>Album</t>
  </si>
  <si>
    <t>Track</t>
  </si>
  <si>
    <t>In List?</t>
  </si>
  <si>
    <t>Psalms, Vol. 2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</si>
  <si>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</si>
  <si>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</si>
  <si>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</si>
  <si>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</si>
  <si>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</si>
  <si>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</si>
  <si>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</si>
  <si>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</si>
  <si>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</si>
  <si>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Tracks</t>
  </si>
  <si>
    <t>S&amp;S?</t>
  </si>
  <si>
    <t>#</t>
  </si>
  <si>
    <t>Sony/ATV Milene Music</t>
  </si>
  <si>
    <t>John Wyeth, Robert Robinson, Thomas Miller</t>
  </si>
  <si>
    <t>Steve Fee, Vicky Beeching</t>
  </si>
  <si>
    <t>sixsteps Songs</t>
  </si>
  <si>
    <t>Andrew Bergthold Designee</t>
  </si>
  <si>
    <t>Brian and Jenn Johnson</t>
  </si>
  <si>
    <t>Mission House</t>
  </si>
  <si>
    <t>Community Music, Elyssa Smith, The Church Will Sing</t>
  </si>
  <si>
    <t>Chris Tomlin, Matt Maher</t>
  </si>
  <si>
    <t>3/2,2/2</t>
  </si>
  <si>
    <t>Getty Music Publishing</t>
  </si>
  <si>
    <t>Getty Music Hymns and Songs</t>
  </si>
  <si>
    <t>Sovereign Lifestyle Music</t>
  </si>
  <si>
    <t>Lauren Daigle, Paul Duncan, Paul Mabury</t>
  </si>
  <si>
    <t>CentricSongs</t>
  </si>
  <si>
    <t>Louis Bourgeois, Thomas Ken, Thomas Miller</t>
  </si>
  <si>
    <t>Mary Elizabeth Miller, Thomas Miller</t>
  </si>
  <si>
    <t>Be Essential Songs</t>
  </si>
  <si>
    <t>12/8</t>
  </si>
  <si>
    <t>UR Global Publishing</t>
  </si>
  <si>
    <t>Bethel Worship Publishing</t>
  </si>
  <si>
    <t>Lincoln Brewster, Paul Baloche</t>
  </si>
  <si>
    <t>Israel Houghton</t>
  </si>
  <si>
    <t>Hope Publishing Company</t>
  </si>
  <si>
    <t>Files Done</t>
  </si>
  <si>
    <t>Info Done</t>
  </si>
  <si>
    <t>Farren Love And War Publishing</t>
  </si>
  <si>
    <t>A New Song For A New Day Music</t>
  </si>
  <si>
    <t>Black MTN Music</t>
  </si>
  <si>
    <t>Charles Frederick Weigle</t>
  </si>
  <si>
    <t>Lou Fellingham, Mark Alan Schoolmeesters, Michael Farren</t>
  </si>
  <si>
    <t>Common Hymnal Digital</t>
  </si>
  <si>
    <t>One Skylight Music</t>
  </si>
  <si>
    <t>Leeland Mooring</t>
  </si>
  <si>
    <t>Jaguerra Songs</t>
  </si>
  <si>
    <t>Lyrics Only</t>
  </si>
  <si>
    <t>Heritage Worship Music Publishing</t>
  </si>
  <si>
    <t>Heath Balltzglier, Johnny Hamilton, Jonathan Jay, Mitch Wong</t>
  </si>
  <si>
    <t>Dan Hamilton, Joseph Hart, Robbie Seay, Ryan Owens, Taylor Johnson</t>
  </si>
  <si>
    <t>Dejamesolo Music</t>
  </si>
  <si>
    <t>Andrew Peterson, Ben Shive</t>
  </si>
  <si>
    <t>Jakedog Music</t>
  </si>
  <si>
    <t>Camaryn Avers, Erik Nieder</t>
  </si>
  <si>
    <t>Jordan Kauflin</t>
  </si>
  <si>
    <t>3/4,4/4</t>
  </si>
  <si>
    <t>Hillsong MP Songs</t>
  </si>
  <si>
    <t>Kalley Heiligenthal, Benjamin Hastings</t>
  </si>
  <si>
    <t>Chris McClarney, Nate Moore, Tony Brown</t>
  </si>
  <si>
    <t>Aodhan King, Jonas Myrin</t>
  </si>
  <si>
    <t>Michael Farren, Jonny Robinson, Dustin Smith, Rich Thompson</t>
  </si>
  <si>
    <t>Jonny Robinson, Rich Thompson</t>
  </si>
  <si>
    <t>Chris Brown, Fanny Jane Crosby, Mack Brock, Phoebe Palmer Knapp</t>
  </si>
  <si>
    <t>Brett Younker, Hank Bentley, Jason Ingram, Kristian Stanfill, Matt Maher</t>
  </si>
  <si>
    <t>Melodie Malone, Phil Wickham, Kristian Stanfill</t>
  </si>
  <si>
    <t>Scott Ligertwood, Brooke Ligertwood, Chris Davenport</t>
  </si>
  <si>
    <t>Chris Quilala, Phil Wickham, Hank Bentley</t>
  </si>
  <si>
    <t>Chris Tomlin, Christy Nockels, Kristian Stanfill, Matt Redman, Nathan Nockels, Tony Wood</t>
  </si>
  <si>
    <t>Keith Getty, Matt Boswell, Jordan Kauflin, Matthew Merker, Matt Papa</t>
  </si>
  <si>
    <t>David Crowder, Ed Cash, Hank Bentley, Darren Mulligan</t>
  </si>
  <si>
    <t>Steven Furtick, Chris Brown, Mack Brock</t>
  </si>
  <si>
    <t>Phil Wickham, Brian Johnson, Matt Brock</t>
  </si>
  <si>
    <t>Phil Wickham, Thomas Ken, Louis Bourgeois</t>
  </si>
  <si>
    <t>Brandon Lake, Chris Brown, Steven Furtick, Tiffany Hammer</t>
  </si>
  <si>
    <t>Fernando Ortega, Rich Nibbe</t>
  </si>
  <si>
    <t>Brian Johnson, Hannah McClure, Joel Taylor, Paul McClure</t>
  </si>
  <si>
    <t>Matt Redman, Mitch Wong, Josh Silverberg, Jacob Sooter</t>
  </si>
  <si>
    <t>Brandon Lake, Kristian Stanfill, Jonathan Smith</t>
  </si>
  <si>
    <t>Chris Brown, Cody Carnes, Kari Jobe, Steven Furtick</t>
  </si>
  <si>
    <t>Jacob Sooter, Eddie Hoagland, Jon Guerra</t>
  </si>
  <si>
    <t>Lemuel Marin, Joe L. Barnes, Dante Bowe, Aaron Moses, Phillip Carrington Gaines, Keila Alvarado</t>
  </si>
  <si>
    <t>Phil Wickham, Tim Hughes</t>
  </si>
  <si>
    <t>Dante Bowe, Majesty Rose, Kirby Kaple, Jonathan Jay</t>
  </si>
  <si>
    <t>Naomi Raine, Benji Cowart, Alton Eugene</t>
  </si>
  <si>
    <t>Jason Ingram, Bryan Brown, Tony Wood</t>
  </si>
  <si>
    <t>Benjamin Hastings, Michael Fatkin, Scott Groom</t>
  </si>
  <si>
    <t>Cody Carnes, Matt Maher, Ran Jackson</t>
  </si>
  <si>
    <t>Jon Reddick, Jess Cates, Anthony Skinner</t>
  </si>
  <si>
    <t>Pat Barrett, Ed Cash, Chris Tomlin</t>
  </si>
  <si>
    <t>Brian Johnson, Kristene DiMarco, Nick Herbert, Tim Hughes, Martin Smith</t>
  </si>
  <si>
    <t>Jessica Ray Langdon, Taylor Leonhardt, Leslie Jordan</t>
  </si>
  <si>
    <t>Rebekah White, Josh Farro, Evelyn Heideriqui, Lucas Cortazio</t>
  </si>
  <si>
    <t>Alisa Turner, Michael Farren, Tony Wood</t>
  </si>
  <si>
    <t>Heritage Worship Publishing</t>
  </si>
  <si>
    <t>Highlands Creative Publishing</t>
  </si>
  <si>
    <t>Jeremy Riddle Music Designee</t>
  </si>
  <si>
    <t>A Popular Muse</t>
  </si>
  <si>
    <t>Aaron Ivey Designee</t>
  </si>
  <si>
    <t>Tent Peg Music</t>
  </si>
  <si>
    <t>Hillsong MP Music</t>
  </si>
  <si>
    <t>Jenn Johnson, Ed Cash, Jason Ingram, Ben Fielding, Brian Johnson</t>
  </si>
  <si>
    <t>Dylan Thomas, Joel Houston, Michael Guy Chislett</t>
  </si>
  <si>
    <t>Amanda Cook, Chris McClarney,Tony Brown, Nate Moore</t>
  </si>
  <si>
    <t>Jordan Merritt, Melanie Tierce, Jake Richards, "The Emerging Sound"</t>
  </si>
  <si>
    <t>Natalie Grant, Mia Fieldes, Andrew Holt and Seth Mosley</t>
  </si>
  <si>
    <t>Aaron Ivey, Brett Land</t>
  </si>
  <si>
    <t>Audrey Assad, Bryan Brown</t>
  </si>
  <si>
    <t>Mia Fieldes, Melodie Malone, Jimi Cravity, Brett Younker</t>
  </si>
  <si>
    <t>Rita Springer, Steffany Frizzell Gretzinger, John-Paul Gentile</t>
  </si>
  <si>
    <t>Jeremy Riddle, Peter Mattis, Ran Jackson, Steffany Gretzinger</t>
  </si>
  <si>
    <t>Phil Wickham, Kristian Stanfill, Brett Younker</t>
  </si>
  <si>
    <t>Jesse Reeves, John Larson, Nicole McLean</t>
  </si>
  <si>
    <t>Josh Baldwin, Ethan Hulse, Rita Springer, Mark Harris</t>
  </si>
  <si>
    <t>Daniel Bashta, Ben Smith, Pat Barrett</t>
  </si>
  <si>
    <t>Eddie Hoagland, Mia Fieldes, Jonathan Smith</t>
  </si>
  <si>
    <t>Phil Wickham, Jonas Myrin</t>
  </si>
  <si>
    <t>Anthems of Hope</t>
  </si>
  <si>
    <t>Atlas Mountain Song</t>
  </si>
  <si>
    <t>Shane Barnard</t>
  </si>
  <si>
    <t>Wellhouse</t>
  </si>
  <si>
    <t>Flychild Publishing</t>
  </si>
  <si>
    <t>Ariose Music</t>
  </si>
  <si>
    <t>Jordan Patterson, Kevin C. Jones, Shane Barnard</t>
  </si>
  <si>
    <t>Jack Mooring Music</t>
  </si>
  <si>
    <t>Centricity Music Publishing</t>
  </si>
  <si>
    <t>Amanda Cook</t>
  </si>
  <si>
    <t>Jlee Publishing</t>
  </si>
  <si>
    <t>Twila Paris</t>
  </si>
  <si>
    <t>Robert Lowry, Shane Barnard</t>
  </si>
  <si>
    <t>Jon Foreman</t>
  </si>
  <si>
    <t>Rubadub Rublishing Publishing</t>
  </si>
  <si>
    <t>Kari Jobe</t>
  </si>
  <si>
    <t>Matt Redman</t>
  </si>
  <si>
    <t>Reuben Morgan</t>
  </si>
  <si>
    <t>Brooke Ligertwood</t>
  </si>
  <si>
    <t>Jason Ingram, Patrick Ryan Clark</t>
  </si>
  <si>
    <t>So Essential Tunes</t>
  </si>
  <si>
    <t>John Barnett</t>
  </si>
  <si>
    <t>Donna Adkins</t>
  </si>
  <si>
    <t>Jonathan Abel</t>
  </si>
  <si>
    <t>Chad Cates, Jonathan Abel</t>
  </si>
  <si>
    <t>Icing on the Cates Music</t>
  </si>
  <si>
    <t>Sanchez, Pete, Jr.</t>
  </si>
  <si>
    <t>Does Not Exist</t>
  </si>
  <si>
    <t>John Bacchus Dykes, Kevin Jones, Reginald Heber, Shane Barnard</t>
  </si>
  <si>
    <t>Adrian Disch, Edwin Othello Excell, Lowell Mason, Shane Barnard, William Cowper</t>
  </si>
  <si>
    <t>Helen H. Lemmel</t>
  </si>
  <si>
    <t>Adoniram Judson Gordon, William Ralph Featherstone</t>
  </si>
  <si>
    <t>Catherine Winkworth, Joachim Neander</t>
  </si>
  <si>
    <t>Jon Abel, Shane Barnard</t>
  </si>
  <si>
    <t>Bleecker Publishing</t>
  </si>
  <si>
    <t>Edward Perronet, John Rippon, Oliver Holden</t>
  </si>
  <si>
    <t>C#m</t>
  </si>
  <si>
    <t>Sean Carter, Shane Barnard</t>
  </si>
  <si>
    <t>Beth Barnard, Shane Barnard</t>
  </si>
  <si>
    <t>Shane Barnard</t>
  </si>
  <si>
    <t>Bbm</t>
  </si>
  <si>
    <t>Ashley Kidd, Fiona Barbosa, Josh Auer, Judson Harris, Louis Fabrizi, Phil Wickham</t>
  </si>
  <si>
    <t>Robert Robinson, Shane Barnard</t>
  </si>
  <si>
    <t>Clouseau Music Ltd</t>
  </si>
  <si>
    <t>George Frideric Handel, Isaac Watts</t>
  </si>
  <si>
    <t>Lauren Daigle, Michael Farren, Seth Mosley</t>
  </si>
  <si>
    <t>Beth Redman, Matt Redman</t>
  </si>
  <si>
    <t>Chris Tomlin, Louie Giglio</t>
  </si>
  <si>
    <t>Matt Maher, Jason Ingram</t>
  </si>
  <si>
    <t>Matt Maher, Mia Fieldes</t>
  </si>
  <si>
    <t>Jonathan Lee, Jennie Lee Riddle</t>
  </si>
  <si>
    <t>Glenn Packiam, Paul Baloche</t>
  </si>
  <si>
    <t>Ben Fielding, Reuben Morgan</t>
  </si>
  <si>
    <t>Jonas Myrin, Matt Redman</t>
  </si>
  <si>
    <t>Daniel Bashta, Brian Johnson, Joel Taylor, Bobby Strand</t>
  </si>
  <si>
    <t>Ben Fielding, Matt Crocker</t>
  </si>
  <si>
    <t>Ben Glover, Chris Tomlin, Reuben Morgan</t>
  </si>
  <si>
    <t>David Leonard, Jack Mooring, Leeland Mooring, Leslie Jordan</t>
  </si>
  <si>
    <t>Andi Rozier, James Macdonald, Jason Ingram, Meredith Andrews, Stuart Garrard</t>
  </si>
  <si>
    <t>Bryan Torwalt, Katie Torwalt</t>
  </si>
  <si>
    <t>Corey Voss, Michael Bryce Jr., Michael Farren, Dustin Smith</t>
  </si>
  <si>
    <t>Aaron Keyes, Jack Mooring, Bryan Brown</t>
  </si>
  <si>
    <t>Aaron Keyes, Matt McMichael, Pat Barrett</t>
  </si>
  <si>
    <t>Paul McClure, Hannah McClure, Kalley Heiligenthal</t>
  </si>
  <si>
    <t>Alexander Pappas, Aodhan King</t>
  </si>
  <si>
    <t>Ben Glover, David Crowder, Matt Maher</t>
  </si>
  <si>
    <t>Jason Ingram, Jeff Johnson, Paul Mabury</t>
  </si>
  <si>
    <t>Jamie Snell, Joshua Grimmett, Reuben Morgan</t>
  </si>
  <si>
    <t>Ian McIntosh, Jenn Johnson</t>
  </si>
  <si>
    <t>Brenton Brown, Brett Younker, Sean Curran</t>
  </si>
  <si>
    <t>Jason Ingram, Andi Rozier, Meredith Andrews</t>
  </si>
  <si>
    <t>Chris Tomlin, Jason Ingram, Louie Giglio</t>
  </si>
  <si>
    <t>Chris Quilala, Phil Wickham</t>
  </si>
  <si>
    <t>Jason Ingram, Kristian Stanfill</t>
  </si>
  <si>
    <t>Chris Tomlin, Matt Redman, Jonas Myrin</t>
  </si>
  <si>
    <t>Matt Crocker, Joel Houston, Scott Ligertwood, Reuben Morgan, Marty Sampson</t>
  </si>
  <si>
    <t>Jonathan Smith, Mia Fieldes, Zach Williams</t>
  </si>
  <si>
    <t>Ada Ruth Habershon, Matthew Merker</t>
  </si>
  <si>
    <t>Keith Getty, Kristyn Getty, Graham Kendrick</t>
  </si>
  <si>
    <t>Eleanor Henrietta Hull, Mary Elizabeth Byrne, Russell Mauldin</t>
  </si>
  <si>
    <t>Matt Boswell, Matt Papa, Michael Bleecker</t>
  </si>
  <si>
    <t>Ed Cash, Kristyn Getty</t>
  </si>
  <si>
    <t>Chris Eaton, Amy Grant</t>
  </si>
  <si>
    <t>Phil Wickham, Shane Barnard, Shane Everett</t>
  </si>
  <si>
    <t>Shane Barnard, Josh Miller, Jennie Lee Riddle, Josiah Warneking</t>
  </si>
  <si>
    <t>Joe Rigney, Shane Barnard</t>
  </si>
  <si>
    <t>Sean Carter, Shane Barnard</t>
  </si>
  <si>
    <t>Phil Wickham, Brian Johnson</t>
  </si>
  <si>
    <t>Jonathan David Helser, Melissa Helser, Molly Skaggs, Jake Stevens</t>
  </si>
  <si>
    <t>Benjamin Hastings, Melodie Wagner, Michael Fatkin</t>
  </si>
  <si>
    <t>Sean Curran, Allen Swoope, Natalie Sims</t>
  </si>
  <si>
    <t>Aodhan King, Joel Davies</t>
  </si>
  <si>
    <t>CCLI100?</t>
  </si>
  <si>
    <t>S&amp;S Original</t>
  </si>
  <si>
    <t>YES</t>
  </si>
  <si>
    <t>Exclude</t>
  </si>
  <si>
    <t>7036011, 7036012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</si>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</sst>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 vertical="center"/>
    </xf>
    <xf numFmtId="16" fontId="0" fillId="0" borderId="0" xfId="0" quotePrefix="1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quotePrefix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15" fontId="4" fillId="0" borderId="9" xfId="0" applyNumberFormat="1" applyFont="1" applyBorder="1"/>
    <xf numFmtId="15" fontId="5" fillId="0" borderId="9" xfId="0" applyNumberFormat="1" applyFont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CcwsBethelCommun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AndSha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liTop100/CcliTop1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HillsongWorship/HillsongWorsh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L1" t="str">
            <v>CCLI#</v>
          </cell>
        </row>
        <row r="2">
          <cell r="L2">
            <v>6016351</v>
          </cell>
        </row>
        <row r="3">
          <cell r="L3">
            <v>42964</v>
          </cell>
        </row>
        <row r="4">
          <cell r="L4">
            <v>2672885</v>
          </cell>
        </row>
        <row r="5">
          <cell r="L5">
            <v>7008232</v>
          </cell>
        </row>
        <row r="6">
          <cell r="L6">
            <v>120556</v>
          </cell>
        </row>
        <row r="7">
          <cell r="L7">
            <v>5881130</v>
          </cell>
        </row>
        <row r="8">
          <cell r="L8">
            <v>5869860</v>
          </cell>
        </row>
        <row r="9">
          <cell r="L9">
            <v>22025</v>
          </cell>
        </row>
        <row r="10">
          <cell r="L10">
            <v>4768151</v>
          </cell>
        </row>
        <row r="11">
          <cell r="L11">
            <v>2986399</v>
          </cell>
        </row>
        <row r="12">
          <cell r="L12">
            <v>25280</v>
          </cell>
        </row>
        <row r="13">
          <cell r="L13">
            <v>7124907</v>
          </cell>
        </row>
        <row r="14">
          <cell r="L14">
            <v>21105</v>
          </cell>
        </row>
        <row r="15">
          <cell r="L15">
            <v>1431</v>
          </cell>
        </row>
        <row r="16">
          <cell r="L16">
            <v>29499</v>
          </cell>
        </row>
        <row r="17">
          <cell r="L17">
            <v>7017786</v>
          </cell>
        </row>
        <row r="18">
          <cell r="L18">
            <v>7054178</v>
          </cell>
        </row>
        <row r="19">
          <cell r="L19">
            <v>30639</v>
          </cell>
        </row>
        <row r="20">
          <cell r="L20">
            <v>3915912</v>
          </cell>
        </row>
        <row r="21">
          <cell r="L21">
            <v>16880</v>
          </cell>
        </row>
        <row r="22">
          <cell r="L22">
            <v>2306412</v>
          </cell>
        </row>
        <row r="23">
          <cell r="L23">
            <v>5937510</v>
          </cell>
        </row>
        <row r="24">
          <cell r="L24">
            <v>1101763</v>
          </cell>
        </row>
        <row r="25">
          <cell r="L25">
            <v>1097451</v>
          </cell>
        </row>
        <row r="26">
          <cell r="L26">
            <v>22324</v>
          </cell>
        </row>
        <row r="27">
          <cell r="L27">
            <v>3798438</v>
          </cell>
        </row>
        <row r="28">
          <cell r="L28">
            <v>5910977</v>
          </cell>
        </row>
        <row r="29">
          <cell r="L29">
            <v>7019974</v>
          </cell>
        </row>
        <row r="30">
          <cell r="L30">
            <v>7070345</v>
          </cell>
        </row>
        <row r="31">
          <cell r="L31">
            <v>6186078</v>
          </cell>
        </row>
        <row r="32">
          <cell r="L32">
            <v>4705190</v>
          </cell>
        </row>
        <row r="33">
          <cell r="L33">
            <v>6514035</v>
          </cell>
        </row>
        <row r="34">
          <cell r="L34">
            <v>27965</v>
          </cell>
        </row>
        <row r="35">
          <cell r="L35">
            <v>7019316</v>
          </cell>
        </row>
        <row r="36">
          <cell r="L36">
            <v>2430948</v>
          </cell>
        </row>
        <row r="37">
          <cell r="L37">
            <v>108389</v>
          </cell>
        </row>
        <row r="38">
          <cell r="L38">
            <v>6158927</v>
          </cell>
        </row>
        <row r="39">
          <cell r="L39">
            <v>6463818</v>
          </cell>
        </row>
        <row r="40">
          <cell r="L40">
            <v>23938</v>
          </cell>
        </row>
        <row r="41">
          <cell r="L41">
            <v>1537904</v>
          </cell>
        </row>
        <row r="42">
          <cell r="L42">
            <v>7046448</v>
          </cell>
        </row>
        <row r="43">
          <cell r="L43">
            <v>7102440</v>
          </cell>
        </row>
        <row r="44">
          <cell r="L44">
            <v>7067555</v>
          </cell>
        </row>
        <row r="45">
          <cell r="L45">
            <v>7036288</v>
          </cell>
        </row>
        <row r="46">
          <cell r="L46">
            <v>7030065</v>
          </cell>
        </row>
        <row r="47">
          <cell r="L47">
            <v>4556538</v>
          </cell>
        </row>
        <row r="48">
          <cell r="L48">
            <v>5869877</v>
          </cell>
        </row>
        <row r="49">
          <cell r="L49">
            <v>3148428</v>
          </cell>
        </row>
        <row r="50">
          <cell r="L50">
            <v>7001228</v>
          </cell>
        </row>
        <row r="51">
          <cell r="L51">
            <v>7068806</v>
          </cell>
        </row>
        <row r="52">
          <cell r="L52">
            <v>4705176</v>
          </cell>
        </row>
        <row r="53">
          <cell r="L53">
            <v>7081388</v>
          </cell>
        </row>
        <row r="54">
          <cell r="L54">
            <v>5638022</v>
          </cell>
        </row>
        <row r="55">
          <cell r="L55">
            <v>5037070</v>
          </cell>
        </row>
        <row r="56">
          <cell r="L56">
            <v>3118757</v>
          </cell>
        </row>
        <row r="57">
          <cell r="L57">
            <v>7036612</v>
          </cell>
        </row>
        <row r="58">
          <cell r="L58">
            <v>7091509</v>
          </cell>
        </row>
        <row r="59">
          <cell r="L59">
            <v>6460220</v>
          </cell>
        </row>
        <row r="60">
          <cell r="L60">
            <v>5881491</v>
          </cell>
        </row>
        <row r="61">
          <cell r="L61">
            <v>18723</v>
          </cell>
        </row>
        <row r="62">
          <cell r="L62">
            <v>7109317</v>
          </cell>
        </row>
        <row r="63">
          <cell r="L63">
            <v>7107551</v>
          </cell>
        </row>
        <row r="64">
          <cell r="L64">
            <v>6550556</v>
          </cell>
        </row>
        <row r="65">
          <cell r="L65">
            <v>4026635</v>
          </cell>
        </row>
        <row r="66">
          <cell r="L66">
            <v>4873981</v>
          </cell>
        </row>
        <row r="67">
          <cell r="L67">
            <v>2296522</v>
          </cell>
        </row>
        <row r="68">
          <cell r="L68">
            <v>7111925</v>
          </cell>
        </row>
        <row r="69">
          <cell r="L69">
            <v>5925649</v>
          </cell>
        </row>
        <row r="70">
          <cell r="L70">
            <v>3266032</v>
          </cell>
        </row>
        <row r="71">
          <cell r="L71">
            <v>3287884</v>
          </cell>
        </row>
        <row r="72">
          <cell r="L72">
            <v>6129798</v>
          </cell>
        </row>
        <row r="73">
          <cell r="L73">
            <v>1156</v>
          </cell>
        </row>
        <row r="74">
          <cell r="L74">
            <v>21545</v>
          </cell>
        </row>
        <row r="75">
          <cell r="L75">
            <v>4785835</v>
          </cell>
        </row>
        <row r="76">
          <cell r="L76">
            <v>4662491</v>
          </cell>
        </row>
        <row r="77">
          <cell r="L77">
            <v>1558110</v>
          </cell>
        </row>
        <row r="78">
          <cell r="L78">
            <v>107816</v>
          </cell>
        </row>
        <row r="79">
          <cell r="L79">
            <v>4348399</v>
          </cell>
        </row>
        <row r="80">
          <cell r="L80">
            <v>14181</v>
          </cell>
        </row>
        <row r="81">
          <cell r="L81">
            <v>2978857</v>
          </cell>
        </row>
        <row r="82">
          <cell r="L82">
            <v>31762</v>
          </cell>
        </row>
        <row r="83">
          <cell r="L83">
            <v>5869884</v>
          </cell>
        </row>
        <row r="84">
          <cell r="L84">
            <v>25297</v>
          </cell>
        </row>
        <row r="85">
          <cell r="L85">
            <v>23914</v>
          </cell>
        </row>
        <row r="86">
          <cell r="L86">
            <v>23189</v>
          </cell>
        </row>
        <row r="87">
          <cell r="L87">
            <v>5806878</v>
          </cell>
        </row>
        <row r="88">
          <cell r="L88">
            <v>5183450</v>
          </cell>
        </row>
        <row r="89">
          <cell r="L89">
            <v>7074703</v>
          </cell>
        </row>
        <row r="90">
          <cell r="L90">
            <v>2328610</v>
          </cell>
        </row>
        <row r="91">
          <cell r="L91">
            <v>26399</v>
          </cell>
        </row>
        <row r="92">
          <cell r="L92">
            <v>3350395</v>
          </cell>
        </row>
        <row r="93">
          <cell r="L93">
            <v>4403076</v>
          </cell>
        </row>
        <row r="94">
          <cell r="L94">
            <v>7021972</v>
          </cell>
        </row>
        <row r="95">
          <cell r="L95">
            <v>25376</v>
          </cell>
        </row>
        <row r="96">
          <cell r="L96">
            <v>148576</v>
          </cell>
        </row>
        <row r="97">
          <cell r="L97">
            <v>7121850</v>
          </cell>
        </row>
        <row r="98">
          <cell r="L98">
            <v>5183443</v>
          </cell>
        </row>
        <row r="99">
          <cell r="L99">
            <v>22331</v>
          </cell>
        </row>
        <row r="100">
          <cell r="L100">
            <v>6223539</v>
          </cell>
        </row>
        <row r="101">
          <cell r="L101">
            <v>23206</v>
          </cell>
        </row>
        <row r="102">
          <cell r="L102">
            <v>5635850</v>
          </cell>
        </row>
        <row r="103">
          <cell r="L103">
            <v>7127647</v>
          </cell>
        </row>
        <row r="104">
          <cell r="L104">
            <v>7046145</v>
          </cell>
        </row>
        <row r="105">
          <cell r="L105">
            <v>1045238</v>
          </cell>
        </row>
        <row r="106">
          <cell r="L106">
            <v>16787</v>
          </cell>
        </row>
        <row r="107">
          <cell r="L107">
            <v>6223577</v>
          </cell>
        </row>
        <row r="108">
          <cell r="L108">
            <v>4785828</v>
          </cell>
        </row>
        <row r="109">
          <cell r="L109">
            <v>33935</v>
          </cell>
        </row>
        <row r="110">
          <cell r="L110">
            <v>7038281</v>
          </cell>
        </row>
        <row r="111">
          <cell r="L111">
            <v>7106807</v>
          </cell>
        </row>
        <row r="112">
          <cell r="L112">
            <v>117947</v>
          </cell>
        </row>
        <row r="113">
          <cell r="L113">
            <v>5925687</v>
          </cell>
        </row>
        <row r="114">
          <cell r="L114">
            <v>7063694</v>
          </cell>
        </row>
        <row r="115">
          <cell r="L115">
            <v>6518055</v>
          </cell>
        </row>
        <row r="116">
          <cell r="L116">
            <v>18448</v>
          </cell>
        </row>
        <row r="117">
          <cell r="L117">
            <v>1527</v>
          </cell>
        </row>
        <row r="118">
          <cell r="L118">
            <v>4219071</v>
          </cell>
        </row>
        <row r="119">
          <cell r="L119">
            <v>6476063</v>
          </cell>
        </row>
        <row r="120">
          <cell r="L120">
            <v>7000689</v>
          </cell>
        </row>
        <row r="121">
          <cell r="L121">
            <v>4591782</v>
          </cell>
        </row>
        <row r="122">
          <cell r="L122">
            <v>24133</v>
          </cell>
        </row>
        <row r="123">
          <cell r="L123">
            <v>6428853</v>
          </cell>
        </row>
        <row r="124">
          <cell r="L124">
            <v>7065990</v>
          </cell>
        </row>
        <row r="125">
          <cell r="L125">
            <v>7002032</v>
          </cell>
        </row>
        <row r="126">
          <cell r="L126">
            <v>2397964</v>
          </cell>
        </row>
        <row r="127">
          <cell r="L127">
            <v>78835</v>
          </cell>
        </row>
        <row r="128">
          <cell r="L128">
            <v>7102397</v>
          </cell>
        </row>
        <row r="129">
          <cell r="L129">
            <v>7030123</v>
          </cell>
        </row>
        <row r="130">
          <cell r="L130">
            <v>4611992</v>
          </cell>
        </row>
        <row r="131">
          <cell r="L131">
            <v>7051511</v>
          </cell>
        </row>
        <row r="132">
          <cell r="L132">
            <v>7037787</v>
          </cell>
        </row>
        <row r="133">
          <cell r="L133">
            <v>137178</v>
          </cell>
        </row>
        <row r="134">
          <cell r="L134">
            <v>6428767</v>
          </cell>
        </row>
        <row r="135">
          <cell r="L135">
            <v>7044259</v>
          </cell>
        </row>
        <row r="136">
          <cell r="L136">
            <v>1564362</v>
          </cell>
        </row>
        <row r="137">
          <cell r="L137">
            <v>5508444</v>
          </cell>
        </row>
        <row r="138">
          <cell r="L138">
            <v>47017</v>
          </cell>
        </row>
        <row r="139">
          <cell r="L139">
            <v>2298355</v>
          </cell>
        </row>
        <row r="140">
          <cell r="L140">
            <v>5677416</v>
          </cell>
        </row>
        <row r="141">
          <cell r="L141">
            <v>4490766</v>
          </cell>
        </row>
        <row r="142">
          <cell r="L142">
            <v>917491</v>
          </cell>
        </row>
        <row r="143">
          <cell r="L143">
            <v>4543620</v>
          </cell>
        </row>
        <row r="144">
          <cell r="L144">
            <v>7089641</v>
          </cell>
        </row>
        <row r="145">
          <cell r="L145">
            <v>7051507</v>
          </cell>
        </row>
        <row r="146">
          <cell r="L146">
            <v>4447960</v>
          </cell>
        </row>
        <row r="147">
          <cell r="L147">
            <v>5875153</v>
          </cell>
        </row>
        <row r="148">
          <cell r="L148">
            <v>6428750</v>
          </cell>
        </row>
        <row r="149">
          <cell r="L149">
            <v>1352</v>
          </cell>
        </row>
        <row r="150">
          <cell r="L150">
            <v>1406918</v>
          </cell>
        </row>
        <row r="151">
          <cell r="L151">
            <v>7084123</v>
          </cell>
        </row>
        <row r="152">
          <cell r="L152">
            <v>25417</v>
          </cell>
        </row>
        <row r="153">
          <cell r="L153">
            <v>4705248</v>
          </cell>
        </row>
        <row r="154">
          <cell r="L154">
            <v>3940963</v>
          </cell>
        </row>
        <row r="155">
          <cell r="L155">
            <v>5060810</v>
          </cell>
        </row>
        <row r="156">
          <cell r="L156">
            <v>4514635</v>
          </cell>
        </row>
        <row r="157">
          <cell r="L157">
            <v>1390</v>
          </cell>
        </row>
        <row r="158">
          <cell r="L158">
            <v>27707</v>
          </cell>
        </row>
        <row r="159">
          <cell r="L159">
            <v>11483</v>
          </cell>
        </row>
        <row r="160">
          <cell r="L160">
            <v>6333821</v>
          </cell>
        </row>
        <row r="161">
          <cell r="L161">
            <v>6167640</v>
          </cell>
        </row>
        <row r="162">
          <cell r="L162">
            <v>22609</v>
          </cell>
        </row>
        <row r="163">
          <cell r="L163">
            <v>23426</v>
          </cell>
        </row>
        <row r="164">
          <cell r="L164">
            <v>7065049</v>
          </cell>
        </row>
        <row r="165">
          <cell r="L165">
            <v>22094</v>
          </cell>
        </row>
        <row r="166">
          <cell r="L166">
            <v>6454621</v>
          </cell>
        </row>
        <row r="167">
          <cell r="L167">
            <v>1259</v>
          </cell>
        </row>
        <row r="168">
          <cell r="L168">
            <v>7115744</v>
          </cell>
        </row>
        <row r="169">
          <cell r="L169">
            <v>6367165</v>
          </cell>
        </row>
        <row r="170">
          <cell r="L170">
            <v>7068424</v>
          </cell>
        </row>
        <row r="171">
          <cell r="L171">
            <v>27714</v>
          </cell>
        </row>
        <row r="172">
          <cell r="L172">
            <v>27893</v>
          </cell>
        </row>
        <row r="173">
          <cell r="L173">
            <v>31315</v>
          </cell>
        </row>
        <row r="174">
          <cell r="L174">
            <v>4196651</v>
          </cell>
        </row>
        <row r="175">
          <cell r="L175">
            <v>7102401</v>
          </cell>
        </row>
        <row r="176">
          <cell r="L176">
            <v>6440288</v>
          </cell>
        </row>
        <row r="177">
          <cell r="L177">
            <v>3148435</v>
          </cell>
        </row>
        <row r="178">
          <cell r="L178">
            <v>106879</v>
          </cell>
        </row>
        <row r="179">
          <cell r="L179">
            <v>7121852</v>
          </cell>
        </row>
        <row r="180">
          <cell r="L180">
            <v>4243463</v>
          </cell>
        </row>
        <row r="181">
          <cell r="L181">
            <v>2332149</v>
          </cell>
        </row>
        <row r="182">
          <cell r="L182">
            <v>825356</v>
          </cell>
        </row>
        <row r="183">
          <cell r="L183">
            <v>2456623</v>
          </cell>
        </row>
        <row r="184">
          <cell r="L184">
            <v>4477026</v>
          </cell>
        </row>
        <row r="185">
          <cell r="L185">
            <v>5393329</v>
          </cell>
        </row>
        <row r="186">
          <cell r="L186">
            <v>5337172</v>
          </cell>
        </row>
        <row r="187">
          <cell r="L187">
            <v>6214751</v>
          </cell>
        </row>
        <row r="188">
          <cell r="L188">
            <v>31669</v>
          </cell>
        </row>
        <row r="189">
          <cell r="L189">
            <v>27721</v>
          </cell>
        </row>
        <row r="190">
          <cell r="L190">
            <v>38583</v>
          </cell>
        </row>
        <row r="191">
          <cell r="L191">
            <v>31999</v>
          </cell>
        </row>
        <row r="192">
          <cell r="L192">
            <v>29080</v>
          </cell>
        </row>
        <row r="193">
          <cell r="L193">
            <v>39441</v>
          </cell>
        </row>
        <row r="194">
          <cell r="L194">
            <v>85158</v>
          </cell>
        </row>
        <row r="195">
          <cell r="L195">
            <v>27738</v>
          </cell>
        </row>
        <row r="196">
          <cell r="L196">
            <v>31078</v>
          </cell>
        </row>
        <row r="197">
          <cell r="L197">
            <v>24016</v>
          </cell>
        </row>
        <row r="198">
          <cell r="L198">
            <v>839225</v>
          </cell>
        </row>
        <row r="199">
          <cell r="L199">
            <v>31054</v>
          </cell>
        </row>
        <row r="200">
          <cell r="L200">
            <v>31982</v>
          </cell>
        </row>
        <row r="201">
          <cell r="L201">
            <v>32015</v>
          </cell>
        </row>
        <row r="202">
          <cell r="L202">
            <v>27879</v>
          </cell>
        </row>
        <row r="203">
          <cell r="L203">
            <v>27862</v>
          </cell>
        </row>
        <row r="204">
          <cell r="L204">
            <v>31047</v>
          </cell>
        </row>
        <row r="205">
          <cell r="L205">
            <v>38002</v>
          </cell>
        </row>
        <row r="206">
          <cell r="L206">
            <v>30983</v>
          </cell>
        </row>
        <row r="207">
          <cell r="L207">
            <v>32008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J1" t="str">
            <v>CCLI#</v>
          </cell>
        </row>
        <row r="122">
          <cell r="J122">
            <v>6428767</v>
          </cell>
        </row>
        <row r="123">
          <cell r="J123">
            <v>6333821</v>
          </cell>
        </row>
        <row r="124">
          <cell r="J124">
            <v>5881130</v>
          </cell>
        </row>
        <row r="125">
          <cell r="J125">
            <v>5925687</v>
          </cell>
        </row>
        <row r="126">
          <cell r="J126">
            <v>3350395</v>
          </cell>
        </row>
        <row r="127">
          <cell r="J127">
            <v>5665521</v>
          </cell>
        </row>
        <row r="128">
          <cell r="J128">
            <v>7029505</v>
          </cell>
        </row>
        <row r="129">
          <cell r="J129">
            <v>6016351</v>
          </cell>
        </row>
        <row r="130">
          <cell r="J130">
            <v>6440288</v>
          </cell>
        </row>
        <row r="131">
          <cell r="J131">
            <v>4847027</v>
          </cell>
        </row>
        <row r="132">
          <cell r="J132">
            <v>6578772</v>
          </cell>
        </row>
        <row r="133">
          <cell r="J133">
            <v>4662491</v>
          </cell>
        </row>
        <row r="134">
          <cell r="J134">
            <v>5639997</v>
          </cell>
        </row>
        <row r="135">
          <cell r="J135">
            <v>7000689</v>
          </cell>
        </row>
        <row r="136">
          <cell r="J136">
            <v>4348399</v>
          </cell>
        </row>
        <row r="137">
          <cell r="J137">
            <v>825356</v>
          </cell>
        </row>
        <row r="138">
          <cell r="J138">
            <v>17803</v>
          </cell>
        </row>
        <row r="139">
          <cell r="J139">
            <v>5677416</v>
          </cell>
        </row>
        <row r="140">
          <cell r="J140">
            <v>2298355</v>
          </cell>
        </row>
        <row r="141">
          <cell r="J141">
            <v>1097451</v>
          </cell>
        </row>
        <row r="142">
          <cell r="J142">
            <v>7031125</v>
          </cell>
        </row>
        <row r="143">
          <cell r="J143">
            <v>5806878</v>
          </cell>
        </row>
        <row r="144">
          <cell r="J144">
            <v>6186872</v>
          </cell>
        </row>
        <row r="145">
          <cell r="J145">
            <v>14514</v>
          </cell>
        </row>
        <row r="146">
          <cell r="J146">
            <v>5032549</v>
          </cell>
        </row>
        <row r="147">
          <cell r="J147">
            <v>5997055</v>
          </cell>
        </row>
        <row r="148">
          <cell r="J148">
            <v>1406918</v>
          </cell>
        </row>
        <row r="149">
          <cell r="J149">
            <v>2306412</v>
          </cell>
        </row>
        <row r="150">
          <cell r="J150">
            <v>3915912</v>
          </cell>
        </row>
        <row r="151">
          <cell r="J151">
            <v>3798438</v>
          </cell>
        </row>
        <row r="152">
          <cell r="J152">
            <v>7029507</v>
          </cell>
        </row>
        <row r="153">
          <cell r="J153">
            <v>5636866</v>
          </cell>
        </row>
        <row r="154">
          <cell r="J154">
            <v>4158039</v>
          </cell>
        </row>
        <row r="155">
          <cell r="J155">
            <v>5925649</v>
          </cell>
        </row>
        <row r="156">
          <cell r="J156">
            <v>5881037</v>
          </cell>
        </row>
        <row r="157">
          <cell r="J157">
            <v>3266032</v>
          </cell>
        </row>
        <row r="158">
          <cell r="J158">
            <v>5627772</v>
          </cell>
        </row>
        <row r="159">
          <cell r="J159">
            <v>4873981</v>
          </cell>
        </row>
        <row r="160">
          <cell r="J160">
            <v>7029513</v>
          </cell>
        </row>
        <row r="161">
          <cell r="J161">
            <v>4158022</v>
          </cell>
        </row>
        <row r="162">
          <cell r="J162">
            <v>6158927</v>
          </cell>
        </row>
        <row r="163">
          <cell r="J163">
            <v>5207587</v>
          </cell>
        </row>
        <row r="164">
          <cell r="J164">
            <v>5124055</v>
          </cell>
        </row>
        <row r="165">
          <cell r="J165">
            <v>6590798</v>
          </cell>
        </row>
        <row r="166">
          <cell r="J166">
            <v>3040980</v>
          </cell>
        </row>
        <row r="167">
          <cell r="J167">
            <v>5880784</v>
          </cell>
        </row>
        <row r="168">
          <cell r="J168">
            <v>2060208</v>
          </cell>
        </row>
        <row r="169">
          <cell r="J169">
            <v>4689508</v>
          </cell>
        </row>
        <row r="170">
          <cell r="J170">
            <v>5393329</v>
          </cell>
        </row>
        <row r="171">
          <cell r="J171">
            <v>3148435</v>
          </cell>
        </row>
        <row r="172">
          <cell r="J172">
            <v>16880</v>
          </cell>
        </row>
        <row r="173">
          <cell r="J173">
            <v>7029241</v>
          </cell>
        </row>
        <row r="174">
          <cell r="J174">
            <v>4447960</v>
          </cell>
        </row>
        <row r="175">
          <cell r="J175">
            <v>18723</v>
          </cell>
        </row>
        <row r="176">
          <cell r="J176">
            <v>6521035</v>
          </cell>
        </row>
        <row r="177">
          <cell r="J177">
            <v>4491002</v>
          </cell>
        </row>
        <row r="178">
          <cell r="J178">
            <v>3148428</v>
          </cell>
        </row>
        <row r="179">
          <cell r="J179">
            <v>5508444</v>
          </cell>
        </row>
        <row r="180">
          <cell r="J180">
            <v>4785828</v>
          </cell>
        </row>
        <row r="181">
          <cell r="J181">
            <v>4477026</v>
          </cell>
        </row>
        <row r="182">
          <cell r="J182">
            <v>5124024</v>
          </cell>
        </row>
        <row r="183">
          <cell r="J183">
            <v>4785835</v>
          </cell>
        </row>
        <row r="184">
          <cell r="J184">
            <v>4591782</v>
          </cell>
        </row>
        <row r="185">
          <cell r="J185">
            <v>1383</v>
          </cell>
        </row>
        <row r="186">
          <cell r="J186">
            <v>5060793</v>
          </cell>
        </row>
        <row r="187">
          <cell r="J187">
            <v>164361</v>
          </cell>
        </row>
        <row r="188">
          <cell r="J188">
            <v>5710744</v>
          </cell>
        </row>
        <row r="189">
          <cell r="J189">
            <v>5627758</v>
          </cell>
        </row>
        <row r="190">
          <cell r="J190">
            <v>4556538</v>
          </cell>
        </row>
        <row r="191">
          <cell r="J191">
            <v>5409079</v>
          </cell>
        </row>
        <row r="192">
          <cell r="J192">
            <v>4705248</v>
          </cell>
        </row>
        <row r="193">
          <cell r="J193">
            <v>4403076</v>
          </cell>
        </row>
        <row r="194">
          <cell r="J194">
            <v>1866132</v>
          </cell>
        </row>
        <row r="195">
          <cell r="J195">
            <v>4329411</v>
          </cell>
        </row>
        <row r="196">
          <cell r="J196">
            <v>4447984</v>
          </cell>
        </row>
        <row r="197">
          <cell r="J197">
            <v>4674166</v>
          </cell>
        </row>
        <row r="198">
          <cell r="J198">
            <v>3599479</v>
          </cell>
        </row>
        <row r="199">
          <cell r="J199">
            <v>4768151</v>
          </cell>
        </row>
        <row r="200">
          <cell r="J200">
            <v>5553530</v>
          </cell>
        </row>
        <row r="201">
          <cell r="J201">
            <v>4325556</v>
          </cell>
        </row>
        <row r="202">
          <cell r="J202">
            <v>5295221</v>
          </cell>
        </row>
        <row r="203">
          <cell r="J203">
            <v>7029516</v>
          </cell>
        </row>
        <row r="204">
          <cell r="J204">
            <v>2296522</v>
          </cell>
        </row>
        <row r="205">
          <cell r="J205">
            <v>4705176</v>
          </cell>
        </row>
        <row r="206">
          <cell r="J206">
            <v>5060810</v>
          </cell>
        </row>
        <row r="207">
          <cell r="J207">
            <v>6590839</v>
          </cell>
        </row>
        <row r="208">
          <cell r="J208">
            <v>5242683</v>
          </cell>
        </row>
        <row r="209">
          <cell r="J209">
            <v>17827</v>
          </cell>
        </row>
        <row r="210">
          <cell r="J210">
            <v>5720105</v>
          </cell>
        </row>
        <row r="211">
          <cell r="J211">
            <v>4611679</v>
          </cell>
        </row>
        <row r="212">
          <cell r="J212">
            <v>5894275</v>
          </cell>
        </row>
        <row r="213">
          <cell r="J213">
            <v>5337172</v>
          </cell>
        </row>
        <row r="214">
          <cell r="J214">
            <v>7000686</v>
          </cell>
        </row>
        <row r="215">
          <cell r="J215">
            <v>7029242</v>
          </cell>
        </row>
        <row r="216">
          <cell r="J216">
            <v>4219071</v>
          </cell>
        </row>
        <row r="217">
          <cell r="J217">
            <v>5183443</v>
          </cell>
        </row>
        <row r="218">
          <cell r="J218">
            <v>5183450</v>
          </cell>
        </row>
        <row r="219">
          <cell r="J219">
            <v>3118757</v>
          </cell>
        </row>
        <row r="220">
          <cell r="J220">
            <v>2456623</v>
          </cell>
        </row>
        <row r="221">
          <cell r="J221">
            <v>1558110</v>
          </cell>
        </row>
        <row r="222">
          <cell r="J222">
            <v>7053138</v>
          </cell>
        </row>
        <row r="223">
          <cell r="J223">
            <v>7054933</v>
          </cell>
        </row>
        <row r="224">
          <cell r="J224">
            <v>7054932</v>
          </cell>
        </row>
        <row r="225">
          <cell r="J225">
            <v>7054928</v>
          </cell>
        </row>
        <row r="226">
          <cell r="J226">
            <v>7054936</v>
          </cell>
        </row>
        <row r="227">
          <cell r="J227">
            <v>7054935</v>
          </cell>
        </row>
        <row r="228">
          <cell r="J228" t="str">
            <v>N/A</v>
          </cell>
        </row>
        <row r="229">
          <cell r="J229">
            <v>7054927</v>
          </cell>
        </row>
        <row r="230">
          <cell r="J230">
            <v>7054929</v>
          </cell>
        </row>
        <row r="231">
          <cell r="J231">
            <v>7057211</v>
          </cell>
        </row>
        <row r="232">
          <cell r="J232">
            <v>7054931</v>
          </cell>
        </row>
        <row r="233">
          <cell r="J233">
            <v>7054930</v>
          </cell>
        </row>
        <row r="234">
          <cell r="J234">
            <v>7041770</v>
          </cell>
        </row>
        <row r="235">
          <cell r="J235">
            <v>7030072</v>
          </cell>
        </row>
        <row r="236">
          <cell r="J236">
            <v>7018338</v>
          </cell>
        </row>
        <row r="237">
          <cell r="J237">
            <v>6428750</v>
          </cell>
        </row>
        <row r="238">
          <cell r="J238">
            <v>7001228</v>
          </cell>
        </row>
        <row r="239">
          <cell r="J239">
            <v>7028829</v>
          </cell>
        </row>
        <row r="240">
          <cell r="J240">
            <v>7016414</v>
          </cell>
        </row>
        <row r="241">
          <cell r="J241">
            <v>7003306</v>
          </cell>
        </row>
        <row r="242">
          <cell r="J242">
            <v>6460220</v>
          </cell>
        </row>
        <row r="243">
          <cell r="J243">
            <v>6476063</v>
          </cell>
        </row>
        <row r="257">
          <cell r="J257">
            <v>7051511</v>
          </cell>
        </row>
        <row r="258">
          <cell r="J258">
            <v>6304702</v>
          </cell>
        </row>
        <row r="259">
          <cell r="J259">
            <v>7054178</v>
          </cell>
        </row>
        <row r="260">
          <cell r="J260">
            <v>7036612</v>
          </cell>
        </row>
        <row r="261">
          <cell r="J261">
            <v>6087919</v>
          </cell>
        </row>
        <row r="262">
          <cell r="J262">
            <v>6087919</v>
          </cell>
        </row>
        <row r="263">
          <cell r="J263">
            <v>7030123</v>
          </cell>
        </row>
        <row r="264">
          <cell r="J264">
            <v>7017786</v>
          </cell>
        </row>
        <row r="265">
          <cell r="J265">
            <v>7032344</v>
          </cell>
        </row>
        <row r="266">
          <cell r="J266">
            <v>6011370</v>
          </cell>
        </row>
        <row r="267">
          <cell r="J267">
            <v>6327734</v>
          </cell>
        </row>
        <row r="268">
          <cell r="J268">
            <v>27721</v>
          </cell>
        </row>
        <row r="269">
          <cell r="J269">
            <v>31054</v>
          </cell>
        </row>
        <row r="270">
          <cell r="J270">
            <v>29080</v>
          </cell>
        </row>
        <row r="271">
          <cell r="J271">
            <v>32015</v>
          </cell>
        </row>
        <row r="272">
          <cell r="J272">
            <v>24016</v>
          </cell>
        </row>
        <row r="273">
          <cell r="J273">
            <v>27862</v>
          </cell>
        </row>
        <row r="274">
          <cell r="J274">
            <v>31047</v>
          </cell>
        </row>
        <row r="275">
          <cell r="J275">
            <v>31982</v>
          </cell>
        </row>
        <row r="278">
          <cell r="J278">
            <v>31999</v>
          </cell>
        </row>
        <row r="279">
          <cell r="J279">
            <v>7036006</v>
          </cell>
        </row>
        <row r="280">
          <cell r="J280">
            <v>27738</v>
          </cell>
        </row>
        <row r="281">
          <cell r="J281">
            <v>27879</v>
          </cell>
        </row>
        <row r="284">
          <cell r="J284">
            <v>30983</v>
          </cell>
        </row>
        <row r="285">
          <cell r="J285">
            <v>38583</v>
          </cell>
        </row>
        <row r="287">
          <cell r="J287">
            <v>31078</v>
          </cell>
        </row>
        <row r="288">
          <cell r="J288">
            <v>7083703</v>
          </cell>
        </row>
        <row r="289">
          <cell r="J289">
            <v>7030068</v>
          </cell>
        </row>
        <row r="290">
          <cell r="J290">
            <v>7038281</v>
          </cell>
        </row>
        <row r="291">
          <cell r="J291">
            <v>6605212</v>
          </cell>
        </row>
        <row r="292">
          <cell r="J292">
            <v>7030065</v>
          </cell>
        </row>
        <row r="293">
          <cell r="J293">
            <v>7030065</v>
          </cell>
        </row>
        <row r="294">
          <cell r="J294">
            <v>7068424</v>
          </cell>
        </row>
        <row r="295">
          <cell r="J295">
            <v>7083710</v>
          </cell>
        </row>
        <row r="296">
          <cell r="J296">
            <v>7017790</v>
          </cell>
        </row>
        <row r="297">
          <cell r="J297">
            <v>6518055</v>
          </cell>
        </row>
        <row r="298">
          <cell r="J298">
            <v>7036288</v>
          </cell>
        </row>
        <row r="299">
          <cell r="J299">
            <v>5881491</v>
          </cell>
        </row>
        <row r="300">
          <cell r="J300">
            <v>7037787</v>
          </cell>
        </row>
        <row r="301">
          <cell r="J301">
            <v>7023294</v>
          </cell>
        </row>
        <row r="302">
          <cell r="J302">
            <v>7068428</v>
          </cell>
        </row>
        <row r="303">
          <cell r="J303">
            <v>7081388</v>
          </cell>
        </row>
        <row r="304">
          <cell r="J304">
            <v>7046145</v>
          </cell>
        </row>
        <row r="305">
          <cell r="J305">
            <v>5858163</v>
          </cell>
        </row>
        <row r="306">
          <cell r="J306">
            <v>7052927</v>
          </cell>
        </row>
        <row r="307">
          <cell r="J307">
            <v>7070345</v>
          </cell>
        </row>
        <row r="308">
          <cell r="J308">
            <v>7032328</v>
          </cell>
        </row>
        <row r="309">
          <cell r="J309">
            <v>6517898</v>
          </cell>
        </row>
        <row r="310">
          <cell r="J310">
            <v>7046448</v>
          </cell>
        </row>
        <row r="311">
          <cell r="J311">
            <v>22609</v>
          </cell>
        </row>
        <row r="312">
          <cell r="J312">
            <v>14181</v>
          </cell>
        </row>
        <row r="313">
          <cell r="J313" t="str">
            <v>N/A</v>
          </cell>
        </row>
        <row r="314">
          <cell r="J314">
            <v>7029505</v>
          </cell>
        </row>
        <row r="315">
          <cell r="J315">
            <v>7063694</v>
          </cell>
        </row>
        <row r="316">
          <cell r="J316">
            <v>7118356</v>
          </cell>
        </row>
        <row r="317">
          <cell r="J317">
            <v>7016161</v>
          </cell>
        </row>
        <row r="318">
          <cell r="J318">
            <v>7024758</v>
          </cell>
        </row>
        <row r="319">
          <cell r="J319">
            <v>3350395</v>
          </cell>
        </row>
        <row r="320">
          <cell r="J320">
            <v>7125088</v>
          </cell>
        </row>
        <row r="321">
          <cell r="J321">
            <v>7056332</v>
          </cell>
        </row>
        <row r="322">
          <cell r="J322">
            <v>15960</v>
          </cell>
        </row>
        <row r="323">
          <cell r="J323">
            <v>27817</v>
          </cell>
        </row>
        <row r="324">
          <cell r="J324">
            <v>43073</v>
          </cell>
        </row>
        <row r="325">
          <cell r="J325">
            <v>7128814</v>
          </cell>
        </row>
        <row r="326">
          <cell r="J326">
            <v>4490766</v>
          </cell>
        </row>
        <row r="327">
          <cell r="J327" t="str">
            <v>N/A</v>
          </cell>
        </row>
        <row r="328">
          <cell r="J328">
            <v>7063743</v>
          </cell>
        </row>
        <row r="329">
          <cell r="J329">
            <v>25400</v>
          </cell>
        </row>
        <row r="330">
          <cell r="J330">
            <v>23938</v>
          </cell>
        </row>
        <row r="331">
          <cell r="J331">
            <v>7089641</v>
          </cell>
        </row>
        <row r="332">
          <cell r="J332">
            <v>7054720</v>
          </cell>
        </row>
        <row r="333">
          <cell r="J333">
            <v>6514035</v>
          </cell>
        </row>
        <row r="334">
          <cell r="J334">
            <v>7065049</v>
          </cell>
        </row>
        <row r="335">
          <cell r="J335">
            <v>7051507</v>
          </cell>
        </row>
        <row r="336">
          <cell r="J336">
            <v>7107554</v>
          </cell>
        </row>
        <row r="337">
          <cell r="J337">
            <v>7067555</v>
          </cell>
        </row>
        <row r="338">
          <cell r="J338">
            <v>7106807</v>
          </cell>
        </row>
        <row r="339">
          <cell r="J339">
            <v>7102401</v>
          </cell>
        </row>
        <row r="340">
          <cell r="J340">
            <v>7060709</v>
          </cell>
        </row>
        <row r="341">
          <cell r="J341">
            <v>7068430</v>
          </cell>
        </row>
        <row r="342">
          <cell r="J342">
            <v>7084123</v>
          </cell>
        </row>
        <row r="343">
          <cell r="J343">
            <v>7017785</v>
          </cell>
        </row>
        <row r="344">
          <cell r="J344">
            <v>7068422</v>
          </cell>
        </row>
        <row r="345">
          <cell r="J345">
            <v>7060031</v>
          </cell>
        </row>
        <row r="364">
          <cell r="J364">
            <v>7117726</v>
          </cell>
        </row>
        <row r="365">
          <cell r="J365">
            <v>7033417</v>
          </cell>
        </row>
        <row r="366">
          <cell r="J366">
            <v>7104907</v>
          </cell>
        </row>
        <row r="367">
          <cell r="J367">
            <v>7080403</v>
          </cell>
        </row>
        <row r="368">
          <cell r="J368">
            <v>7100876</v>
          </cell>
        </row>
        <row r="369">
          <cell r="J369">
            <v>7021972</v>
          </cell>
        </row>
        <row r="370">
          <cell r="J370">
            <v>7006188</v>
          </cell>
        </row>
        <row r="371">
          <cell r="J371">
            <v>7102397</v>
          </cell>
        </row>
        <row r="372">
          <cell r="J372">
            <v>7004369</v>
          </cell>
        </row>
        <row r="373">
          <cell r="J373">
            <v>7078152</v>
          </cell>
        </row>
        <row r="374">
          <cell r="J374">
            <v>7081764</v>
          </cell>
        </row>
        <row r="375">
          <cell r="J375">
            <v>7019974</v>
          </cell>
        </row>
        <row r="376">
          <cell r="J376">
            <v>7097216</v>
          </cell>
        </row>
        <row r="377">
          <cell r="J377">
            <v>7121852</v>
          </cell>
        </row>
        <row r="378">
          <cell r="J378">
            <v>7076958</v>
          </cell>
        </row>
        <row r="379">
          <cell r="J379">
            <v>7127647</v>
          </cell>
        </row>
        <row r="380">
          <cell r="J380">
            <v>7120418</v>
          </cell>
        </row>
        <row r="381">
          <cell r="J381">
            <v>7107821</v>
          </cell>
        </row>
        <row r="382">
          <cell r="J382">
            <v>7089024</v>
          </cell>
        </row>
        <row r="383">
          <cell r="J383">
            <v>7105442</v>
          </cell>
        </row>
        <row r="384">
          <cell r="J384">
            <v>7107551</v>
          </cell>
        </row>
        <row r="385">
          <cell r="J385">
            <v>7076958</v>
          </cell>
        </row>
        <row r="386">
          <cell r="J386">
            <v>7124907</v>
          </cell>
        </row>
        <row r="387">
          <cell r="J387">
            <v>7133375</v>
          </cell>
        </row>
        <row r="388">
          <cell r="J388">
            <v>7048885</v>
          </cell>
        </row>
        <row r="389">
          <cell r="J389">
            <v>7109453</v>
          </cell>
        </row>
        <row r="390">
          <cell r="J390">
            <v>7073332</v>
          </cell>
        </row>
        <row r="391">
          <cell r="J391">
            <v>7036096</v>
          </cell>
        </row>
        <row r="392">
          <cell r="J392">
            <v>5174122</v>
          </cell>
        </row>
        <row r="393">
          <cell r="J393">
            <v>7098243</v>
          </cell>
        </row>
        <row r="394">
          <cell r="J394">
            <v>7011451</v>
          </cell>
        </row>
        <row r="395">
          <cell r="J395">
            <v>7142008</v>
          </cell>
        </row>
        <row r="396">
          <cell r="J396">
            <v>7122996</v>
          </cell>
        </row>
        <row r="397">
          <cell r="J397">
            <v>7102399</v>
          </cell>
        </row>
        <row r="398">
          <cell r="J398">
            <v>7127096</v>
          </cell>
        </row>
        <row r="399">
          <cell r="J399">
            <v>7110696</v>
          </cell>
        </row>
        <row r="400">
          <cell r="J400">
            <v>6517269</v>
          </cell>
        </row>
        <row r="401">
          <cell r="J401">
            <v>7147502</v>
          </cell>
        </row>
        <row r="402">
          <cell r="J402">
            <v>7054548</v>
          </cell>
        </row>
        <row r="403">
          <cell r="J403">
            <v>5638022</v>
          </cell>
        </row>
        <row r="404">
          <cell r="J404">
            <v>7067561</v>
          </cell>
        </row>
        <row r="405">
          <cell r="J405">
            <v>7107548</v>
          </cell>
        </row>
        <row r="406">
          <cell r="J406" t="str">
            <v>N/A</v>
          </cell>
        </row>
        <row r="407">
          <cell r="J407">
            <v>7059306</v>
          </cell>
        </row>
        <row r="408">
          <cell r="J408">
            <v>7138219</v>
          </cell>
        </row>
        <row r="409">
          <cell r="J409">
            <v>27714</v>
          </cell>
        </row>
        <row r="410">
          <cell r="J410">
            <v>3469389</v>
          </cell>
        </row>
        <row r="411">
          <cell r="J411">
            <v>7054172</v>
          </cell>
        </row>
        <row r="412">
          <cell r="J412">
            <v>7138939</v>
          </cell>
        </row>
        <row r="413">
          <cell r="J413">
            <v>23189</v>
          </cell>
        </row>
        <row r="414">
          <cell r="J414">
            <v>7141227</v>
          </cell>
        </row>
        <row r="415">
          <cell r="J415">
            <v>7147007</v>
          </cell>
        </row>
        <row r="416">
          <cell r="J416">
            <v>4582588</v>
          </cell>
        </row>
        <row r="417">
          <cell r="J417">
            <v>7146673</v>
          </cell>
        </row>
        <row r="418">
          <cell r="J418">
            <v>7149439</v>
          </cell>
        </row>
        <row r="419">
          <cell r="J419">
            <v>7079706</v>
          </cell>
        </row>
        <row r="420">
          <cell r="J420">
            <v>7130622</v>
          </cell>
        </row>
        <row r="421">
          <cell r="J421">
            <v>5942543</v>
          </cell>
        </row>
        <row r="422">
          <cell r="J422">
            <v>7126793</v>
          </cell>
        </row>
        <row r="423">
          <cell r="J423">
            <v>7153516</v>
          </cell>
        </row>
        <row r="424">
          <cell r="J424">
            <v>6472799</v>
          </cell>
        </row>
        <row r="425">
          <cell r="J425">
            <v>7068421</v>
          </cell>
        </row>
        <row r="426">
          <cell r="J426">
            <v>7151239</v>
          </cell>
        </row>
        <row r="427">
          <cell r="J427">
            <v>7025708</v>
          </cell>
        </row>
        <row r="428">
          <cell r="J428">
            <v>7133494</v>
          </cell>
        </row>
        <row r="429">
          <cell r="J429">
            <v>7125876</v>
          </cell>
        </row>
        <row r="430">
          <cell r="J430">
            <v>7108556</v>
          </cell>
        </row>
        <row r="431">
          <cell r="J431">
            <v>7108656</v>
          </cell>
        </row>
        <row r="432">
          <cell r="J432">
            <v>19007</v>
          </cell>
        </row>
        <row r="433">
          <cell r="J433">
            <v>7143863</v>
          </cell>
        </row>
        <row r="434">
          <cell r="J434">
            <v>7149237</v>
          </cell>
        </row>
        <row r="435">
          <cell r="J435">
            <v>7122057</v>
          </cell>
        </row>
        <row r="436">
          <cell r="J436">
            <v>7087303</v>
          </cell>
        </row>
        <row r="437">
          <cell r="J437">
            <v>7148126</v>
          </cell>
        </row>
        <row r="438">
          <cell r="J438">
            <v>5942543</v>
          </cell>
        </row>
        <row r="439">
          <cell r="J439">
            <v>7119315</v>
          </cell>
        </row>
        <row r="440">
          <cell r="J440">
            <v>7104628</v>
          </cell>
        </row>
        <row r="441">
          <cell r="J441">
            <v>7123203</v>
          </cell>
        </row>
        <row r="442">
          <cell r="J442">
            <v>6605236</v>
          </cell>
        </row>
        <row r="443">
          <cell r="J443">
            <v>3407011</v>
          </cell>
        </row>
        <row r="444">
          <cell r="J444">
            <v>3406988</v>
          </cell>
        </row>
        <row r="445">
          <cell r="J445">
            <v>6590815</v>
          </cell>
        </row>
        <row r="446">
          <cell r="J446">
            <v>5627789</v>
          </cell>
        </row>
        <row r="447">
          <cell r="J447">
            <v>7087777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liCombined"/>
      <sheetName val="CcliTop100Canada"/>
      <sheetName val="CcliTop100Usa"/>
      <sheetName val="CcliTop100Uk"/>
      <sheetName val="PraiseChartsTop100AllTime"/>
      <sheetName val="MultiTracksTop120"/>
      <sheetName val="MultiTracksTop120Global"/>
      <sheetName val="Top100HymnsBBC"/>
      <sheetName val="Top100HymnsPopularHymns"/>
      <sheetName val="Top100HymnsJWPepper"/>
      <sheetName val="Top100HymnsLifewayWorship"/>
    </sheetNames>
    <sheetDataSet>
      <sheetData sheetId="0">
        <row r="1">
          <cell r="D1" t="str">
            <v>CCLI #</v>
          </cell>
        </row>
        <row r="2">
          <cell r="D2">
            <v>6016351</v>
          </cell>
        </row>
        <row r="3">
          <cell r="D3">
            <v>3709898</v>
          </cell>
        </row>
        <row r="4">
          <cell r="D4">
            <v>626713</v>
          </cell>
        </row>
        <row r="5">
          <cell r="D5">
            <v>120556</v>
          </cell>
        </row>
        <row r="6">
          <cell r="D6">
            <v>2489542</v>
          </cell>
        </row>
        <row r="7">
          <cell r="D7">
            <v>4768151</v>
          </cell>
        </row>
        <row r="8">
          <cell r="D8">
            <v>7124907</v>
          </cell>
        </row>
        <row r="9">
          <cell r="D9">
            <v>1431</v>
          </cell>
        </row>
        <row r="10">
          <cell r="D10">
            <v>29499</v>
          </cell>
        </row>
        <row r="11">
          <cell r="D11">
            <v>7017786</v>
          </cell>
        </row>
        <row r="12">
          <cell r="D12">
            <v>5942543</v>
          </cell>
        </row>
        <row r="13">
          <cell r="D13">
            <v>120824</v>
          </cell>
        </row>
        <row r="14">
          <cell r="D14">
            <v>2650429</v>
          </cell>
        </row>
        <row r="15">
          <cell r="D15">
            <v>2177476</v>
          </cell>
        </row>
        <row r="16">
          <cell r="D16">
            <v>2492216</v>
          </cell>
        </row>
        <row r="17">
          <cell r="D17">
            <v>5665521</v>
          </cell>
        </row>
        <row r="18">
          <cell r="D18">
            <v>16880</v>
          </cell>
        </row>
        <row r="19">
          <cell r="D19">
            <v>7027887</v>
          </cell>
        </row>
        <row r="20">
          <cell r="D20">
            <v>2306412</v>
          </cell>
        </row>
        <row r="21">
          <cell r="D21">
            <v>5937510</v>
          </cell>
        </row>
        <row r="22">
          <cell r="D22">
            <v>3798438</v>
          </cell>
        </row>
        <row r="23">
          <cell r="D23">
            <v>7070345</v>
          </cell>
        </row>
        <row r="24">
          <cell r="D24">
            <v>6186078</v>
          </cell>
        </row>
        <row r="25">
          <cell r="D25">
            <v>5469291</v>
          </cell>
        </row>
        <row r="26">
          <cell r="D26">
            <v>7060031</v>
          </cell>
        </row>
        <row r="27">
          <cell r="D27">
            <v>7139866</v>
          </cell>
        </row>
        <row r="28">
          <cell r="D28">
            <v>6514035</v>
          </cell>
        </row>
        <row r="29">
          <cell r="D29">
            <v>5242683</v>
          </cell>
        </row>
        <row r="30">
          <cell r="D30">
            <v>7017790</v>
          </cell>
        </row>
        <row r="31">
          <cell r="D31">
            <v>2430948</v>
          </cell>
        </row>
        <row r="32">
          <cell r="D32">
            <v>5232617</v>
          </cell>
        </row>
        <row r="33">
          <cell r="D33">
            <v>4775010</v>
          </cell>
        </row>
        <row r="34">
          <cell r="D34">
            <v>3818569</v>
          </cell>
        </row>
        <row r="35">
          <cell r="D35">
            <v>6158927</v>
          </cell>
        </row>
        <row r="36">
          <cell r="D36">
            <v>6463818</v>
          </cell>
        </row>
        <row r="37">
          <cell r="D37">
            <v>1537904</v>
          </cell>
        </row>
        <row r="38">
          <cell r="D38">
            <v>7046448</v>
          </cell>
        </row>
        <row r="39">
          <cell r="D39">
            <v>7067555</v>
          </cell>
        </row>
        <row r="40">
          <cell r="D40">
            <v>7036288</v>
          </cell>
        </row>
        <row r="41">
          <cell r="D41">
            <v>7030065</v>
          </cell>
        </row>
        <row r="42">
          <cell r="D42">
            <v>4556538</v>
          </cell>
        </row>
        <row r="43">
          <cell r="D43">
            <v>465840</v>
          </cell>
        </row>
        <row r="44">
          <cell r="D44">
            <v>3148428</v>
          </cell>
        </row>
        <row r="45">
          <cell r="D45">
            <v>7001228</v>
          </cell>
        </row>
        <row r="46">
          <cell r="D46">
            <v>5639997</v>
          </cell>
        </row>
        <row r="47">
          <cell r="D47">
            <v>4705176</v>
          </cell>
        </row>
        <row r="48">
          <cell r="D48">
            <v>7081388</v>
          </cell>
        </row>
        <row r="49">
          <cell r="D49">
            <v>5638022</v>
          </cell>
        </row>
        <row r="50">
          <cell r="D50">
            <v>5384338</v>
          </cell>
        </row>
        <row r="51">
          <cell r="D51">
            <v>5858163</v>
          </cell>
        </row>
        <row r="52">
          <cell r="D52">
            <v>5894275</v>
          </cell>
        </row>
        <row r="53">
          <cell r="D53">
            <v>7100964</v>
          </cell>
        </row>
        <row r="54">
          <cell r="D54">
            <v>7133285</v>
          </cell>
        </row>
        <row r="55">
          <cell r="D55">
            <v>7138599</v>
          </cell>
        </row>
        <row r="56">
          <cell r="D56">
            <v>7105729</v>
          </cell>
        </row>
        <row r="57">
          <cell r="D57">
            <v>7036612</v>
          </cell>
        </row>
        <row r="58">
          <cell r="D58">
            <v>7122177</v>
          </cell>
        </row>
        <row r="59">
          <cell r="D59">
            <v>7117726</v>
          </cell>
        </row>
        <row r="60">
          <cell r="D60">
            <v>7138219</v>
          </cell>
        </row>
        <row r="61">
          <cell r="D61">
            <v>6460220</v>
          </cell>
        </row>
        <row r="62">
          <cell r="D62">
            <v>3373437</v>
          </cell>
        </row>
        <row r="63">
          <cell r="D63">
            <v>5881491</v>
          </cell>
        </row>
        <row r="64">
          <cell r="D64">
            <v>10769</v>
          </cell>
        </row>
        <row r="65">
          <cell r="D65">
            <v>18723</v>
          </cell>
        </row>
        <row r="66">
          <cell r="D66">
            <v>5196100</v>
          </cell>
        </row>
        <row r="67">
          <cell r="D67">
            <v>7111321</v>
          </cell>
        </row>
        <row r="68">
          <cell r="D68">
            <v>7076958</v>
          </cell>
        </row>
        <row r="69">
          <cell r="D69">
            <v>4847027</v>
          </cell>
        </row>
        <row r="70">
          <cell r="D70">
            <v>7050416</v>
          </cell>
        </row>
        <row r="71">
          <cell r="D71">
            <v>7016161</v>
          </cell>
        </row>
        <row r="72">
          <cell r="D72">
            <v>4930752</v>
          </cell>
        </row>
        <row r="73">
          <cell r="D73">
            <v>7111925</v>
          </cell>
        </row>
        <row r="74">
          <cell r="D74">
            <v>5925649</v>
          </cell>
        </row>
        <row r="75">
          <cell r="D75">
            <v>3266032</v>
          </cell>
        </row>
        <row r="76">
          <cell r="D76">
            <v>7065053</v>
          </cell>
        </row>
        <row r="77">
          <cell r="D77">
            <v>1540719</v>
          </cell>
        </row>
        <row r="78">
          <cell r="D78">
            <v>4158039</v>
          </cell>
        </row>
        <row r="79">
          <cell r="D79">
            <v>6087919</v>
          </cell>
        </row>
        <row r="80">
          <cell r="D80">
            <v>4779872</v>
          </cell>
        </row>
        <row r="81">
          <cell r="D81">
            <v>7136448</v>
          </cell>
        </row>
        <row r="82">
          <cell r="D82">
            <v>3540703</v>
          </cell>
        </row>
        <row r="83">
          <cell r="D83">
            <v>4785835</v>
          </cell>
        </row>
        <row r="84">
          <cell r="D84">
            <v>21545</v>
          </cell>
        </row>
        <row r="85">
          <cell r="D85">
            <v>4662491</v>
          </cell>
        </row>
        <row r="86">
          <cell r="D86">
            <v>1558110</v>
          </cell>
        </row>
        <row r="87">
          <cell r="D87">
            <v>4348399</v>
          </cell>
        </row>
        <row r="88">
          <cell r="D88">
            <v>14181</v>
          </cell>
        </row>
        <row r="89">
          <cell r="D89">
            <v>5032549</v>
          </cell>
        </row>
        <row r="90">
          <cell r="D90">
            <v>2978857</v>
          </cell>
        </row>
        <row r="91">
          <cell r="D91">
            <v>1866132</v>
          </cell>
        </row>
        <row r="92">
          <cell r="D92">
            <v>4674207</v>
          </cell>
        </row>
        <row r="93">
          <cell r="D93">
            <v>5806878</v>
          </cell>
        </row>
        <row r="94">
          <cell r="D94">
            <v>1083764</v>
          </cell>
        </row>
        <row r="95">
          <cell r="D95">
            <v>5183450</v>
          </cell>
        </row>
        <row r="96">
          <cell r="D96">
            <v>3350395</v>
          </cell>
        </row>
        <row r="97">
          <cell r="D97">
            <v>4403076</v>
          </cell>
        </row>
        <row r="98">
          <cell r="D98">
            <v>7108951</v>
          </cell>
        </row>
        <row r="99">
          <cell r="D99">
            <v>7021972</v>
          </cell>
        </row>
        <row r="100">
          <cell r="D100">
            <v>7067249</v>
          </cell>
        </row>
        <row r="101">
          <cell r="D101">
            <v>5183443</v>
          </cell>
        </row>
        <row r="102">
          <cell r="D102">
            <v>4689508</v>
          </cell>
        </row>
        <row r="103">
          <cell r="D103">
            <v>22331</v>
          </cell>
        </row>
        <row r="104">
          <cell r="D104">
            <v>7030068</v>
          </cell>
        </row>
        <row r="105">
          <cell r="D105">
            <v>5997804</v>
          </cell>
        </row>
        <row r="106">
          <cell r="D106">
            <v>7127647</v>
          </cell>
        </row>
        <row r="107">
          <cell r="D107">
            <v>1581778</v>
          </cell>
        </row>
        <row r="108">
          <cell r="D108">
            <v>7046145</v>
          </cell>
        </row>
        <row r="109">
          <cell r="D109">
            <v>1045238</v>
          </cell>
        </row>
        <row r="110">
          <cell r="D110">
            <v>4785828</v>
          </cell>
        </row>
        <row r="111">
          <cell r="D111">
            <v>7023299</v>
          </cell>
        </row>
        <row r="112">
          <cell r="D112">
            <v>7106807</v>
          </cell>
        </row>
        <row r="113">
          <cell r="D113">
            <v>117947</v>
          </cell>
        </row>
        <row r="114">
          <cell r="D114">
            <v>5925687</v>
          </cell>
        </row>
        <row r="115">
          <cell r="D115">
            <v>2490706</v>
          </cell>
        </row>
        <row r="116">
          <cell r="D116">
            <v>4572938</v>
          </cell>
        </row>
        <row r="117">
          <cell r="D117">
            <v>6476063</v>
          </cell>
        </row>
        <row r="118">
          <cell r="D118">
            <v>4591782</v>
          </cell>
        </row>
        <row r="119">
          <cell r="D119">
            <v>4108704</v>
          </cell>
        </row>
        <row r="120">
          <cell r="D120">
            <v>7002032</v>
          </cell>
        </row>
        <row r="121">
          <cell r="D121">
            <v>5075025</v>
          </cell>
        </row>
        <row r="122">
          <cell r="D122">
            <v>7030123</v>
          </cell>
        </row>
        <row r="123">
          <cell r="D123">
            <v>7123436</v>
          </cell>
        </row>
        <row r="124">
          <cell r="D124">
            <v>4611992</v>
          </cell>
        </row>
        <row r="125">
          <cell r="D125">
            <v>7051511</v>
          </cell>
        </row>
        <row r="126">
          <cell r="D126">
            <v>7037787</v>
          </cell>
        </row>
        <row r="127">
          <cell r="D127">
            <v>5783630</v>
          </cell>
        </row>
        <row r="128">
          <cell r="D128">
            <v>6428767</v>
          </cell>
        </row>
        <row r="129">
          <cell r="D129">
            <v>1564362</v>
          </cell>
        </row>
        <row r="130">
          <cell r="D130">
            <v>5508444</v>
          </cell>
        </row>
        <row r="131">
          <cell r="D131">
            <v>7073332</v>
          </cell>
        </row>
        <row r="132">
          <cell r="D132">
            <v>7011438</v>
          </cell>
        </row>
        <row r="133">
          <cell r="D133">
            <v>2298355</v>
          </cell>
        </row>
        <row r="134">
          <cell r="D134">
            <v>6304702</v>
          </cell>
        </row>
        <row r="135">
          <cell r="D135">
            <v>5677416</v>
          </cell>
        </row>
        <row r="136">
          <cell r="D136">
            <v>4972837</v>
          </cell>
        </row>
        <row r="137">
          <cell r="D137">
            <v>1585970</v>
          </cell>
        </row>
        <row r="138">
          <cell r="D138">
            <v>7119315</v>
          </cell>
        </row>
        <row r="139">
          <cell r="D139">
            <v>7089641</v>
          </cell>
        </row>
        <row r="140">
          <cell r="D140">
            <v>426298</v>
          </cell>
        </row>
        <row r="141">
          <cell r="D141">
            <v>7051507</v>
          </cell>
        </row>
        <row r="142">
          <cell r="D142">
            <v>4108797</v>
          </cell>
        </row>
        <row r="143">
          <cell r="D143">
            <v>4447960</v>
          </cell>
        </row>
        <row r="144">
          <cell r="D144">
            <v>7133494</v>
          </cell>
        </row>
        <row r="145">
          <cell r="D145">
            <v>7129060</v>
          </cell>
        </row>
        <row r="146">
          <cell r="D146">
            <v>30426</v>
          </cell>
        </row>
        <row r="147">
          <cell r="D147">
            <v>1406918</v>
          </cell>
        </row>
        <row r="148">
          <cell r="D148">
            <v>7084123</v>
          </cell>
        </row>
        <row r="149">
          <cell r="D149">
            <v>4615235</v>
          </cell>
        </row>
        <row r="150">
          <cell r="D150">
            <v>6058450</v>
          </cell>
        </row>
        <row r="151">
          <cell r="D151">
            <v>7107821</v>
          </cell>
        </row>
        <row r="152">
          <cell r="D152">
            <v>5060810</v>
          </cell>
        </row>
        <row r="153">
          <cell r="D153">
            <v>7098758</v>
          </cell>
        </row>
        <row r="154">
          <cell r="D154">
            <v>2402653</v>
          </cell>
        </row>
        <row r="155">
          <cell r="D155">
            <v>7147007</v>
          </cell>
        </row>
        <row r="156">
          <cell r="D156">
            <v>2296522</v>
          </cell>
        </row>
        <row r="157">
          <cell r="D157">
            <v>7038281</v>
          </cell>
        </row>
        <row r="158">
          <cell r="D158">
            <v>7063694</v>
          </cell>
        </row>
        <row r="159">
          <cell r="D159">
            <v>4490766</v>
          </cell>
        </row>
        <row r="160">
          <cell r="D160">
            <v>917491</v>
          </cell>
        </row>
        <row r="161">
          <cell r="D161">
            <v>78897</v>
          </cell>
        </row>
        <row r="162">
          <cell r="D162">
            <v>4705248</v>
          </cell>
        </row>
        <row r="163">
          <cell r="D163">
            <v>3148435</v>
          </cell>
        </row>
        <row r="164">
          <cell r="D164">
            <v>3994672</v>
          </cell>
        </row>
        <row r="165">
          <cell r="D165">
            <v>11483</v>
          </cell>
        </row>
        <row r="166">
          <cell r="D166">
            <v>7141227</v>
          </cell>
        </row>
        <row r="167">
          <cell r="D167">
            <v>7018338</v>
          </cell>
        </row>
        <row r="168">
          <cell r="D168">
            <v>7123068</v>
          </cell>
        </row>
        <row r="169">
          <cell r="D169">
            <v>6333821</v>
          </cell>
        </row>
        <row r="170">
          <cell r="D170">
            <v>5060834</v>
          </cell>
        </row>
        <row r="171">
          <cell r="D171">
            <v>5200924</v>
          </cell>
        </row>
        <row r="172">
          <cell r="D172">
            <v>7065049</v>
          </cell>
        </row>
        <row r="173">
          <cell r="D173">
            <v>7011436</v>
          </cell>
        </row>
        <row r="174">
          <cell r="D174">
            <v>6454621</v>
          </cell>
        </row>
        <row r="175">
          <cell r="D175">
            <v>1259</v>
          </cell>
        </row>
        <row r="176">
          <cell r="D176">
            <v>5925663</v>
          </cell>
        </row>
        <row r="177">
          <cell r="D177">
            <v>7115744</v>
          </cell>
        </row>
        <row r="178">
          <cell r="D178">
            <v>6367165</v>
          </cell>
        </row>
        <row r="179">
          <cell r="D179">
            <v>7130961</v>
          </cell>
        </row>
        <row r="180">
          <cell r="D180">
            <v>7068424</v>
          </cell>
        </row>
        <row r="181">
          <cell r="D181">
            <v>7102401</v>
          </cell>
        </row>
        <row r="182">
          <cell r="D182">
            <v>6440288</v>
          </cell>
        </row>
        <row r="183">
          <cell r="D183">
            <v>7111932</v>
          </cell>
        </row>
        <row r="184">
          <cell r="D184">
            <v>3217555</v>
          </cell>
        </row>
        <row r="185">
          <cell r="D185">
            <v>7048885</v>
          </cell>
        </row>
        <row r="186">
          <cell r="D186">
            <v>7105442</v>
          </cell>
        </row>
        <row r="187">
          <cell r="D187">
            <v>7121852</v>
          </cell>
        </row>
        <row r="188">
          <cell r="D188">
            <v>5376377</v>
          </cell>
        </row>
        <row r="189">
          <cell r="D189">
            <v>3383788</v>
          </cell>
        </row>
        <row r="190">
          <cell r="D190">
            <v>825356</v>
          </cell>
        </row>
        <row r="191">
          <cell r="D191">
            <v>2456623</v>
          </cell>
        </row>
        <row r="192">
          <cell r="D192">
            <v>4674166</v>
          </cell>
        </row>
        <row r="193">
          <cell r="D193">
            <v>4477026</v>
          </cell>
        </row>
        <row r="194">
          <cell r="D194">
            <v>5393329</v>
          </cell>
        </row>
        <row r="195">
          <cell r="D195">
            <v>7054720</v>
          </cell>
        </row>
        <row r="196">
          <cell r="D196">
            <v>4611679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  <sheetName val="Rejected (Compilations)"/>
    </sheetNames>
    <sheetDataSet>
      <sheetData sheetId="0"/>
      <sheetData sheetId="1"/>
      <sheetData sheetId="2">
        <row r="1">
          <cell r="H1" t="str">
            <v>CCLI#</v>
          </cell>
        </row>
        <row r="229">
          <cell r="H229">
            <v>2725646</v>
          </cell>
        </row>
        <row r="230">
          <cell r="H230">
            <v>3001613</v>
          </cell>
        </row>
        <row r="231">
          <cell r="H231">
            <v>3001620</v>
          </cell>
        </row>
        <row r="232">
          <cell r="H232">
            <v>3001637</v>
          </cell>
        </row>
        <row r="233">
          <cell r="H233">
            <v>2883069</v>
          </cell>
        </row>
        <row r="234">
          <cell r="H234">
            <v>3001644</v>
          </cell>
        </row>
        <row r="235">
          <cell r="H235">
            <v>3001651</v>
          </cell>
        </row>
        <row r="236">
          <cell r="H236">
            <v>2883038</v>
          </cell>
        </row>
        <row r="237">
          <cell r="H237">
            <v>3001668</v>
          </cell>
        </row>
        <row r="238">
          <cell r="H238">
            <v>3001589</v>
          </cell>
        </row>
        <row r="239">
          <cell r="H239">
            <v>3001596</v>
          </cell>
        </row>
        <row r="240">
          <cell r="H240">
            <v>3001606</v>
          </cell>
        </row>
        <row r="241">
          <cell r="H241">
            <v>2938550</v>
          </cell>
        </row>
        <row r="242">
          <cell r="H242">
            <v>2798154</v>
          </cell>
        </row>
        <row r="255">
          <cell r="H255" t="str">
            <v>traditional; arranged by Russell Fragar</v>
          </cell>
        </row>
        <row r="256">
          <cell r="H256" t="str">
            <v>traditional; arranged by Peter King</v>
          </cell>
        </row>
        <row r="257">
          <cell r="H257" t="str">
            <v>Katia Bowley</v>
          </cell>
        </row>
        <row r="258">
          <cell r="H258" t="str">
            <v>Tanya Riches</v>
          </cell>
        </row>
        <row r="259">
          <cell r="H259" t="str">
            <v>Russell Fragar</v>
          </cell>
        </row>
        <row r="260">
          <cell r="H260" t="str">
            <v>traditional; arranged by Russell Fragar</v>
          </cell>
        </row>
        <row r="261">
          <cell r="H261" t="str">
            <v>Darlene Zschech &amp; Russell Fragar</v>
          </cell>
        </row>
        <row r="262">
          <cell r="H262" t="str">
            <v>aditional; arranged by Reuben Morgan &amp; Peter King</v>
          </cell>
        </row>
        <row r="263">
          <cell r="H263" t="str">
            <v>Donia Makedonez</v>
          </cell>
        </row>
        <row r="264">
          <cell r="H264" t="str">
            <v>instrumental; David Moyse</v>
          </cell>
        </row>
        <row r="265">
          <cell r="H265" t="str">
            <v>traditional; arranged by Peter King</v>
          </cell>
        </row>
        <row r="266">
          <cell r="H266" t="str">
            <v>onal; arranged by Russell Fragar &amp; Simeon Webster</v>
          </cell>
        </row>
        <row r="267">
          <cell r="H267" t="str">
            <v>Darlene Zschech</v>
          </cell>
        </row>
        <row r="268">
          <cell r="H268" t="str">
            <v>Reuben Morgan</v>
          </cell>
        </row>
        <row r="280">
          <cell r="H280">
            <v>3375583</v>
          </cell>
        </row>
        <row r="281">
          <cell r="H281">
            <v>3375851</v>
          </cell>
        </row>
        <row r="282">
          <cell r="H282">
            <v>3258208</v>
          </cell>
        </row>
        <row r="283">
          <cell r="H283">
            <v>3258150</v>
          </cell>
        </row>
        <row r="284">
          <cell r="H284">
            <v>3258167</v>
          </cell>
        </row>
        <row r="285">
          <cell r="H285">
            <v>3375710</v>
          </cell>
        </row>
        <row r="286">
          <cell r="H286">
            <v>3258174</v>
          </cell>
        </row>
        <row r="287">
          <cell r="H287">
            <v>3220205</v>
          </cell>
        </row>
        <row r="288">
          <cell r="H288">
            <v>3258198</v>
          </cell>
        </row>
        <row r="289">
          <cell r="H289">
            <v>3258181</v>
          </cell>
        </row>
        <row r="290">
          <cell r="H290">
            <v>3217555</v>
          </cell>
        </row>
        <row r="291">
          <cell r="H291">
            <v>3207613</v>
          </cell>
        </row>
        <row r="292">
          <cell r="H292">
            <v>3207596</v>
          </cell>
        </row>
        <row r="293">
          <cell r="H293">
            <v>3490547</v>
          </cell>
        </row>
        <row r="294">
          <cell r="H294">
            <v>3452767</v>
          </cell>
        </row>
        <row r="295">
          <cell r="H295">
            <v>3490554</v>
          </cell>
        </row>
        <row r="296">
          <cell r="H296">
            <v>3290709</v>
          </cell>
        </row>
        <row r="297">
          <cell r="H297">
            <v>3452774</v>
          </cell>
        </row>
        <row r="298">
          <cell r="H298">
            <v>3452781</v>
          </cell>
        </row>
        <row r="299">
          <cell r="H299">
            <v>3452743</v>
          </cell>
        </row>
        <row r="300">
          <cell r="H300">
            <v>3452750</v>
          </cell>
        </row>
        <row r="301">
          <cell r="H301">
            <v>3290716</v>
          </cell>
        </row>
        <row r="302">
          <cell r="H302">
            <v>3490578</v>
          </cell>
        </row>
        <row r="303">
          <cell r="H303">
            <v>3452736</v>
          </cell>
        </row>
        <row r="304">
          <cell r="H304">
            <v>3367560</v>
          </cell>
        </row>
        <row r="305">
          <cell r="H305">
            <v>3324479</v>
          </cell>
        </row>
        <row r="306">
          <cell r="H306">
            <v>3490585</v>
          </cell>
        </row>
        <row r="333">
          <cell r="H333">
            <v>3979862</v>
          </cell>
        </row>
        <row r="334">
          <cell r="H334">
            <v>3744592</v>
          </cell>
        </row>
        <row r="335">
          <cell r="H335">
            <v>3979879</v>
          </cell>
        </row>
        <row r="336">
          <cell r="H336">
            <v>3744585</v>
          </cell>
        </row>
        <row r="337">
          <cell r="H337">
            <v>3951062</v>
          </cell>
        </row>
        <row r="338">
          <cell r="H338">
            <v>3940963</v>
          </cell>
        </row>
        <row r="339">
          <cell r="H339">
            <v>3979886</v>
          </cell>
        </row>
        <row r="340">
          <cell r="H340">
            <v>3979941</v>
          </cell>
        </row>
        <row r="341">
          <cell r="H341">
            <v>3988767</v>
          </cell>
        </row>
        <row r="342">
          <cell r="H342" t="str">
            <v>4042279 (Combo 3266032/4149770)</v>
          </cell>
        </row>
        <row r="343">
          <cell r="H343">
            <v>3979958</v>
          </cell>
        </row>
        <row r="344">
          <cell r="H344">
            <v>3979972</v>
          </cell>
        </row>
        <row r="345">
          <cell r="H345">
            <v>3988750</v>
          </cell>
        </row>
        <row r="346">
          <cell r="H346">
            <v>3713901</v>
          </cell>
        </row>
        <row r="347">
          <cell r="H347">
            <v>3979965</v>
          </cell>
        </row>
        <row r="348">
          <cell r="H348">
            <v>3744578</v>
          </cell>
        </row>
        <row r="349">
          <cell r="H349">
            <v>3744547</v>
          </cell>
        </row>
        <row r="350">
          <cell r="H350">
            <v>3979958</v>
          </cell>
        </row>
        <row r="351">
          <cell r="H351">
            <v>4254689</v>
          </cell>
        </row>
        <row r="352">
          <cell r="H352">
            <v>4222082</v>
          </cell>
        </row>
        <row r="353">
          <cell r="H353">
            <v>4222116</v>
          </cell>
        </row>
        <row r="354">
          <cell r="H354">
            <v>4257734</v>
          </cell>
        </row>
        <row r="355">
          <cell r="H355">
            <v>4222075</v>
          </cell>
        </row>
        <row r="356">
          <cell r="H356">
            <v>4257741</v>
          </cell>
        </row>
        <row r="357">
          <cell r="H357">
            <v>4257727</v>
          </cell>
        </row>
        <row r="358">
          <cell r="H358">
            <v>4257758</v>
          </cell>
        </row>
        <row r="359">
          <cell r="H359">
            <v>4257765</v>
          </cell>
        </row>
        <row r="360">
          <cell r="H360">
            <v>4222099</v>
          </cell>
        </row>
        <row r="361">
          <cell r="H361">
            <v>4257772</v>
          </cell>
        </row>
        <row r="362">
          <cell r="H362">
            <v>4120029</v>
          </cell>
        </row>
        <row r="363">
          <cell r="H363">
            <v>4222051</v>
          </cell>
        </row>
        <row r="364">
          <cell r="H364">
            <v>4257789</v>
          </cell>
        </row>
        <row r="365">
          <cell r="H365">
            <v>4257796</v>
          </cell>
        </row>
        <row r="392">
          <cell r="H392">
            <v>4433390</v>
          </cell>
        </row>
        <row r="393">
          <cell r="H393">
            <v>4451327</v>
          </cell>
        </row>
        <row r="394">
          <cell r="H394">
            <v>4433400</v>
          </cell>
        </row>
        <row r="395">
          <cell r="H395">
            <v>4433417</v>
          </cell>
        </row>
        <row r="396">
          <cell r="H396">
            <v>4433424</v>
          </cell>
        </row>
        <row r="397">
          <cell r="H397">
            <v>4433431</v>
          </cell>
        </row>
        <row r="398">
          <cell r="H398" t="str">
            <v>4645889 (Combo 4462402/4455213)</v>
          </cell>
        </row>
        <row r="399">
          <cell r="H399">
            <v>4433448</v>
          </cell>
        </row>
        <row r="400">
          <cell r="H400">
            <v>4435790</v>
          </cell>
        </row>
        <row r="401">
          <cell r="H401">
            <v>4437846</v>
          </cell>
        </row>
        <row r="402">
          <cell r="H402">
            <v>4455220</v>
          </cell>
        </row>
        <row r="403">
          <cell r="H403">
            <v>4437853</v>
          </cell>
        </row>
        <row r="404">
          <cell r="H404">
            <v>4455237</v>
          </cell>
        </row>
        <row r="405">
          <cell r="H405">
            <v>4455196</v>
          </cell>
        </row>
        <row r="406">
          <cell r="H406">
            <v>4451310</v>
          </cell>
        </row>
        <row r="407">
          <cell r="H407">
            <v>4451327</v>
          </cell>
        </row>
        <row r="408">
          <cell r="H408">
            <v>4451310</v>
          </cell>
        </row>
        <row r="409">
          <cell r="H409">
            <v>4455141</v>
          </cell>
        </row>
        <row r="410">
          <cell r="H410">
            <v>4455213</v>
          </cell>
        </row>
        <row r="411">
          <cell r="H411">
            <v>4455220</v>
          </cell>
        </row>
        <row r="412">
          <cell r="H412">
            <v>4455206</v>
          </cell>
        </row>
        <row r="413">
          <cell r="H413">
            <v>4455237</v>
          </cell>
        </row>
        <row r="414">
          <cell r="H414">
            <v>4455196</v>
          </cell>
        </row>
        <row r="415">
          <cell r="H415">
            <v>4455165</v>
          </cell>
        </row>
        <row r="416">
          <cell r="H416">
            <v>4455158</v>
          </cell>
        </row>
        <row r="417">
          <cell r="H417">
            <v>4455189</v>
          </cell>
        </row>
        <row r="418">
          <cell r="H418">
            <v>4455172</v>
          </cell>
        </row>
        <row r="419">
          <cell r="H419">
            <v>41099</v>
          </cell>
        </row>
        <row r="432">
          <cell r="H432">
            <v>4705152</v>
          </cell>
        </row>
        <row r="433">
          <cell r="H433">
            <v>4591861</v>
          </cell>
        </row>
        <row r="434">
          <cell r="H434">
            <v>4591799</v>
          </cell>
        </row>
        <row r="435">
          <cell r="H435">
            <v>4599715</v>
          </cell>
        </row>
        <row r="436">
          <cell r="H436">
            <v>4591816</v>
          </cell>
        </row>
        <row r="437">
          <cell r="H437">
            <v>4705176</v>
          </cell>
        </row>
        <row r="438">
          <cell r="H438">
            <v>4599722</v>
          </cell>
        </row>
        <row r="439">
          <cell r="H439">
            <v>4599698</v>
          </cell>
        </row>
        <row r="440">
          <cell r="H440">
            <v>4591823</v>
          </cell>
        </row>
        <row r="441">
          <cell r="H441">
            <v>4591854</v>
          </cell>
        </row>
        <row r="442">
          <cell r="H442">
            <v>4691084</v>
          </cell>
        </row>
        <row r="443">
          <cell r="H443">
            <v>4591830</v>
          </cell>
        </row>
        <row r="444">
          <cell r="H444">
            <v>4726186</v>
          </cell>
        </row>
        <row r="445">
          <cell r="H445" t="str">
            <v>N/A</v>
          </cell>
        </row>
        <row r="446">
          <cell r="H446">
            <v>4591782</v>
          </cell>
        </row>
        <row r="461">
          <cell r="H461" t="str">
            <v>N/A</v>
          </cell>
        </row>
        <row r="462">
          <cell r="H462">
            <v>4705145</v>
          </cell>
        </row>
        <row r="463">
          <cell r="H463">
            <v>4705152</v>
          </cell>
        </row>
        <row r="464">
          <cell r="H464">
            <v>4705169</v>
          </cell>
        </row>
        <row r="465">
          <cell r="H465">
            <v>4705176</v>
          </cell>
        </row>
        <row r="466">
          <cell r="H466">
            <v>4705190</v>
          </cell>
        </row>
        <row r="467">
          <cell r="H467" t="str">
            <v>N/A</v>
          </cell>
        </row>
        <row r="468">
          <cell r="H468">
            <v>4726186</v>
          </cell>
        </row>
        <row r="469">
          <cell r="H469" t="str">
            <v>N/A</v>
          </cell>
        </row>
        <row r="470">
          <cell r="H470">
            <v>4705200</v>
          </cell>
        </row>
        <row r="471">
          <cell r="H471">
            <v>4722764</v>
          </cell>
        </row>
        <row r="472">
          <cell r="H472">
            <v>4705217</v>
          </cell>
        </row>
        <row r="473">
          <cell r="H473">
            <v>4705224</v>
          </cell>
        </row>
        <row r="474">
          <cell r="H474">
            <v>4705231</v>
          </cell>
        </row>
        <row r="475">
          <cell r="H475">
            <v>4705248</v>
          </cell>
        </row>
        <row r="476">
          <cell r="H476" t="str">
            <v>N/A</v>
          </cell>
        </row>
        <row r="477">
          <cell r="H477">
            <v>4710484</v>
          </cell>
        </row>
        <row r="492">
          <cell r="H492">
            <v>4869861</v>
          </cell>
        </row>
        <row r="493">
          <cell r="H493">
            <v>4785770</v>
          </cell>
        </row>
        <row r="494">
          <cell r="H494">
            <v>4869902</v>
          </cell>
        </row>
        <row r="495">
          <cell r="H495">
            <v>4869940</v>
          </cell>
        </row>
        <row r="496">
          <cell r="H496">
            <v>4869971</v>
          </cell>
        </row>
        <row r="497">
          <cell r="H497">
            <v>4869957</v>
          </cell>
        </row>
        <row r="498">
          <cell r="H498">
            <v>4869919</v>
          </cell>
        </row>
        <row r="499">
          <cell r="H499">
            <v>4869933</v>
          </cell>
        </row>
        <row r="500">
          <cell r="H500">
            <v>4869926</v>
          </cell>
        </row>
        <row r="501">
          <cell r="H501">
            <v>4869964</v>
          </cell>
        </row>
        <row r="502">
          <cell r="H502">
            <v>4785835</v>
          </cell>
        </row>
        <row r="503">
          <cell r="H503">
            <v>4869885</v>
          </cell>
        </row>
        <row r="504">
          <cell r="H504">
            <v>4869892</v>
          </cell>
        </row>
        <row r="505">
          <cell r="H505">
            <v>4785897</v>
          </cell>
        </row>
        <row r="506">
          <cell r="H506">
            <v>5060841</v>
          </cell>
        </row>
        <row r="507">
          <cell r="H507">
            <v>5060786</v>
          </cell>
        </row>
        <row r="508">
          <cell r="H508">
            <v>5060793</v>
          </cell>
        </row>
        <row r="509">
          <cell r="H509">
            <v>5060834</v>
          </cell>
        </row>
        <row r="510">
          <cell r="H510">
            <v>5065918</v>
          </cell>
        </row>
        <row r="511">
          <cell r="H511">
            <v>5060803</v>
          </cell>
        </row>
        <row r="512">
          <cell r="H512">
            <v>5060810</v>
          </cell>
        </row>
        <row r="513">
          <cell r="H513">
            <v>4873981</v>
          </cell>
        </row>
        <row r="514">
          <cell r="H514">
            <v>5065925</v>
          </cell>
        </row>
        <row r="515">
          <cell r="H515">
            <v>5029978</v>
          </cell>
        </row>
        <row r="516">
          <cell r="H516">
            <v>5060827</v>
          </cell>
        </row>
        <row r="517">
          <cell r="H517">
            <v>5065932</v>
          </cell>
        </row>
        <row r="518">
          <cell r="H518">
            <v>5065949</v>
          </cell>
        </row>
        <row r="519">
          <cell r="H519">
            <v>5012583</v>
          </cell>
        </row>
        <row r="520">
          <cell r="H520">
            <v>15960</v>
          </cell>
        </row>
        <row r="521">
          <cell r="H521">
            <v>5060779</v>
          </cell>
        </row>
        <row r="522">
          <cell r="H522">
            <v>5372113</v>
          </cell>
        </row>
        <row r="523">
          <cell r="H523">
            <v>5372120</v>
          </cell>
        </row>
        <row r="524">
          <cell r="H524">
            <v>5371303</v>
          </cell>
        </row>
        <row r="525">
          <cell r="H525">
            <v>5371293</v>
          </cell>
        </row>
        <row r="526">
          <cell r="H526">
            <v>5060793</v>
          </cell>
        </row>
        <row r="527">
          <cell r="H527">
            <v>5371341</v>
          </cell>
        </row>
        <row r="528">
          <cell r="H528">
            <v>5372144</v>
          </cell>
        </row>
        <row r="529">
          <cell r="H529">
            <v>5372773</v>
          </cell>
        </row>
        <row r="530">
          <cell r="H530">
            <v>5372151</v>
          </cell>
        </row>
        <row r="531">
          <cell r="H531">
            <v>5372151</v>
          </cell>
        </row>
        <row r="532">
          <cell r="H532">
            <v>5060841</v>
          </cell>
        </row>
        <row r="533">
          <cell r="H533">
            <v>5371310</v>
          </cell>
        </row>
        <row r="534">
          <cell r="H534">
            <v>5407325</v>
          </cell>
        </row>
        <row r="535">
          <cell r="H535">
            <v>5409024</v>
          </cell>
        </row>
        <row r="536">
          <cell r="H536">
            <v>5407332</v>
          </cell>
        </row>
        <row r="537">
          <cell r="H537">
            <v>5407291</v>
          </cell>
        </row>
        <row r="538">
          <cell r="H538">
            <v>5409079</v>
          </cell>
        </row>
        <row r="539">
          <cell r="H539">
            <v>5409086</v>
          </cell>
        </row>
        <row r="540">
          <cell r="H540">
            <v>5372120</v>
          </cell>
        </row>
        <row r="541">
          <cell r="H541">
            <v>5409062</v>
          </cell>
        </row>
        <row r="542">
          <cell r="H542">
            <v>5407318</v>
          </cell>
        </row>
        <row r="543">
          <cell r="H543">
            <v>5407301</v>
          </cell>
        </row>
        <row r="544">
          <cell r="H544">
            <v>5409055</v>
          </cell>
        </row>
        <row r="545">
          <cell r="H545">
            <v>5409048</v>
          </cell>
        </row>
        <row r="546">
          <cell r="H546">
            <v>5372151</v>
          </cell>
        </row>
        <row r="547">
          <cell r="H547">
            <v>5636866</v>
          </cell>
        </row>
        <row r="548">
          <cell r="H548">
            <v>5636873</v>
          </cell>
        </row>
        <row r="549">
          <cell r="H549">
            <v>5639997</v>
          </cell>
        </row>
        <row r="550">
          <cell r="H550">
            <v>5636880</v>
          </cell>
        </row>
        <row r="551">
          <cell r="H551">
            <v>5637528</v>
          </cell>
        </row>
        <row r="552">
          <cell r="H552">
            <v>5660739</v>
          </cell>
        </row>
        <row r="553">
          <cell r="H553">
            <v>5636907</v>
          </cell>
        </row>
        <row r="554">
          <cell r="H554">
            <v>5636914</v>
          </cell>
        </row>
        <row r="555">
          <cell r="H555">
            <v>5636921</v>
          </cell>
        </row>
        <row r="556">
          <cell r="H556">
            <v>5637511</v>
          </cell>
        </row>
        <row r="557">
          <cell r="H557">
            <v>5637470</v>
          </cell>
        </row>
        <row r="558">
          <cell r="H558">
            <v>5637487</v>
          </cell>
        </row>
        <row r="559">
          <cell r="H559">
            <v>5639997</v>
          </cell>
        </row>
        <row r="581">
          <cell r="H581">
            <v>5894244</v>
          </cell>
        </row>
        <row r="582">
          <cell r="H582">
            <v>5894189</v>
          </cell>
        </row>
        <row r="583">
          <cell r="H583">
            <v>5894196</v>
          </cell>
        </row>
        <row r="584">
          <cell r="H584">
            <v>5894268</v>
          </cell>
        </row>
        <row r="585">
          <cell r="H585">
            <v>5894275</v>
          </cell>
        </row>
        <row r="586">
          <cell r="H586">
            <v>5894172</v>
          </cell>
        </row>
        <row r="587">
          <cell r="H587">
            <v>5894206</v>
          </cell>
        </row>
        <row r="588">
          <cell r="H588">
            <v>5894251</v>
          </cell>
        </row>
        <row r="589">
          <cell r="H589">
            <v>5887055</v>
          </cell>
        </row>
        <row r="590">
          <cell r="H590">
            <v>5894213</v>
          </cell>
        </row>
        <row r="591">
          <cell r="H591">
            <v>5894220</v>
          </cell>
        </row>
        <row r="592">
          <cell r="H592">
            <v>5806706</v>
          </cell>
        </row>
        <row r="593">
          <cell r="H593">
            <v>5677399</v>
          </cell>
        </row>
        <row r="594">
          <cell r="H594">
            <v>5371310</v>
          </cell>
        </row>
        <row r="595">
          <cell r="H595">
            <v>6177300</v>
          </cell>
        </row>
        <row r="596">
          <cell r="H596">
            <v>6179573</v>
          </cell>
        </row>
        <row r="597">
          <cell r="H597">
            <v>6158927</v>
          </cell>
        </row>
        <row r="598">
          <cell r="H598">
            <v>6177317</v>
          </cell>
        </row>
        <row r="599">
          <cell r="H599">
            <v>6177386</v>
          </cell>
        </row>
        <row r="600">
          <cell r="H600">
            <v>6181114</v>
          </cell>
        </row>
        <row r="601">
          <cell r="H601">
            <v>6177348</v>
          </cell>
        </row>
        <row r="602">
          <cell r="H602">
            <v>6177290</v>
          </cell>
        </row>
        <row r="603">
          <cell r="H603">
            <v>6177379</v>
          </cell>
        </row>
        <row r="604">
          <cell r="H604">
            <v>6177393</v>
          </cell>
        </row>
        <row r="605">
          <cell r="H605">
            <v>6177355</v>
          </cell>
        </row>
        <row r="606">
          <cell r="H606">
            <v>6179566</v>
          </cell>
        </row>
        <row r="607">
          <cell r="H607">
            <v>6177386</v>
          </cell>
        </row>
        <row r="620">
          <cell r="H620">
            <v>6513328</v>
          </cell>
        </row>
        <row r="621">
          <cell r="H621">
            <v>6513335</v>
          </cell>
        </row>
        <row r="622">
          <cell r="H622">
            <v>6514035</v>
          </cell>
        </row>
        <row r="623">
          <cell r="H623">
            <v>6514042</v>
          </cell>
        </row>
        <row r="624">
          <cell r="H624">
            <v>6514059</v>
          </cell>
        </row>
        <row r="625">
          <cell r="H625">
            <v>6514066</v>
          </cell>
        </row>
        <row r="626">
          <cell r="H626">
            <v>6514073</v>
          </cell>
        </row>
        <row r="627">
          <cell r="H627">
            <v>6514097</v>
          </cell>
        </row>
        <row r="628">
          <cell r="H628">
            <v>6476063</v>
          </cell>
        </row>
        <row r="629">
          <cell r="H629">
            <v>6502229</v>
          </cell>
        </row>
        <row r="630">
          <cell r="H630">
            <v>6514114</v>
          </cell>
        </row>
        <row r="631">
          <cell r="H631">
            <v>6514121</v>
          </cell>
        </row>
        <row r="645">
          <cell r="H645">
            <v>7018338</v>
          </cell>
        </row>
        <row r="646">
          <cell r="H646">
            <v>7019977</v>
          </cell>
        </row>
        <row r="647">
          <cell r="H647">
            <v>7019974</v>
          </cell>
        </row>
        <row r="648">
          <cell r="H648">
            <v>7019979</v>
          </cell>
        </row>
        <row r="649">
          <cell r="H649">
            <v>7019976</v>
          </cell>
        </row>
        <row r="650">
          <cell r="H650">
            <v>7018337</v>
          </cell>
        </row>
        <row r="651">
          <cell r="H651">
            <v>7004672</v>
          </cell>
        </row>
        <row r="652">
          <cell r="H652">
            <v>7019975</v>
          </cell>
        </row>
        <row r="653">
          <cell r="H653">
            <v>7019978</v>
          </cell>
        </row>
        <row r="654">
          <cell r="H654">
            <v>7019980</v>
          </cell>
        </row>
        <row r="655">
          <cell r="H655">
            <v>6428853</v>
          </cell>
        </row>
        <row r="668">
          <cell r="H668">
            <v>7037787</v>
          </cell>
        </row>
        <row r="669">
          <cell r="H669">
            <v>7047249</v>
          </cell>
        </row>
        <row r="670">
          <cell r="H670">
            <v>7047247</v>
          </cell>
        </row>
        <row r="671">
          <cell r="H671">
            <v>7047254</v>
          </cell>
        </row>
        <row r="672">
          <cell r="H672">
            <v>7047252</v>
          </cell>
        </row>
        <row r="673">
          <cell r="H673">
            <v>7047248</v>
          </cell>
        </row>
        <row r="674">
          <cell r="H674">
            <v>7037921</v>
          </cell>
        </row>
        <row r="675">
          <cell r="H675">
            <v>7047253</v>
          </cell>
        </row>
        <row r="676">
          <cell r="H676">
            <v>7047251</v>
          </cell>
        </row>
        <row r="677">
          <cell r="H677">
            <v>7037224</v>
          </cell>
        </row>
        <row r="678">
          <cell r="H678">
            <v>7047250</v>
          </cell>
        </row>
        <row r="679">
          <cell r="H679">
            <v>7047255</v>
          </cell>
        </row>
        <row r="680">
          <cell r="H680">
            <v>7068430</v>
          </cell>
        </row>
        <row r="681">
          <cell r="H681">
            <v>7068428</v>
          </cell>
        </row>
        <row r="682">
          <cell r="H682">
            <v>7068422</v>
          </cell>
        </row>
        <row r="683">
          <cell r="H683">
            <v>7068421</v>
          </cell>
        </row>
        <row r="684">
          <cell r="H684">
            <v>7068424</v>
          </cell>
        </row>
        <row r="685">
          <cell r="H685">
            <v>7068426</v>
          </cell>
        </row>
        <row r="686">
          <cell r="H686">
            <v>7069096</v>
          </cell>
        </row>
        <row r="687">
          <cell r="H687">
            <v>7068425</v>
          </cell>
        </row>
        <row r="688">
          <cell r="H688">
            <v>7057218</v>
          </cell>
        </row>
        <row r="689">
          <cell r="H689">
            <v>7069097</v>
          </cell>
        </row>
        <row r="690">
          <cell r="H690">
            <v>7068427</v>
          </cell>
        </row>
        <row r="691">
          <cell r="H691">
            <v>7068429</v>
          </cell>
        </row>
        <row r="694">
          <cell r="H694">
            <v>7095538</v>
          </cell>
        </row>
        <row r="695">
          <cell r="H695">
            <v>7095645</v>
          </cell>
        </row>
        <row r="696">
          <cell r="H696">
            <v>31054</v>
          </cell>
        </row>
        <row r="698">
          <cell r="H698">
            <v>7095539</v>
          </cell>
        </row>
        <row r="699">
          <cell r="H699">
            <v>7095545</v>
          </cell>
        </row>
        <row r="700">
          <cell r="H700">
            <v>7095542</v>
          </cell>
        </row>
        <row r="702">
          <cell r="H702">
            <v>32015</v>
          </cell>
        </row>
        <row r="703">
          <cell r="H703">
            <v>7095541</v>
          </cell>
        </row>
        <row r="716">
          <cell r="H716">
            <v>7102401</v>
          </cell>
        </row>
        <row r="717">
          <cell r="H717">
            <v>7102402</v>
          </cell>
        </row>
        <row r="718">
          <cell r="H718">
            <v>7102399</v>
          </cell>
        </row>
        <row r="719">
          <cell r="H719">
            <v>7102394</v>
          </cell>
        </row>
        <row r="720">
          <cell r="H720">
            <v>7102393</v>
          </cell>
        </row>
        <row r="721">
          <cell r="H721">
            <v>7102398</v>
          </cell>
        </row>
        <row r="722">
          <cell r="H722">
            <v>7102400</v>
          </cell>
        </row>
        <row r="723">
          <cell r="H723">
            <v>7102403</v>
          </cell>
        </row>
        <row r="724">
          <cell r="H724">
            <v>7102395</v>
          </cell>
        </row>
        <row r="725">
          <cell r="H725">
            <v>7102396</v>
          </cell>
        </row>
        <row r="726">
          <cell r="H726">
            <v>7102397</v>
          </cell>
        </row>
        <row r="727">
          <cell r="H727">
            <v>7084123</v>
          </cell>
        </row>
        <row r="728">
          <cell r="H728" t="str">
            <v>N/A</v>
          </cell>
        </row>
        <row r="729">
          <cell r="H729">
            <v>7134998</v>
          </cell>
        </row>
        <row r="730">
          <cell r="H730">
            <v>7134993</v>
          </cell>
        </row>
        <row r="731">
          <cell r="H731">
            <v>7134996</v>
          </cell>
        </row>
        <row r="732">
          <cell r="H732">
            <v>7135000</v>
          </cell>
        </row>
        <row r="733">
          <cell r="H733">
            <v>7127647</v>
          </cell>
        </row>
        <row r="734">
          <cell r="H734" t="str">
            <v>N/A</v>
          </cell>
        </row>
        <row r="735">
          <cell r="H735">
            <v>7134995</v>
          </cell>
        </row>
        <row r="736">
          <cell r="H736">
            <v>7134999</v>
          </cell>
        </row>
        <row r="737">
          <cell r="H737">
            <v>7135001</v>
          </cell>
        </row>
        <row r="738">
          <cell r="H738">
            <v>7134994</v>
          </cell>
        </row>
        <row r="739">
          <cell r="H739">
            <v>7134997</v>
          </cell>
        </row>
        <row r="740">
          <cell r="H740">
            <v>7134996</v>
          </cell>
        </row>
        <row r="741">
          <cell r="H741">
            <v>7127647</v>
          </cell>
        </row>
        <row r="742">
          <cell r="H742">
            <v>7135000</v>
          </cell>
        </row>
        <row r="743">
          <cell r="H743">
            <v>7124903</v>
          </cell>
        </row>
        <row r="744">
          <cell r="H744">
            <v>7124904</v>
          </cell>
        </row>
        <row r="745">
          <cell r="H745">
            <v>7124905</v>
          </cell>
        </row>
        <row r="746">
          <cell r="H746">
            <v>7122452</v>
          </cell>
        </row>
        <row r="747">
          <cell r="H747">
            <v>7124065</v>
          </cell>
        </row>
        <row r="748">
          <cell r="H748">
            <v>7125215</v>
          </cell>
        </row>
        <row r="749">
          <cell r="H749">
            <v>7124909</v>
          </cell>
        </row>
        <row r="750">
          <cell r="H750">
            <v>7122399</v>
          </cell>
        </row>
        <row r="751">
          <cell r="H751">
            <v>7124906</v>
          </cell>
        </row>
        <row r="752">
          <cell r="H752">
            <v>7124907</v>
          </cell>
        </row>
        <row r="753">
          <cell r="H753">
            <v>7122177</v>
          </cell>
        </row>
        <row r="754">
          <cell r="H754">
            <v>7124908</v>
          </cell>
        </row>
        <row r="755">
          <cell r="H755">
            <v>4785835</v>
          </cell>
        </row>
        <row r="756">
          <cell r="H756">
            <v>4785842</v>
          </cell>
        </row>
        <row r="757">
          <cell r="H757">
            <v>7102397</v>
          </cell>
        </row>
        <row r="758">
          <cell r="H758">
            <v>7109453</v>
          </cell>
        </row>
        <row r="759">
          <cell r="H759">
            <v>6177317</v>
          </cell>
        </row>
        <row r="760">
          <cell r="H760">
            <v>7162357</v>
          </cell>
        </row>
        <row r="761">
          <cell r="H761">
            <v>7162731</v>
          </cell>
        </row>
        <row r="762">
          <cell r="H762">
            <v>7019974</v>
          </cell>
        </row>
        <row r="763">
          <cell r="H763">
            <v>7102401</v>
          </cell>
        </row>
        <row r="764">
          <cell r="H764">
            <v>7109454</v>
          </cell>
        </row>
        <row r="765">
          <cell r="H765">
            <v>2478168</v>
          </cell>
        </row>
        <row r="766">
          <cell r="H766">
            <v>7163384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3613-09CC-448F-BA04-38D70A7338FF}">
  <dimension ref="A1:F18"/>
  <sheetViews>
    <sheetView workbookViewId="0"/>
  </sheetViews>
  <sheetFormatPr defaultRowHeight="15" x14ac:dyDescent="0.25"/>
  <sheetData>
    <row r="1" spans="1:6" x14ac:dyDescent="0.25">
      <c r="A1" s="12" t="s">
        <v>932</v>
      </c>
      <c r="B1" s="13" t="s">
        <v>966</v>
      </c>
      <c r="D1" s="12" t="s">
        <v>967</v>
      </c>
      <c r="E1" s="14" t="s">
        <v>932</v>
      </c>
      <c r="F1" s="13" t="s">
        <v>966</v>
      </c>
    </row>
    <row r="2" spans="1:6" x14ac:dyDescent="0.25">
      <c r="A2" s="15" t="s">
        <v>968</v>
      </c>
      <c r="B2" s="16">
        <v>232</v>
      </c>
      <c r="D2" s="17" t="s">
        <v>969</v>
      </c>
      <c r="E2" t="s">
        <v>970</v>
      </c>
      <c r="F2" s="16">
        <v>124</v>
      </c>
    </row>
    <row r="3" spans="1:6" x14ac:dyDescent="0.25">
      <c r="A3" s="15" t="s">
        <v>971</v>
      </c>
      <c r="B3" s="16">
        <v>186</v>
      </c>
      <c r="D3" s="15"/>
      <c r="E3" t="s">
        <v>972</v>
      </c>
      <c r="F3" s="16">
        <v>20</v>
      </c>
    </row>
    <row r="4" spans="1:6" x14ac:dyDescent="0.25">
      <c r="A4" s="18" t="s">
        <v>973</v>
      </c>
      <c r="B4" s="19">
        <v>163</v>
      </c>
      <c r="D4" s="15"/>
      <c r="E4" t="s">
        <v>962</v>
      </c>
      <c r="F4" s="16">
        <v>12</v>
      </c>
    </row>
    <row r="5" spans="1:6" x14ac:dyDescent="0.25">
      <c r="D5" s="15"/>
      <c r="F5" s="20">
        <f>SUM(F2:F4)</f>
        <v>156</v>
      </c>
    </row>
    <row r="6" spans="1:6" x14ac:dyDescent="0.25">
      <c r="A6" s="12" t="s">
        <v>932</v>
      </c>
      <c r="B6" s="13" t="s">
        <v>966</v>
      </c>
      <c r="D6" s="15"/>
      <c r="F6" s="16"/>
    </row>
    <row r="7" spans="1:6" x14ac:dyDescent="0.25">
      <c r="A7" s="15" t="s">
        <v>970</v>
      </c>
      <c r="B7" s="16">
        <v>124</v>
      </c>
      <c r="D7" s="17" t="s">
        <v>974</v>
      </c>
      <c r="E7" t="s">
        <v>975</v>
      </c>
      <c r="F7" s="16">
        <v>98</v>
      </c>
    </row>
    <row r="8" spans="1:6" x14ac:dyDescent="0.25">
      <c r="A8" s="15" t="s">
        <v>975</v>
      </c>
      <c r="B8" s="16">
        <v>98</v>
      </c>
      <c r="D8" s="15"/>
      <c r="E8" t="s">
        <v>976</v>
      </c>
      <c r="F8" s="16">
        <v>10</v>
      </c>
    </row>
    <row r="9" spans="1:6" x14ac:dyDescent="0.25">
      <c r="A9" s="15" t="s">
        <v>976</v>
      </c>
      <c r="B9" s="16">
        <v>10</v>
      </c>
      <c r="D9" s="15"/>
      <c r="E9" t="s">
        <v>18</v>
      </c>
      <c r="F9" s="16">
        <v>10</v>
      </c>
    </row>
    <row r="10" spans="1:6" x14ac:dyDescent="0.25">
      <c r="A10" s="15" t="s">
        <v>18</v>
      </c>
      <c r="B10" s="16">
        <v>10</v>
      </c>
      <c r="D10" s="15"/>
      <c r="E10" t="s">
        <v>923</v>
      </c>
      <c r="F10" s="16">
        <v>1</v>
      </c>
    </row>
    <row r="11" spans="1:6" x14ac:dyDescent="0.25">
      <c r="A11" s="15" t="s">
        <v>923</v>
      </c>
      <c r="B11" s="16">
        <v>1</v>
      </c>
      <c r="D11" s="15"/>
      <c r="E11" t="s">
        <v>933</v>
      </c>
      <c r="F11" s="16">
        <v>20</v>
      </c>
    </row>
    <row r="12" spans="1:6" x14ac:dyDescent="0.25">
      <c r="A12" s="15" t="s">
        <v>972</v>
      </c>
      <c r="B12" s="16">
        <v>20</v>
      </c>
      <c r="D12" s="15"/>
      <c r="E12" t="s">
        <v>977</v>
      </c>
      <c r="F12" s="16">
        <v>6</v>
      </c>
    </row>
    <row r="13" spans="1:6" x14ac:dyDescent="0.25">
      <c r="A13" s="15" t="s">
        <v>933</v>
      </c>
      <c r="B13" s="16">
        <v>20</v>
      </c>
      <c r="D13" s="15"/>
      <c r="F13" s="20">
        <f>SUM(F7:F12)</f>
        <v>145</v>
      </c>
    </row>
    <row r="14" spans="1:6" x14ac:dyDescent="0.25">
      <c r="A14" s="15" t="s">
        <v>962</v>
      </c>
      <c r="B14" s="16">
        <v>12</v>
      </c>
      <c r="D14" s="15"/>
      <c r="F14" s="16"/>
    </row>
    <row r="15" spans="1:6" x14ac:dyDescent="0.25">
      <c r="A15" s="15" t="s">
        <v>978</v>
      </c>
      <c r="B15" s="16">
        <v>94</v>
      </c>
      <c r="D15" s="17" t="s">
        <v>979</v>
      </c>
      <c r="E15" t="s">
        <v>978</v>
      </c>
      <c r="F15" s="16">
        <v>94</v>
      </c>
    </row>
    <row r="16" spans="1:6" x14ac:dyDescent="0.25">
      <c r="A16" s="15" t="s">
        <v>977</v>
      </c>
      <c r="B16" s="16">
        <v>6</v>
      </c>
      <c r="D16" s="18"/>
      <c r="E16" s="21" t="s">
        <v>633</v>
      </c>
      <c r="F16" s="19">
        <v>69</v>
      </c>
    </row>
    <row r="17" spans="1:6" x14ac:dyDescent="0.25">
      <c r="A17" s="18" t="s">
        <v>633</v>
      </c>
      <c r="B17" s="19">
        <v>69</v>
      </c>
      <c r="F17" s="1">
        <f>SUM(F15:F16)</f>
        <v>163</v>
      </c>
    </row>
    <row r="18" spans="1:6" x14ac:dyDescent="0.25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114C-5757-48D5-BC32-E094B4022FC3}">
  <dimension ref="A1:G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3" max="3" width="37.28515625" bestFit="1" customWidth="1"/>
    <col min="6" max="6" width="10.140625" style="23" bestFit="1" customWidth="1"/>
    <col min="7" max="7" width="9.140625" style="25"/>
  </cols>
  <sheetData>
    <row r="1" spans="1:7" s="1" customFormat="1" x14ac:dyDescent="0.25">
      <c r="A1" s="1" t="s">
        <v>996</v>
      </c>
      <c r="B1" s="1" t="s">
        <v>959</v>
      </c>
      <c r="C1" s="1" t="s">
        <v>858</v>
      </c>
      <c r="D1" s="1" t="s">
        <v>994</v>
      </c>
      <c r="E1" s="1" t="s">
        <v>983</v>
      </c>
      <c r="F1" s="22" t="s">
        <v>959</v>
      </c>
      <c r="G1" s="24" t="s">
        <v>855</v>
      </c>
    </row>
    <row r="2" spans="1:7" x14ac:dyDescent="0.25">
      <c r="A2">
        <v>1</v>
      </c>
      <c r="B2">
        <v>2014</v>
      </c>
      <c r="C2" t="s">
        <v>985</v>
      </c>
      <c r="D2">
        <v>10</v>
      </c>
      <c r="E2" t="str">
        <f>IF(COUNTIF(Songs!$C:$C,C2),"","NO")</f>
        <v/>
      </c>
      <c r="F2" s="26">
        <v>41765</v>
      </c>
    </row>
    <row r="3" spans="1:7" x14ac:dyDescent="0.25">
      <c r="A3">
        <v>1</v>
      </c>
      <c r="B3">
        <v>2014</v>
      </c>
      <c r="C3" t="s">
        <v>986</v>
      </c>
      <c r="D3">
        <v>10</v>
      </c>
      <c r="E3" t="str">
        <f>IF(COUNTIF(Songs!$C:$C,C3),"","NO")</f>
        <v/>
      </c>
      <c r="F3" s="26">
        <v>41786</v>
      </c>
    </row>
    <row r="4" spans="1:7" x14ac:dyDescent="0.25">
      <c r="A4">
        <v>1</v>
      </c>
      <c r="B4">
        <v>2014</v>
      </c>
      <c r="C4" t="s">
        <v>987</v>
      </c>
      <c r="D4">
        <v>10</v>
      </c>
      <c r="E4" t="str">
        <f>IF(COUNTIF(Songs!$C:$C,C4),"","NO")</f>
        <v/>
      </c>
      <c r="F4" s="26">
        <v>41807</v>
      </c>
    </row>
    <row r="5" spans="1:7" x14ac:dyDescent="0.25">
      <c r="A5">
        <v>1</v>
      </c>
      <c r="B5">
        <v>2014</v>
      </c>
      <c r="C5" t="s">
        <v>988</v>
      </c>
      <c r="D5">
        <v>10</v>
      </c>
      <c r="E5" t="str">
        <f>IF(COUNTIF(Songs!$C:$C,C5),"","NO")</f>
        <v/>
      </c>
      <c r="F5" s="26">
        <v>41828</v>
      </c>
    </row>
    <row r="6" spans="1:7" x14ac:dyDescent="0.25">
      <c r="A6">
        <v>1</v>
      </c>
      <c r="B6">
        <v>2014</v>
      </c>
      <c r="C6" t="s">
        <v>989</v>
      </c>
      <c r="D6">
        <v>10</v>
      </c>
      <c r="E6" t="str">
        <f>IF(COUNTIF(Songs!$C:$C,C6),"","NO")</f>
        <v/>
      </c>
      <c r="F6" s="26">
        <v>41849</v>
      </c>
    </row>
    <row r="7" spans="1:7" x14ac:dyDescent="0.25">
      <c r="A7">
        <v>1</v>
      </c>
      <c r="B7">
        <v>2014</v>
      </c>
      <c r="C7" t="s">
        <v>990</v>
      </c>
      <c r="D7">
        <v>10</v>
      </c>
      <c r="E7" t="str">
        <f>IF(COUNTIF(Songs!$C:$C,C7),"","NO")</f>
        <v/>
      </c>
      <c r="F7" s="26">
        <v>41872</v>
      </c>
    </row>
    <row r="8" spans="1:7" x14ac:dyDescent="0.25">
      <c r="A8">
        <v>1</v>
      </c>
      <c r="B8">
        <v>2014</v>
      </c>
      <c r="C8" t="s">
        <v>991</v>
      </c>
      <c r="D8">
        <v>10</v>
      </c>
      <c r="E8" t="str">
        <f>IF(COUNTIF(Songs!$C:$C,C8),"","NO")</f>
        <v/>
      </c>
      <c r="F8" s="26">
        <v>41891</v>
      </c>
    </row>
    <row r="9" spans="1:7" x14ac:dyDescent="0.25">
      <c r="A9">
        <v>1</v>
      </c>
      <c r="B9">
        <v>2014</v>
      </c>
      <c r="C9" t="s">
        <v>992</v>
      </c>
      <c r="D9">
        <v>10</v>
      </c>
      <c r="E9" t="str">
        <f>IF(COUNTIF(Songs!$C:$C,C9),"","NO")</f>
        <v/>
      </c>
      <c r="F9" s="26">
        <v>41912</v>
      </c>
    </row>
    <row r="10" spans="1:7" x14ac:dyDescent="0.25">
      <c r="A10">
        <v>1</v>
      </c>
      <c r="B10">
        <v>2014</v>
      </c>
      <c r="C10" t="s">
        <v>993</v>
      </c>
      <c r="D10">
        <v>10</v>
      </c>
      <c r="E10" t="str">
        <f>IF(COUNTIF(Songs!$C:$C,C10),"","NO")</f>
        <v/>
      </c>
      <c r="F10" s="26">
        <v>41933</v>
      </c>
    </row>
    <row r="11" spans="1:7" x14ac:dyDescent="0.25">
      <c r="A11">
        <v>1</v>
      </c>
      <c r="B11">
        <v>2014</v>
      </c>
      <c r="C11" t="s">
        <v>0</v>
      </c>
      <c r="D11">
        <v>10</v>
      </c>
      <c r="E11" t="str">
        <f>IF(COUNTIF(Songs!$C:$C,C11),"","NO")</f>
        <v/>
      </c>
      <c r="F11" s="26">
        <v>41961</v>
      </c>
    </row>
    <row r="12" spans="1:7" x14ac:dyDescent="0.25">
      <c r="A12">
        <v>1</v>
      </c>
      <c r="B12">
        <v>2015</v>
      </c>
      <c r="C12" t="s">
        <v>1</v>
      </c>
      <c r="D12">
        <v>10</v>
      </c>
      <c r="E12" t="str">
        <f>IF(COUNTIF(Songs!$C:$C,C12),"","NO")</f>
        <v/>
      </c>
      <c r="F12" s="26">
        <v>42122</v>
      </c>
      <c r="G12" s="25" t="s">
        <v>960</v>
      </c>
    </row>
    <row r="13" spans="1:7" x14ac:dyDescent="0.25">
      <c r="A13">
        <v>1</v>
      </c>
      <c r="B13">
        <v>2016</v>
      </c>
      <c r="C13" t="s">
        <v>2</v>
      </c>
      <c r="D13">
        <v>11</v>
      </c>
      <c r="E13" t="str">
        <f>IF(COUNTIF(Songs!$C:$C,C13),"","NO")</f>
        <v/>
      </c>
      <c r="F13" s="26">
        <v>42643</v>
      </c>
    </row>
    <row r="14" spans="1:7" x14ac:dyDescent="0.25">
      <c r="A14">
        <v>1</v>
      </c>
      <c r="B14">
        <v>2017</v>
      </c>
      <c r="C14" t="s">
        <v>3</v>
      </c>
      <c r="D14">
        <v>13</v>
      </c>
      <c r="E14" t="str">
        <f>IF(COUNTIF(Songs!$C:$C,C14),"","NO")</f>
        <v/>
      </c>
      <c r="F14" s="26">
        <v>42839</v>
      </c>
    </row>
    <row r="15" spans="1:7" x14ac:dyDescent="0.25">
      <c r="A15">
        <v>1</v>
      </c>
      <c r="B15">
        <v>2017</v>
      </c>
      <c r="C15" t="s">
        <v>4</v>
      </c>
      <c r="D15">
        <v>5</v>
      </c>
      <c r="E15" t="str">
        <f>IF(COUNTIF(Songs!$C:$C,C15),"","NO")</f>
        <v/>
      </c>
      <c r="F15" s="26">
        <v>43000</v>
      </c>
    </row>
    <row r="16" spans="1:7" x14ac:dyDescent="0.25">
      <c r="A16">
        <v>1</v>
      </c>
      <c r="B16">
        <v>2017</v>
      </c>
      <c r="C16" t="s">
        <v>5</v>
      </c>
      <c r="D16">
        <v>5</v>
      </c>
      <c r="E16" t="str">
        <f>IF(COUNTIF(Songs!$C:$C,C16),"","NO")</f>
        <v/>
      </c>
      <c r="F16" s="26">
        <v>43039</v>
      </c>
    </row>
    <row r="17" spans="1:7" x14ac:dyDescent="0.25">
      <c r="A17">
        <v>1</v>
      </c>
      <c r="B17">
        <v>2018</v>
      </c>
      <c r="C17" t="s">
        <v>6</v>
      </c>
      <c r="D17">
        <v>5</v>
      </c>
      <c r="E17" t="str">
        <f>IF(COUNTIF(Songs!$C:$C,C17),"","NO")</f>
        <v/>
      </c>
      <c r="F17" s="26">
        <v>43145</v>
      </c>
    </row>
    <row r="18" spans="1:7" x14ac:dyDescent="0.25">
      <c r="A18">
        <v>1</v>
      </c>
      <c r="B18">
        <v>2018</v>
      </c>
      <c r="C18" t="s">
        <v>7</v>
      </c>
      <c r="D18">
        <v>10</v>
      </c>
      <c r="E18" t="str">
        <f>IF(COUNTIF(Songs!$C:$C,C18),"","NO")</f>
        <v/>
      </c>
      <c r="F18" s="26">
        <v>43297</v>
      </c>
    </row>
    <row r="19" spans="1:7" x14ac:dyDescent="0.25">
      <c r="A19">
        <v>1</v>
      </c>
      <c r="B19">
        <v>2019</v>
      </c>
      <c r="C19" t="s">
        <v>8</v>
      </c>
      <c r="D19">
        <v>12</v>
      </c>
      <c r="E19" t="str">
        <f>IF(COUNTIF(Songs!$C:$C,C19),"","NO")</f>
        <v/>
      </c>
      <c r="F19" s="26">
        <v>43630</v>
      </c>
    </row>
    <row r="20" spans="1:7" x14ac:dyDescent="0.25">
      <c r="A20">
        <v>1</v>
      </c>
      <c r="B20">
        <v>2020</v>
      </c>
      <c r="C20" t="s">
        <v>9</v>
      </c>
      <c r="D20">
        <v>10</v>
      </c>
      <c r="E20" t="str">
        <f>IF(COUNTIF(Songs!$C:$C,C20),"","NO")</f>
        <v/>
      </c>
      <c r="F20" s="26">
        <v>43847</v>
      </c>
    </row>
    <row r="21" spans="1:7" x14ac:dyDescent="0.25">
      <c r="A21">
        <v>1</v>
      </c>
      <c r="B21">
        <v>2020</v>
      </c>
      <c r="C21" t="s">
        <v>10</v>
      </c>
      <c r="D21">
        <v>10</v>
      </c>
      <c r="E21" t="str">
        <f>IF(COUNTIF(Songs!$C:$C,C21),"","NO")</f>
        <v/>
      </c>
      <c r="F21" s="26">
        <v>43889</v>
      </c>
    </row>
    <row r="22" spans="1:7" x14ac:dyDescent="0.25">
      <c r="A22">
        <v>1</v>
      </c>
      <c r="B22">
        <v>2020</v>
      </c>
      <c r="C22" t="s">
        <v>11</v>
      </c>
      <c r="D22">
        <v>10</v>
      </c>
      <c r="E22" t="str">
        <f>IF(COUNTIF(Songs!$C:$C,C22),"","NO")</f>
        <v/>
      </c>
      <c r="F22" s="27">
        <v>43924</v>
      </c>
    </row>
    <row r="23" spans="1:7" x14ac:dyDescent="0.25">
      <c r="A23">
        <v>1</v>
      </c>
      <c r="B23">
        <v>2020</v>
      </c>
      <c r="C23" t="s">
        <v>12</v>
      </c>
      <c r="D23">
        <v>10</v>
      </c>
      <c r="E23" t="str">
        <f>IF(COUNTIF(Songs!$C:$C,C23),"","NO")</f>
        <v/>
      </c>
      <c r="F23" s="27">
        <v>44001</v>
      </c>
    </row>
    <row r="24" spans="1:7" x14ac:dyDescent="0.25">
      <c r="A24">
        <v>1</v>
      </c>
      <c r="B24">
        <v>2020</v>
      </c>
      <c r="C24" t="s">
        <v>13</v>
      </c>
      <c r="D24">
        <v>11</v>
      </c>
      <c r="E24" t="str">
        <f>IF(COUNTIF(Songs!$C:$C,C24),"","NO")</f>
        <v/>
      </c>
      <c r="F24" s="27">
        <v>44099</v>
      </c>
    </row>
    <row r="25" spans="1:7" x14ac:dyDescent="0.25">
      <c r="A25">
        <v>1</v>
      </c>
      <c r="B25">
        <v>2021</v>
      </c>
      <c r="C25" t="s">
        <v>14</v>
      </c>
      <c r="D25">
        <v>10</v>
      </c>
      <c r="E25" t="str">
        <f>IF(COUNTIF(Songs!$C:$C,C25),"","NO")</f>
        <v/>
      </c>
      <c r="F25" s="26">
        <v>44204</v>
      </c>
      <c r="G25" s="25" t="s">
        <v>961</v>
      </c>
    </row>
    <row r="26" spans="1:7" x14ac:dyDescent="0.25">
      <c r="A26">
        <v>2</v>
      </c>
      <c r="B26">
        <v>2018</v>
      </c>
      <c r="C26" t="s">
        <v>15</v>
      </c>
      <c r="D26">
        <v>10</v>
      </c>
      <c r="E26" t="str">
        <f>IF(COUNTIF(Songs!$C:$C,C26),"","NO")</f>
        <v/>
      </c>
      <c r="F26" s="26">
        <v>43350</v>
      </c>
    </row>
    <row r="27" spans="1:7" x14ac:dyDescent="0.25">
      <c r="A27">
        <v>2</v>
      </c>
      <c r="B27">
        <v>2018</v>
      </c>
      <c r="C27" t="s">
        <v>16</v>
      </c>
      <c r="D27">
        <v>10</v>
      </c>
      <c r="E27" t="str">
        <f>IF(COUNTIF(Songs!$C:$C,C27),"","NO")</f>
        <v/>
      </c>
      <c r="F27" s="26">
        <v>43700</v>
      </c>
    </row>
    <row r="28" spans="1:7" x14ac:dyDescent="0.25">
      <c r="A28">
        <v>3</v>
      </c>
      <c r="B28">
        <v>2017</v>
      </c>
      <c r="C28" t="s">
        <v>965</v>
      </c>
      <c r="D28">
        <v>10</v>
      </c>
      <c r="E28" t="str">
        <f>IF(COUNTIF(Songs!$C:$C,C28),"","NO")</f>
        <v/>
      </c>
      <c r="F28" s="26">
        <v>42839</v>
      </c>
    </row>
    <row r="29" spans="1:7" x14ac:dyDescent="0.25">
      <c r="A29">
        <v>3</v>
      </c>
      <c r="B29">
        <v>2017</v>
      </c>
      <c r="C29" t="s">
        <v>963</v>
      </c>
      <c r="D29">
        <v>10</v>
      </c>
      <c r="E29" t="str">
        <f>IF(COUNTIF(Songs!$C:$C,C29),"","NO")</f>
        <v/>
      </c>
      <c r="F29" s="26">
        <v>42839</v>
      </c>
    </row>
    <row r="30" spans="1:7" x14ac:dyDescent="0.25">
      <c r="A30">
        <v>4</v>
      </c>
      <c r="B30">
        <v>2015</v>
      </c>
      <c r="C30" t="s">
        <v>984</v>
      </c>
      <c r="D30">
        <v>12</v>
      </c>
      <c r="E30" t="str">
        <f>IF(COUNTIF(Songs!$C:$C,C30),"","NO")</f>
        <v/>
      </c>
      <c r="F30" s="26">
        <v>42300</v>
      </c>
    </row>
    <row r="31" spans="1:7" x14ac:dyDescent="0.25">
      <c r="A31">
        <v>5</v>
      </c>
      <c r="C31" t="s">
        <v>18</v>
      </c>
      <c r="D31">
        <v>10</v>
      </c>
      <c r="E31" t="str">
        <f>IF(COUNTIF(Songs!$C:$C,C31),"","NO")</f>
        <v/>
      </c>
      <c r="G31" s="25" t="s">
        <v>964</v>
      </c>
    </row>
    <row r="32" spans="1:7" x14ac:dyDescent="0.25">
      <c r="A32">
        <v>5</v>
      </c>
      <c r="C32" t="s">
        <v>923</v>
      </c>
      <c r="D32">
        <v>1</v>
      </c>
    </row>
    <row r="33" spans="1:4" x14ac:dyDescent="0.25">
      <c r="A33">
        <v>6</v>
      </c>
      <c r="C33" t="s">
        <v>842</v>
      </c>
    </row>
    <row r="34" spans="1:4" x14ac:dyDescent="0.25">
      <c r="A34">
        <v>7</v>
      </c>
      <c r="C34" t="s">
        <v>884</v>
      </c>
    </row>
    <row r="35" spans="1:4" x14ac:dyDescent="0.25">
      <c r="A35">
        <v>8</v>
      </c>
      <c r="C35" t="s">
        <v>633</v>
      </c>
    </row>
    <row r="36" spans="1:4" x14ac:dyDescent="0.25">
      <c r="D36">
        <f>SUM(D2:D32)</f>
        <v>295</v>
      </c>
    </row>
  </sheetData>
  <autoFilter ref="A1:G36" xr:uid="{E09D84F1-E8AB-4D6B-A43E-E18C0166C8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7ADA-0055-40DD-889B-734737ABDB6A}">
  <sheetPr filterMode="1"/>
  <dimension ref="A1:AF464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2" max="3" width="9.140625" customWidth="1"/>
    <col min="4" max="4" width="7.85546875" bestFit="1" customWidth="1"/>
    <col min="5" max="5" width="26.140625" customWidth="1"/>
    <col min="6" max="6" width="9.140625" customWidth="1"/>
    <col min="7" max="7" width="9.140625" style="28"/>
    <col min="8" max="11" width="4.28515625" customWidth="1"/>
    <col min="12" max="12" width="8" style="10" bestFit="1" customWidth="1"/>
    <col min="13" max="13" width="5.140625" style="4" customWidth="1"/>
    <col min="16" max="16" width="9.140625" style="23" customWidth="1"/>
    <col min="17" max="19" width="4.28515625" customWidth="1"/>
    <col min="20" max="21" width="5.85546875" customWidth="1"/>
    <col min="22" max="25" width="9.140625" customWidth="1"/>
  </cols>
  <sheetData>
    <row r="1" spans="1:32" s="1" customFormat="1" x14ac:dyDescent="0.25">
      <c r="A1" s="1" t="s">
        <v>996</v>
      </c>
      <c r="B1" s="1" t="s">
        <v>959</v>
      </c>
      <c r="C1" s="1" t="s">
        <v>981</v>
      </c>
      <c r="D1" s="1" t="s">
        <v>982</v>
      </c>
      <c r="E1" s="1" t="s">
        <v>858</v>
      </c>
      <c r="F1" s="1" t="s">
        <v>19</v>
      </c>
      <c r="G1" s="2" t="s">
        <v>20</v>
      </c>
      <c r="H1" s="2" t="s">
        <v>21</v>
      </c>
      <c r="I1" s="2" t="s">
        <v>365</v>
      </c>
      <c r="J1" s="2" t="s">
        <v>366</v>
      </c>
      <c r="K1" s="2" t="s">
        <v>367</v>
      </c>
      <c r="L1" s="8" t="s">
        <v>980</v>
      </c>
      <c r="M1" s="2" t="s">
        <v>368</v>
      </c>
      <c r="N1" s="2" t="s">
        <v>369</v>
      </c>
      <c r="O1" s="2" t="s">
        <v>932</v>
      </c>
      <c r="P1" s="22" t="s">
        <v>474</v>
      </c>
      <c r="Q1" s="1" t="s">
        <v>475</v>
      </c>
      <c r="R1" s="1" t="s">
        <v>476</v>
      </c>
      <c r="S1" s="1" t="s">
        <v>856</v>
      </c>
      <c r="T1" s="1" t="s">
        <v>1021</v>
      </c>
      <c r="U1" s="1" t="s">
        <v>1022</v>
      </c>
      <c r="V1" s="1" t="s">
        <v>477</v>
      </c>
      <c r="W1" s="1" t="s">
        <v>995</v>
      </c>
      <c r="X1" s="1" t="s">
        <v>1194</v>
      </c>
      <c r="Y1" s="1" t="s">
        <v>958</v>
      </c>
      <c r="Z1" s="1" t="s">
        <v>629</v>
      </c>
      <c r="AA1" s="1" t="s">
        <v>1195</v>
      </c>
      <c r="AB1" s="1" t="s">
        <v>632</v>
      </c>
      <c r="AC1" s="1" t="s">
        <v>855</v>
      </c>
      <c r="AD1" s="1" t="s">
        <v>857</v>
      </c>
      <c r="AE1" s="1" t="s">
        <v>931</v>
      </c>
      <c r="AF1" s="1" t="s">
        <v>1197</v>
      </c>
    </row>
    <row r="2" spans="1:32" x14ac:dyDescent="0.25">
      <c r="A2">
        <f>INDEX(Albums!$A:$A, MATCH(C2,Albums!$C:$C,0))</f>
        <v>1</v>
      </c>
      <c r="B2">
        <f>INDEX(Albums!$B:$B, MATCH(C2,Albums!$C:$C,0))</f>
        <v>2014</v>
      </c>
      <c r="C2" t="s">
        <v>985</v>
      </c>
      <c r="D2">
        <v>1</v>
      </c>
      <c r="E2" t="s">
        <v>22</v>
      </c>
      <c r="F2" t="s">
        <v>23</v>
      </c>
      <c r="G2" s="28" t="s">
        <v>370</v>
      </c>
      <c r="H2" s="3" t="s">
        <v>39</v>
      </c>
      <c r="I2" s="3" t="s">
        <v>39</v>
      </c>
      <c r="J2" s="4">
        <v>60</v>
      </c>
      <c r="K2" s="5" t="s">
        <v>371</v>
      </c>
      <c r="L2" s="10">
        <v>6428767</v>
      </c>
      <c r="M2" s="4">
        <v>2012</v>
      </c>
      <c r="N2" s="4" t="s">
        <v>372</v>
      </c>
      <c r="O2" t="s">
        <v>1199</v>
      </c>
      <c r="P2" s="23" t="s">
        <v>24</v>
      </c>
      <c r="Q2">
        <v>130</v>
      </c>
      <c r="R2" t="s">
        <v>25</v>
      </c>
      <c r="S2" t="s">
        <v>25</v>
      </c>
      <c r="T2" t="s">
        <v>478</v>
      </c>
      <c r="U2" t="s">
        <v>478</v>
      </c>
      <c r="V2" t="str">
        <f>IF(AND(ISNUMBER(L2),COUNTIF([1]Songs!$L:$L,L2)&gt;0),"YES","")</f>
        <v>YES</v>
      </c>
      <c r="W2" t="e">
        <f>IF(AND(ISNUMBER(L2),COUNTIF([2]Songs!$J:$J,L2)&gt;0),"YES","")</f>
        <v>#VALUE!</v>
      </c>
      <c r="X2" t="e">
        <f>IF(AND(ISNUMBER(L2),COUNTIF([3]CcliCombined!$D:$D,L2)&gt;0),"YES","")</f>
        <v>#VALUE!</v>
      </c>
      <c r="Y2" t="e">
        <f>IF(AND(ISNUMBER(L2),COUNTIF([4]Songs!$H:$H,L2)&gt;0),"YES","")</f>
        <v>#VALUE!</v>
      </c>
      <c r="Z2" t="s">
        <v>630</v>
      </c>
      <c r="AB2">
        <v>1</v>
      </c>
      <c r="AD2" t="str">
        <f t="shared" ref="AD2:AD33" si="0">I2
&amp;IF(H2=I2,""," "&amp;H2)
&amp;IF(OR(R2=I2,R2=H2),""," "&amp;R2)
&amp;IF(R2=S2,""," "&amp;S2)</f>
        <v>D G</v>
      </c>
    </row>
    <row r="3" spans="1:32" x14ac:dyDescent="0.25">
      <c r="A3">
        <f>INDEX(Albums!$A:$A, MATCH(C3,Albums!$C:$C,0))</f>
        <v>1</v>
      </c>
      <c r="B3">
        <f>INDEX(Albums!$B:$B, MATCH(C3,Albums!$C:$C,0))</f>
        <v>2014</v>
      </c>
      <c r="C3" t="s">
        <v>985</v>
      </c>
      <c r="D3">
        <v>2</v>
      </c>
      <c r="E3" t="s">
        <v>26</v>
      </c>
      <c r="F3" t="s">
        <v>23</v>
      </c>
      <c r="G3" s="28" t="s">
        <v>373</v>
      </c>
      <c r="H3" s="3" t="s">
        <v>25</v>
      </c>
      <c r="I3" s="3" t="s">
        <v>28</v>
      </c>
      <c r="J3" s="4">
        <v>100</v>
      </c>
      <c r="K3" s="5" t="s">
        <v>371</v>
      </c>
      <c r="L3" s="10">
        <v>6333821</v>
      </c>
      <c r="M3" s="4">
        <v>2012</v>
      </c>
      <c r="N3" s="4" t="s">
        <v>374</v>
      </c>
      <c r="O3" t="s">
        <v>1199</v>
      </c>
      <c r="P3" s="23" t="s">
        <v>27</v>
      </c>
      <c r="Q3">
        <v>99</v>
      </c>
      <c r="R3" t="s">
        <v>28</v>
      </c>
      <c r="S3" t="s">
        <v>52</v>
      </c>
      <c r="T3" t="s">
        <v>478</v>
      </c>
      <c r="U3" t="s">
        <v>478</v>
      </c>
      <c r="V3" t="str">
        <f>IF(AND(ISNUMBER(L3),COUNTIF([1]Songs!$L:$L,L3)&gt;0),"YES","")</f>
        <v>YES</v>
      </c>
      <c r="W3" t="e">
        <f>IF(AND(ISNUMBER(L3),COUNTIF([2]Songs!$J:$J,L3)&gt;0),"YES","")</f>
        <v>#VALUE!</v>
      </c>
      <c r="X3" t="e">
        <f>IF(AND(ISNUMBER(L3),COUNTIF([3]CcliCombined!$D:$D,L3)&gt;0),"YES","")</f>
        <v>#VALUE!</v>
      </c>
      <c r="Y3" t="e">
        <f>IF(AND(ISNUMBER(L3),COUNTIF([4]Songs!$H:$H,L3)&gt;0),"YES","")</f>
        <v>#VALUE!</v>
      </c>
      <c r="Z3" t="s">
        <v>630</v>
      </c>
      <c r="AB3">
        <v>2</v>
      </c>
      <c r="AD3" t="str">
        <f t="shared" si="0"/>
        <v>Bb G A</v>
      </c>
    </row>
    <row r="4" spans="1:32" x14ac:dyDescent="0.25">
      <c r="A4">
        <f>INDEX(Albums!$A:$A, MATCH(C4,Albums!$C:$C,0))</f>
        <v>1</v>
      </c>
      <c r="B4">
        <f>INDEX(Albums!$B:$B, MATCH(C4,Albums!$C:$C,0))</f>
        <v>2014</v>
      </c>
      <c r="C4" t="s">
        <v>985</v>
      </c>
      <c r="D4">
        <v>3</v>
      </c>
      <c r="E4" t="s">
        <v>29</v>
      </c>
      <c r="F4" t="s">
        <v>23</v>
      </c>
      <c r="G4" s="28" t="s">
        <v>375</v>
      </c>
      <c r="H4" s="3" t="s">
        <v>52</v>
      </c>
      <c r="I4" s="3" t="s">
        <v>52</v>
      </c>
      <c r="J4" s="4">
        <v>76</v>
      </c>
      <c r="K4" s="5" t="s">
        <v>371</v>
      </c>
      <c r="L4" s="10">
        <v>5881130</v>
      </c>
      <c r="M4" s="4">
        <v>2011</v>
      </c>
      <c r="N4" s="6" t="s">
        <v>376</v>
      </c>
      <c r="O4" t="s">
        <v>1199</v>
      </c>
      <c r="P4" s="23" t="s">
        <v>30</v>
      </c>
      <c r="Q4">
        <v>72</v>
      </c>
      <c r="R4" t="s">
        <v>31</v>
      </c>
      <c r="S4" t="s">
        <v>31</v>
      </c>
      <c r="T4" t="s">
        <v>478</v>
      </c>
      <c r="U4" t="s">
        <v>478</v>
      </c>
      <c r="V4" t="str">
        <f>IF(AND(ISNUMBER(L4),COUNTIF([1]Songs!$L:$L,L4)&gt;0),"YES","")</f>
        <v>YES</v>
      </c>
      <c r="W4" t="e">
        <f>IF(AND(ISNUMBER(L4),COUNTIF([2]Songs!$J:$J,L4)&gt;0),"YES","")</f>
        <v>#VALUE!</v>
      </c>
      <c r="X4" t="e">
        <f>IF(AND(ISNUMBER(L4),COUNTIF([3]CcliCombined!$D:$D,L4)&gt;0),"YES","")</f>
        <v>#VALUE!</v>
      </c>
      <c r="Y4" t="e">
        <f>IF(AND(ISNUMBER(L4),COUNTIF([4]Songs!$H:$H,L4)&gt;0),"YES","")</f>
        <v>#VALUE!</v>
      </c>
      <c r="Z4" t="s">
        <v>630</v>
      </c>
      <c r="AB4">
        <v>3</v>
      </c>
      <c r="AD4" t="str">
        <f t="shared" si="0"/>
        <v>A B</v>
      </c>
    </row>
    <row r="5" spans="1:32" x14ac:dyDescent="0.25">
      <c r="A5">
        <f>INDEX(Albums!$A:$A, MATCH(C5,Albums!$C:$C,0))</f>
        <v>1</v>
      </c>
      <c r="B5">
        <f>INDEX(Albums!$B:$B, MATCH(C5,Albums!$C:$C,0))</f>
        <v>2014</v>
      </c>
      <c r="C5" t="s">
        <v>985</v>
      </c>
      <c r="D5">
        <v>4</v>
      </c>
      <c r="E5" t="s">
        <v>32</v>
      </c>
      <c r="F5" t="s">
        <v>23</v>
      </c>
      <c r="G5" s="28" t="s">
        <v>377</v>
      </c>
      <c r="H5" s="3" t="s">
        <v>31</v>
      </c>
      <c r="I5" s="3" t="s">
        <v>31</v>
      </c>
      <c r="J5" s="4">
        <v>74</v>
      </c>
      <c r="K5" s="4" t="s">
        <v>371</v>
      </c>
      <c r="L5" s="10">
        <v>5925687</v>
      </c>
      <c r="M5" s="4">
        <v>2011</v>
      </c>
      <c r="N5" s="4" t="s">
        <v>378</v>
      </c>
      <c r="O5" t="s">
        <v>1199</v>
      </c>
      <c r="P5" s="23" t="s">
        <v>33</v>
      </c>
      <c r="Q5">
        <v>72</v>
      </c>
      <c r="R5" t="s">
        <v>31</v>
      </c>
      <c r="S5" t="s">
        <v>31</v>
      </c>
      <c r="T5" t="s">
        <v>478</v>
      </c>
      <c r="U5" t="s">
        <v>478</v>
      </c>
      <c r="V5" t="str">
        <f>IF(AND(ISNUMBER(L5),COUNTIF([1]Songs!$L:$L,L5)&gt;0),"YES","")</f>
        <v>YES</v>
      </c>
      <c r="W5" t="e">
        <f>IF(AND(ISNUMBER(L5),COUNTIF([2]Songs!$J:$J,L5)&gt;0),"YES","")</f>
        <v>#VALUE!</v>
      </c>
      <c r="X5" t="e">
        <f>IF(AND(ISNUMBER(L5),COUNTIF([3]CcliCombined!$D:$D,L5)&gt;0),"YES","")</f>
        <v>#VALUE!</v>
      </c>
      <c r="Y5" t="e">
        <f>IF(AND(ISNUMBER(L5),COUNTIF([4]Songs!$H:$H,L5)&gt;0),"YES","")</f>
        <v>#VALUE!</v>
      </c>
      <c r="Z5" t="s">
        <v>630</v>
      </c>
      <c r="AB5">
        <v>4</v>
      </c>
      <c r="AD5" t="str">
        <f t="shared" si="0"/>
        <v>B</v>
      </c>
    </row>
    <row r="6" spans="1:32" x14ac:dyDescent="0.25">
      <c r="A6">
        <f>INDEX(Albums!$A:$A, MATCH(C6,Albums!$C:$C,0))</f>
        <v>1</v>
      </c>
      <c r="B6">
        <f>INDEX(Albums!$B:$B, MATCH(C6,Albums!$C:$C,0))</f>
        <v>2014</v>
      </c>
      <c r="C6" t="s">
        <v>985</v>
      </c>
      <c r="D6">
        <v>5</v>
      </c>
      <c r="E6" t="s">
        <v>34</v>
      </c>
      <c r="F6" t="s">
        <v>35</v>
      </c>
      <c r="G6" s="28" t="s">
        <v>379</v>
      </c>
      <c r="H6" s="3" t="s">
        <v>39</v>
      </c>
      <c r="I6" s="3" t="s">
        <v>39</v>
      </c>
      <c r="J6" s="4">
        <v>60</v>
      </c>
      <c r="K6" s="5" t="s">
        <v>380</v>
      </c>
      <c r="L6" s="10">
        <v>3350395</v>
      </c>
      <c r="M6" s="4">
        <v>2001</v>
      </c>
      <c r="N6" s="4" t="s">
        <v>381</v>
      </c>
      <c r="O6" t="s">
        <v>1199</v>
      </c>
      <c r="P6" s="23" t="s">
        <v>35</v>
      </c>
      <c r="Q6">
        <v>64</v>
      </c>
      <c r="R6" t="s">
        <v>36</v>
      </c>
      <c r="S6" t="s">
        <v>36</v>
      </c>
      <c r="T6" t="s">
        <v>478</v>
      </c>
      <c r="U6" t="s">
        <v>478</v>
      </c>
      <c r="V6" t="str">
        <f>IF(AND(ISNUMBER(L6),COUNTIF([1]Songs!$L:$L,L6)&gt;0),"YES","")</f>
        <v>YES</v>
      </c>
      <c r="W6" t="e">
        <f>IF(AND(ISNUMBER(L6),COUNTIF([2]Songs!$J:$J,L6)&gt;0),"YES","")</f>
        <v>#VALUE!</v>
      </c>
      <c r="X6" t="e">
        <f>IF(AND(ISNUMBER(L6),COUNTIF([3]CcliCombined!$D:$D,L6)&gt;0),"YES","")</f>
        <v>#VALUE!</v>
      </c>
      <c r="Y6" t="e">
        <f>IF(AND(ISNUMBER(L6),COUNTIF([4]Songs!$H:$H,L6)&gt;0),"YES","")</f>
        <v>#VALUE!</v>
      </c>
      <c r="Z6" t="s">
        <v>630</v>
      </c>
      <c r="AB6">
        <v>5</v>
      </c>
      <c r="AD6" t="str">
        <f t="shared" si="0"/>
        <v>D E</v>
      </c>
    </row>
    <row r="7" spans="1:32" x14ac:dyDescent="0.25">
      <c r="A7">
        <f>INDEX(Albums!$A:$A, MATCH(C7,Albums!$C:$C,0))</f>
        <v>1</v>
      </c>
      <c r="B7">
        <f>INDEX(Albums!$B:$B, MATCH(C7,Albums!$C:$C,0))</f>
        <v>2014</v>
      </c>
      <c r="C7" t="s">
        <v>985</v>
      </c>
      <c r="D7">
        <v>6</v>
      </c>
      <c r="E7" t="s">
        <v>37</v>
      </c>
      <c r="F7" t="s">
        <v>23</v>
      </c>
      <c r="G7" s="28" t="s">
        <v>937</v>
      </c>
      <c r="H7" s="3" t="s">
        <v>39</v>
      </c>
      <c r="I7" s="3" t="s">
        <v>39</v>
      </c>
      <c r="J7" s="4">
        <v>82</v>
      </c>
      <c r="K7" s="5" t="s">
        <v>371</v>
      </c>
      <c r="L7" s="10">
        <v>5665521</v>
      </c>
      <c r="M7" s="4">
        <v>2009</v>
      </c>
      <c r="N7" t="s">
        <v>938</v>
      </c>
      <c r="O7" t="s">
        <v>1199</v>
      </c>
      <c r="P7" s="23" t="s">
        <v>38</v>
      </c>
      <c r="Q7">
        <v>78</v>
      </c>
      <c r="R7" t="s">
        <v>39</v>
      </c>
      <c r="S7" t="s">
        <v>39</v>
      </c>
      <c r="T7" t="s">
        <v>478</v>
      </c>
      <c r="U7" t="s">
        <v>478</v>
      </c>
      <c r="V7" t="str">
        <f>IF(AND(ISNUMBER(L7),COUNTIF([1]Songs!$L:$L,L7)&gt;0),"YES","")</f>
        <v/>
      </c>
      <c r="W7" t="e">
        <f>IF(AND(ISNUMBER(L7),COUNTIF([2]Songs!$J:$J,L7)&gt;0),"YES","")</f>
        <v>#VALUE!</v>
      </c>
      <c r="X7" t="e">
        <f>IF(AND(ISNUMBER(L7),COUNTIF([3]CcliCombined!$D:$D,L7)&gt;0),"YES","")</f>
        <v>#VALUE!</v>
      </c>
      <c r="Y7" t="e">
        <f>IF(AND(ISNUMBER(L7),COUNTIF([4]Songs!$H:$H,L7)&gt;0),"YES","")</f>
        <v>#VALUE!</v>
      </c>
      <c r="Z7" t="s">
        <v>630</v>
      </c>
      <c r="AB7">
        <v>6</v>
      </c>
      <c r="AD7" t="str">
        <f t="shared" si="0"/>
        <v>D</v>
      </c>
    </row>
    <row r="8" spans="1:32" x14ac:dyDescent="0.25">
      <c r="A8">
        <f>INDEX(Albums!$A:$A, MATCH(C8,Albums!$C:$C,0))</f>
        <v>1</v>
      </c>
      <c r="B8">
        <f>INDEX(Albums!$B:$B, MATCH(C8,Albums!$C:$C,0))</f>
        <v>2014</v>
      </c>
      <c r="C8" t="s">
        <v>985</v>
      </c>
      <c r="D8">
        <v>7</v>
      </c>
      <c r="E8" t="s">
        <v>40</v>
      </c>
      <c r="F8" t="s">
        <v>41</v>
      </c>
      <c r="G8" s="28" t="s">
        <v>939</v>
      </c>
      <c r="H8" s="3" t="s">
        <v>39</v>
      </c>
      <c r="I8" s="3" t="s">
        <v>39</v>
      </c>
      <c r="J8" s="4">
        <v>68</v>
      </c>
      <c r="K8" s="5" t="s">
        <v>380</v>
      </c>
      <c r="L8" s="10">
        <v>7029505</v>
      </c>
      <c r="M8" s="4">
        <v>2013</v>
      </c>
      <c r="N8" t="s">
        <v>940</v>
      </c>
      <c r="O8" t="s">
        <v>1199</v>
      </c>
      <c r="P8" s="23" t="s">
        <v>1</v>
      </c>
      <c r="Q8">
        <v>68</v>
      </c>
      <c r="R8" t="s">
        <v>39</v>
      </c>
      <c r="S8" t="s">
        <v>39</v>
      </c>
      <c r="T8" t="s">
        <v>478</v>
      </c>
      <c r="U8" t="s">
        <v>478</v>
      </c>
      <c r="V8" t="str">
        <f>IF(AND(ISNUMBER(L8),COUNTIF([1]Songs!$L:$L,L8)&gt;0),"YES","")</f>
        <v/>
      </c>
      <c r="W8" t="e">
        <f>IF(AND(ISNUMBER(L8),COUNTIF([2]Songs!$J:$J,L8)&gt;0),"YES","")</f>
        <v>#VALUE!</v>
      </c>
      <c r="X8" t="e">
        <f>IF(AND(ISNUMBER(L8),COUNTIF([3]CcliCombined!$D:$D,L8)&gt;0),"YES","")</f>
        <v>#VALUE!</v>
      </c>
      <c r="Y8" t="e">
        <f>IF(AND(ISNUMBER(L8),COUNTIF([4]Songs!$H:$H,L8)&gt;0),"YES","")</f>
        <v>#VALUE!</v>
      </c>
      <c r="Z8" t="s">
        <v>630</v>
      </c>
      <c r="AB8">
        <v>7</v>
      </c>
      <c r="AD8" t="str">
        <f t="shared" si="0"/>
        <v>D</v>
      </c>
    </row>
    <row r="9" spans="1:32" x14ac:dyDescent="0.25">
      <c r="A9">
        <f>INDEX(Albums!$A:$A, MATCH(C9,Albums!$C:$C,0))</f>
        <v>1</v>
      </c>
      <c r="B9">
        <f>INDEX(Albums!$B:$B, MATCH(C9,Albums!$C:$C,0))</f>
        <v>2014</v>
      </c>
      <c r="C9" t="s">
        <v>985</v>
      </c>
      <c r="D9">
        <v>8</v>
      </c>
      <c r="E9" t="s">
        <v>42</v>
      </c>
      <c r="F9" t="s">
        <v>23</v>
      </c>
      <c r="G9" s="28" t="s">
        <v>382</v>
      </c>
      <c r="H9" s="3" t="s">
        <v>25</v>
      </c>
      <c r="I9" s="3" t="s">
        <v>25</v>
      </c>
      <c r="J9" s="4">
        <v>73</v>
      </c>
      <c r="K9" s="5" t="s">
        <v>371</v>
      </c>
      <c r="L9" s="10">
        <v>6016351</v>
      </c>
      <c r="M9" s="4">
        <v>2011</v>
      </c>
      <c r="N9" s="6" t="s">
        <v>383</v>
      </c>
      <c r="O9" t="s">
        <v>1199</v>
      </c>
      <c r="P9" s="23" t="s">
        <v>43</v>
      </c>
      <c r="Q9">
        <v>70</v>
      </c>
      <c r="R9" t="s">
        <v>25</v>
      </c>
      <c r="S9" t="s">
        <v>25</v>
      </c>
      <c r="T9" t="s">
        <v>478</v>
      </c>
      <c r="U9" t="s">
        <v>478</v>
      </c>
      <c r="V9" t="str">
        <f>IF(AND(ISNUMBER(L9),COUNTIF([1]Songs!$L:$L,L9)&gt;0),"YES","")</f>
        <v>YES</v>
      </c>
      <c r="W9" t="e">
        <f>IF(AND(ISNUMBER(L9),COUNTIF([2]Songs!$J:$J,L9)&gt;0),"YES","")</f>
        <v>#VALUE!</v>
      </c>
      <c r="X9" t="e">
        <f>IF(AND(ISNUMBER(L9),COUNTIF([3]CcliCombined!$D:$D,L9)&gt;0),"YES","")</f>
        <v>#VALUE!</v>
      </c>
      <c r="Y9" t="e">
        <f>IF(AND(ISNUMBER(L9),COUNTIF([4]Songs!$H:$H,L9)&gt;0),"YES","")</f>
        <v>#VALUE!</v>
      </c>
      <c r="Z9" t="s">
        <v>630</v>
      </c>
      <c r="AB9">
        <v>8</v>
      </c>
      <c r="AD9" t="str">
        <f t="shared" si="0"/>
        <v>G</v>
      </c>
    </row>
    <row r="10" spans="1:32" x14ac:dyDescent="0.25">
      <c r="A10">
        <f>INDEX(Albums!$A:$A, MATCH(C10,Albums!$C:$C,0))</f>
        <v>1</v>
      </c>
      <c r="B10">
        <f>INDEX(Albums!$B:$B, MATCH(C10,Albums!$C:$C,0))</f>
        <v>2014</v>
      </c>
      <c r="C10" t="s">
        <v>985</v>
      </c>
      <c r="D10">
        <v>9</v>
      </c>
      <c r="E10" t="s">
        <v>44</v>
      </c>
      <c r="F10" t="s">
        <v>45</v>
      </c>
      <c r="G10" s="28" t="s">
        <v>384</v>
      </c>
      <c r="H10" s="3" t="s">
        <v>47</v>
      </c>
      <c r="I10" s="3" t="s">
        <v>47</v>
      </c>
      <c r="J10" s="4">
        <v>75</v>
      </c>
      <c r="K10" s="5" t="s">
        <v>371</v>
      </c>
      <c r="L10" s="10">
        <v>6440288</v>
      </c>
      <c r="M10" s="4">
        <v>2012</v>
      </c>
      <c r="N10" s="6" t="s">
        <v>385</v>
      </c>
      <c r="O10" t="s">
        <v>1199</v>
      </c>
      <c r="P10" s="23" t="s">
        <v>46</v>
      </c>
      <c r="Q10">
        <v>74</v>
      </c>
      <c r="R10" t="s">
        <v>47</v>
      </c>
      <c r="S10" t="s">
        <v>47</v>
      </c>
      <c r="T10" t="s">
        <v>478</v>
      </c>
      <c r="U10" t="s">
        <v>478</v>
      </c>
      <c r="V10" t="str">
        <f>IF(AND(ISNUMBER(L10),COUNTIF([1]Songs!$L:$L,L10)&gt;0),"YES","")</f>
        <v>YES</v>
      </c>
      <c r="W10" t="e">
        <f>IF(AND(ISNUMBER(L10),COUNTIF([2]Songs!$J:$J,L10)&gt;0),"YES","")</f>
        <v>#VALUE!</v>
      </c>
      <c r="X10" t="e">
        <f>IF(AND(ISNUMBER(L10),COUNTIF([3]CcliCombined!$D:$D,L10)&gt;0),"YES","")</f>
        <v>#VALUE!</v>
      </c>
      <c r="Y10" t="e">
        <f>IF(AND(ISNUMBER(L10),COUNTIF([4]Songs!$H:$H,L10)&gt;0),"YES","")</f>
        <v>#VALUE!</v>
      </c>
      <c r="Z10" t="s">
        <v>630</v>
      </c>
      <c r="AB10">
        <v>9</v>
      </c>
      <c r="AD10" t="str">
        <f t="shared" si="0"/>
        <v>C</v>
      </c>
    </row>
    <row r="11" spans="1:32" x14ac:dyDescent="0.25">
      <c r="A11">
        <f>INDEX(Albums!$A:$A, MATCH(C11,Albums!$C:$C,0))</f>
        <v>1</v>
      </c>
      <c r="B11">
        <f>INDEX(Albums!$B:$B, MATCH(C11,Albums!$C:$C,0))</f>
        <v>2014</v>
      </c>
      <c r="C11" t="s">
        <v>985</v>
      </c>
      <c r="D11">
        <v>10</v>
      </c>
      <c r="E11" t="s">
        <v>48</v>
      </c>
      <c r="F11" t="s">
        <v>23</v>
      </c>
      <c r="G11" s="28" t="s">
        <v>942</v>
      </c>
      <c r="H11" s="3" t="s">
        <v>47</v>
      </c>
      <c r="I11" s="3" t="s">
        <v>47</v>
      </c>
      <c r="J11" s="4">
        <v>152</v>
      </c>
      <c r="K11" s="5" t="s">
        <v>371</v>
      </c>
      <c r="L11" s="10">
        <v>4847027</v>
      </c>
      <c r="M11" s="4">
        <v>2006</v>
      </c>
      <c r="N11" s="6" t="s">
        <v>381</v>
      </c>
      <c r="O11" t="s">
        <v>1199</v>
      </c>
      <c r="P11" s="23" t="s">
        <v>49</v>
      </c>
      <c r="Q11">
        <v>132</v>
      </c>
      <c r="R11" t="s">
        <v>47</v>
      </c>
      <c r="S11" t="s">
        <v>47</v>
      </c>
      <c r="T11" t="s">
        <v>478</v>
      </c>
      <c r="U11" t="s">
        <v>478</v>
      </c>
      <c r="V11" t="str">
        <f>IF(AND(ISNUMBER(L11),COUNTIF([1]Songs!$L:$L,L11)&gt;0),"YES","")</f>
        <v/>
      </c>
      <c r="W11" t="e">
        <f>IF(AND(ISNUMBER(L11),COUNTIF([2]Songs!$J:$J,L11)&gt;0),"YES","")</f>
        <v>#VALUE!</v>
      </c>
      <c r="X11" t="e">
        <f>IF(AND(ISNUMBER(L11),COUNTIF([3]CcliCombined!$D:$D,L11)&gt;0),"YES","")</f>
        <v>#VALUE!</v>
      </c>
      <c r="Y11" t="e">
        <f>IF(AND(ISNUMBER(L11),COUNTIF([4]Songs!$H:$H,L11)&gt;0),"YES","")</f>
        <v>#VALUE!</v>
      </c>
      <c r="Z11" t="s">
        <v>630</v>
      </c>
      <c r="AB11">
        <v>10</v>
      </c>
      <c r="AD11" t="str">
        <f t="shared" si="0"/>
        <v>C</v>
      </c>
    </row>
    <row r="12" spans="1:32" hidden="1" x14ac:dyDescent="0.25">
      <c r="A12">
        <f>INDEX(Albums!$A:$A, MATCH(C12,Albums!$C:$C,0))</f>
        <v>1</v>
      </c>
      <c r="B12">
        <f>INDEX(Albums!$B:$B, MATCH(C12,Albums!$C:$C,0))</f>
        <v>2014</v>
      </c>
      <c r="C12" t="s">
        <v>986</v>
      </c>
      <c r="D12">
        <v>1</v>
      </c>
      <c r="E12" t="s">
        <v>50</v>
      </c>
      <c r="F12" t="s">
        <v>23</v>
      </c>
      <c r="L12" s="10" t="s">
        <v>327</v>
      </c>
      <c r="N12" t="s">
        <v>844</v>
      </c>
      <c r="P12" s="23" t="s">
        <v>51</v>
      </c>
      <c r="Q12">
        <v>112</v>
      </c>
      <c r="R12" t="s">
        <v>52</v>
      </c>
      <c r="S12" t="s">
        <v>52</v>
      </c>
      <c r="T12" t="s">
        <v>327</v>
      </c>
      <c r="V12" t="str">
        <f>IF(AND(ISNUMBER(L12),COUNTIF([1]Songs!$L:$L,L12)&gt;0),"YES","")</f>
        <v/>
      </c>
      <c r="W12" t="e">
        <f>IF(AND(ISNUMBER(L12),COUNTIF([2]Songs!$J:$J,L12)&gt;0),"YES","")</f>
        <v>#VALUE!</v>
      </c>
      <c r="X12" t="e">
        <f>IF(AND(ISNUMBER(L12),COUNTIF([3]CcliCombined!$D:$D,L12)&gt;0),"YES","")</f>
        <v>#VALUE!</v>
      </c>
      <c r="Y12" t="e">
        <f>IF(AND(ISNUMBER(L12),COUNTIF([4]Songs!$H:$H,L12)&gt;0),"YES","")</f>
        <v>#VALUE!</v>
      </c>
      <c r="Z12" t="s">
        <v>630</v>
      </c>
      <c r="AB12">
        <v>11</v>
      </c>
      <c r="AC12" t="s">
        <v>1129</v>
      </c>
      <c r="AD12" t="str">
        <f t="shared" si="0"/>
        <v xml:space="preserve"> A</v>
      </c>
      <c r="AF12" t="s">
        <v>1197</v>
      </c>
    </row>
    <row r="13" spans="1:32" x14ac:dyDescent="0.25">
      <c r="A13">
        <f>INDEX(Albums!$A:$A, MATCH(C13,Albums!$C:$C,0))</f>
        <v>1</v>
      </c>
      <c r="B13">
        <f>INDEX(Albums!$B:$B, MATCH(C13,Albums!$C:$C,0))</f>
        <v>2014</v>
      </c>
      <c r="C13" t="s">
        <v>986</v>
      </c>
      <c r="D13">
        <v>2</v>
      </c>
      <c r="E13" t="s">
        <v>53</v>
      </c>
      <c r="F13" t="s">
        <v>54</v>
      </c>
      <c r="G13" s="28" t="s">
        <v>386</v>
      </c>
      <c r="H13" s="3" t="s">
        <v>25</v>
      </c>
      <c r="I13" s="3" t="s">
        <v>25</v>
      </c>
      <c r="J13" s="4">
        <v>114</v>
      </c>
      <c r="K13" s="5" t="s">
        <v>371</v>
      </c>
      <c r="L13" s="10">
        <v>4662491</v>
      </c>
      <c r="M13" s="4">
        <v>2006</v>
      </c>
      <c r="N13" s="6" t="s">
        <v>381</v>
      </c>
      <c r="O13" t="s">
        <v>1199</v>
      </c>
      <c r="P13" s="23" t="s">
        <v>55</v>
      </c>
      <c r="Q13">
        <v>106</v>
      </c>
      <c r="R13" t="s">
        <v>52</v>
      </c>
      <c r="S13" t="s">
        <v>52</v>
      </c>
      <c r="T13" t="s">
        <v>478</v>
      </c>
      <c r="U13" t="s">
        <v>478</v>
      </c>
      <c r="V13" t="str">
        <f>IF(AND(ISNUMBER(L13),COUNTIF([1]Songs!$L:$L,L13)&gt;0),"YES","")</f>
        <v>YES</v>
      </c>
      <c r="W13" t="e">
        <f>IF(AND(ISNUMBER(L13),COUNTIF([2]Songs!$J:$J,L13)&gt;0),"YES","")</f>
        <v>#VALUE!</v>
      </c>
      <c r="X13" t="e">
        <f>IF(AND(ISNUMBER(L13),COUNTIF([3]CcliCombined!$D:$D,L13)&gt;0),"YES","")</f>
        <v>#VALUE!</v>
      </c>
      <c r="Y13" t="e">
        <f>IF(AND(ISNUMBER(L13),COUNTIF([4]Songs!$H:$H,L13)&gt;0),"YES","")</f>
        <v>#VALUE!</v>
      </c>
      <c r="Z13" t="s">
        <v>630</v>
      </c>
      <c r="AB13">
        <v>12</v>
      </c>
      <c r="AD13" t="str">
        <f t="shared" si="0"/>
        <v>G A</v>
      </c>
    </row>
    <row r="14" spans="1:32" x14ac:dyDescent="0.25">
      <c r="A14">
        <f>INDEX(Albums!$A:$A, MATCH(C14,Albums!$C:$C,0))</f>
        <v>1</v>
      </c>
      <c r="B14">
        <f>INDEX(Albums!$B:$B, MATCH(C14,Albums!$C:$C,0))</f>
        <v>2014</v>
      </c>
      <c r="C14" t="s">
        <v>986</v>
      </c>
      <c r="D14">
        <v>3</v>
      </c>
      <c r="E14" t="s">
        <v>56</v>
      </c>
      <c r="F14" t="s">
        <v>23</v>
      </c>
      <c r="G14" s="28" t="s">
        <v>941</v>
      </c>
      <c r="H14" s="3" t="s">
        <v>47</v>
      </c>
      <c r="I14" s="3" t="s">
        <v>47</v>
      </c>
      <c r="J14" s="4">
        <v>83</v>
      </c>
      <c r="K14" s="5" t="s">
        <v>371</v>
      </c>
      <c r="L14" s="10">
        <v>5639997</v>
      </c>
      <c r="M14" s="4">
        <v>2009</v>
      </c>
      <c r="N14" s="6" t="s">
        <v>372</v>
      </c>
      <c r="O14" t="s">
        <v>1199</v>
      </c>
      <c r="P14" s="23" t="s">
        <v>24</v>
      </c>
      <c r="Q14">
        <v>83</v>
      </c>
      <c r="R14" t="s">
        <v>47</v>
      </c>
      <c r="S14" t="s">
        <v>47</v>
      </c>
      <c r="T14" t="s">
        <v>478</v>
      </c>
      <c r="U14" t="s">
        <v>478</v>
      </c>
      <c r="V14" t="str">
        <f>IF(AND(ISNUMBER(L14),COUNTIF([1]Songs!$L:$L,L14)&gt;0),"YES","")</f>
        <v/>
      </c>
      <c r="W14" t="e">
        <f>IF(AND(ISNUMBER(L14),COUNTIF([2]Songs!$J:$J,L14)&gt;0),"YES","")</f>
        <v>#VALUE!</v>
      </c>
      <c r="X14" t="e">
        <f>IF(AND(ISNUMBER(L14),COUNTIF([3]CcliCombined!$D:$D,L14)&gt;0),"YES","")</f>
        <v>#VALUE!</v>
      </c>
      <c r="Y14" t="e">
        <f>IF(AND(ISNUMBER(L14),COUNTIF([4]Songs!$H:$H,L14)&gt;0),"YES","")</f>
        <v>#VALUE!</v>
      </c>
      <c r="Z14" t="s">
        <v>630</v>
      </c>
      <c r="AB14">
        <v>13</v>
      </c>
      <c r="AD14" t="str">
        <f t="shared" si="0"/>
        <v>C</v>
      </c>
    </row>
    <row r="15" spans="1:32" x14ac:dyDescent="0.25">
      <c r="A15">
        <f>INDEX(Albums!$A:$A, MATCH(C15,Albums!$C:$C,0))</f>
        <v>1</v>
      </c>
      <c r="B15">
        <f>INDEX(Albums!$B:$B, MATCH(C15,Albums!$C:$C,0))</f>
        <v>2014</v>
      </c>
      <c r="C15" t="s">
        <v>986</v>
      </c>
      <c r="D15">
        <v>4</v>
      </c>
      <c r="E15" t="s">
        <v>57</v>
      </c>
      <c r="F15" t="s">
        <v>23</v>
      </c>
      <c r="G15" s="28" t="s">
        <v>387</v>
      </c>
      <c r="H15" s="3" t="s">
        <v>47</v>
      </c>
      <c r="I15" s="3" t="s">
        <v>47</v>
      </c>
      <c r="J15" s="4">
        <v>73</v>
      </c>
      <c r="K15" s="4" t="s">
        <v>371</v>
      </c>
      <c r="L15" s="10">
        <v>7000689</v>
      </c>
      <c r="M15" s="4">
        <v>2013</v>
      </c>
      <c r="N15" s="6" t="s">
        <v>383</v>
      </c>
      <c r="O15" t="s">
        <v>1199</v>
      </c>
      <c r="P15" s="23" t="s">
        <v>43</v>
      </c>
      <c r="Q15">
        <v>73</v>
      </c>
      <c r="R15" t="s">
        <v>47</v>
      </c>
      <c r="S15" t="s">
        <v>47</v>
      </c>
      <c r="T15" t="s">
        <v>478</v>
      </c>
      <c r="U15" t="s">
        <v>478</v>
      </c>
      <c r="V15" t="str">
        <f>IF(AND(ISNUMBER(L15),COUNTIF([1]Songs!$L:$L,L15)&gt;0),"YES","")</f>
        <v>YES</v>
      </c>
      <c r="W15" t="e">
        <f>IF(AND(ISNUMBER(L15),COUNTIF([2]Songs!$J:$J,L15)&gt;0),"YES","")</f>
        <v>#VALUE!</v>
      </c>
      <c r="X15" t="e">
        <f>IF(AND(ISNUMBER(L15),COUNTIF([3]CcliCombined!$D:$D,L15)&gt;0),"YES","")</f>
        <v>#VALUE!</v>
      </c>
      <c r="Y15" t="e">
        <f>IF(AND(ISNUMBER(L15),COUNTIF([4]Songs!$H:$H,L15)&gt;0),"YES","")</f>
        <v>#VALUE!</v>
      </c>
      <c r="Z15" t="s">
        <v>630</v>
      </c>
      <c r="AB15">
        <v>14</v>
      </c>
      <c r="AD15" t="str">
        <f t="shared" si="0"/>
        <v>C</v>
      </c>
    </row>
    <row r="16" spans="1:32" x14ac:dyDescent="0.25">
      <c r="A16">
        <f>INDEX(Albums!$A:$A, MATCH(C16,Albums!$C:$C,0))</f>
        <v>1</v>
      </c>
      <c r="B16">
        <f>INDEX(Albums!$B:$B, MATCH(C16,Albums!$C:$C,0))</f>
        <v>2014</v>
      </c>
      <c r="C16" t="s">
        <v>986</v>
      </c>
      <c r="D16">
        <v>5</v>
      </c>
      <c r="E16" t="s">
        <v>58</v>
      </c>
      <c r="F16" t="s">
        <v>23</v>
      </c>
      <c r="G16" s="28" t="s">
        <v>384</v>
      </c>
      <c r="H16" s="3" t="s">
        <v>47</v>
      </c>
      <c r="I16" s="3" t="s">
        <v>47</v>
      </c>
      <c r="J16" s="4">
        <v>76</v>
      </c>
      <c r="K16" s="4" t="s">
        <v>371</v>
      </c>
      <c r="L16" s="10">
        <v>4348399</v>
      </c>
      <c r="M16" s="4">
        <v>2004</v>
      </c>
      <c r="N16" s="4" t="s">
        <v>378</v>
      </c>
      <c r="O16" t="s">
        <v>1199</v>
      </c>
      <c r="P16" s="23" t="s">
        <v>46</v>
      </c>
      <c r="Q16">
        <v>84</v>
      </c>
      <c r="R16" t="s">
        <v>47</v>
      </c>
      <c r="S16" t="s">
        <v>47</v>
      </c>
      <c r="T16" t="s">
        <v>478</v>
      </c>
      <c r="U16" t="s">
        <v>478</v>
      </c>
      <c r="V16" t="str">
        <f>IF(AND(ISNUMBER(L16),COUNTIF([1]Songs!$L:$L,L16)&gt;0),"YES","")</f>
        <v>YES</v>
      </c>
      <c r="W16" t="e">
        <f>IF(AND(ISNUMBER(L16),COUNTIF([2]Songs!$J:$J,L16)&gt;0),"YES","")</f>
        <v>#VALUE!</v>
      </c>
      <c r="X16" t="e">
        <f>IF(AND(ISNUMBER(L16),COUNTIF([3]CcliCombined!$D:$D,L16)&gt;0),"YES","")</f>
        <v>#VALUE!</v>
      </c>
      <c r="Y16" t="e">
        <f>IF(AND(ISNUMBER(L16),COUNTIF([4]Songs!$H:$H,L16)&gt;0),"YES","")</f>
        <v>#VALUE!</v>
      </c>
      <c r="Z16" t="s">
        <v>630</v>
      </c>
      <c r="AB16">
        <v>15</v>
      </c>
      <c r="AD16" t="str">
        <f t="shared" si="0"/>
        <v>C</v>
      </c>
    </row>
    <row r="17" spans="1:32" x14ac:dyDescent="0.25">
      <c r="A17">
        <f>INDEX(Albums!$A:$A, MATCH(C17,Albums!$C:$C,0))</f>
        <v>1</v>
      </c>
      <c r="B17">
        <f>INDEX(Albums!$B:$B, MATCH(C17,Albums!$C:$C,0))</f>
        <v>2014</v>
      </c>
      <c r="C17" t="s">
        <v>986</v>
      </c>
      <c r="D17">
        <v>6</v>
      </c>
      <c r="E17" t="s">
        <v>59</v>
      </c>
      <c r="F17" t="s">
        <v>23</v>
      </c>
      <c r="G17" s="28" t="s">
        <v>60</v>
      </c>
      <c r="H17" s="3" t="s">
        <v>176</v>
      </c>
      <c r="I17" s="3" t="s">
        <v>176</v>
      </c>
      <c r="J17" s="4">
        <v>80</v>
      </c>
      <c r="K17" s="5" t="s">
        <v>371</v>
      </c>
      <c r="L17" s="10">
        <v>825356</v>
      </c>
      <c r="M17" s="4">
        <v>1991</v>
      </c>
      <c r="N17" s="6" t="s">
        <v>388</v>
      </c>
      <c r="O17" t="s">
        <v>1199</v>
      </c>
      <c r="P17" s="23" t="s">
        <v>60</v>
      </c>
      <c r="Q17">
        <v>128</v>
      </c>
      <c r="R17" t="s">
        <v>25</v>
      </c>
      <c r="S17" t="s">
        <v>25</v>
      </c>
      <c r="T17" t="s">
        <v>478</v>
      </c>
      <c r="U17" t="s">
        <v>478</v>
      </c>
      <c r="V17" t="str">
        <f>IF(AND(ISNUMBER(L17),COUNTIF([1]Songs!$L:$L,L17)&gt;0),"YES","")</f>
        <v>YES</v>
      </c>
      <c r="W17" t="e">
        <f>IF(AND(ISNUMBER(L17),COUNTIF([2]Songs!$J:$J,L17)&gt;0),"YES","")</f>
        <v>#VALUE!</v>
      </c>
      <c r="X17" t="e">
        <f>IF(AND(ISNUMBER(L17),COUNTIF([3]CcliCombined!$D:$D,L17)&gt;0),"YES","")</f>
        <v>#VALUE!</v>
      </c>
      <c r="Y17" t="e">
        <f>IF(AND(ISNUMBER(L17),COUNTIF([4]Songs!$H:$H,L17)&gt;0),"YES","")</f>
        <v>#VALUE!</v>
      </c>
      <c r="Z17" t="s">
        <v>630</v>
      </c>
      <c r="AB17">
        <v>16</v>
      </c>
      <c r="AD17" t="str">
        <f t="shared" si="0"/>
        <v>F G</v>
      </c>
    </row>
    <row r="18" spans="1:32" x14ac:dyDescent="0.25">
      <c r="A18">
        <f>INDEX(Albums!$A:$A, MATCH(C18,Albums!$C:$C,0))</f>
        <v>1</v>
      </c>
      <c r="B18">
        <f>INDEX(Albums!$B:$B, MATCH(C18,Albums!$C:$C,0))</f>
        <v>2014</v>
      </c>
      <c r="C18" t="s">
        <v>986</v>
      </c>
      <c r="D18">
        <v>7</v>
      </c>
      <c r="E18" t="s">
        <v>61</v>
      </c>
      <c r="F18" t="s">
        <v>23</v>
      </c>
      <c r="G18" s="28" t="s">
        <v>62</v>
      </c>
      <c r="I18" t="s">
        <v>176</v>
      </c>
      <c r="J18">
        <v>70</v>
      </c>
      <c r="K18" s="11" t="s">
        <v>371</v>
      </c>
      <c r="L18" s="10">
        <v>17803</v>
      </c>
      <c r="M18" s="4">
        <v>1977</v>
      </c>
      <c r="N18" t="s">
        <v>1128</v>
      </c>
      <c r="O18" t="s">
        <v>1199</v>
      </c>
      <c r="P18" s="23" t="s">
        <v>62</v>
      </c>
      <c r="Q18">
        <v>68</v>
      </c>
      <c r="R18" t="s">
        <v>25</v>
      </c>
      <c r="S18" t="s">
        <v>25</v>
      </c>
      <c r="T18" t="s">
        <v>327</v>
      </c>
      <c r="U18" t="s">
        <v>478</v>
      </c>
      <c r="V18" t="str">
        <f>IF(AND(ISNUMBER(L18),COUNTIF([1]Songs!$L:$L,L18)&gt;0),"YES","")</f>
        <v/>
      </c>
      <c r="W18" t="e">
        <f>IF(AND(ISNUMBER(L18),COUNTIF([2]Songs!$J:$J,L18)&gt;0),"YES","")</f>
        <v>#VALUE!</v>
      </c>
      <c r="X18" t="e">
        <f>IF(AND(ISNUMBER(L18),COUNTIF([3]CcliCombined!$D:$D,L18)&gt;0),"YES","")</f>
        <v>#VALUE!</v>
      </c>
      <c r="Y18" t="e">
        <f>IF(AND(ISNUMBER(L18),COUNTIF([4]Songs!$H:$H,L18)&gt;0),"YES","")</f>
        <v>#VALUE!</v>
      </c>
      <c r="Z18" t="s">
        <v>630</v>
      </c>
      <c r="AB18">
        <v>17</v>
      </c>
      <c r="AD18" t="str">
        <f t="shared" si="0"/>
        <v>F  G</v>
      </c>
    </row>
    <row r="19" spans="1:32" x14ac:dyDescent="0.25">
      <c r="A19">
        <f>INDEX(Albums!$A:$A, MATCH(C19,Albums!$C:$C,0))</f>
        <v>1</v>
      </c>
      <c r="B19">
        <f>INDEX(Albums!$B:$B, MATCH(C19,Albums!$C:$C,0))</f>
        <v>2014</v>
      </c>
      <c r="C19" t="s">
        <v>986</v>
      </c>
      <c r="D19">
        <v>8</v>
      </c>
      <c r="E19" t="s">
        <v>63</v>
      </c>
      <c r="F19" t="s">
        <v>23</v>
      </c>
      <c r="G19" s="28" t="s">
        <v>389</v>
      </c>
      <c r="H19" s="3" t="s">
        <v>31</v>
      </c>
      <c r="I19" s="3" t="s">
        <v>31</v>
      </c>
      <c r="J19" s="4">
        <v>105</v>
      </c>
      <c r="K19" s="5" t="s">
        <v>371</v>
      </c>
      <c r="L19" s="10">
        <v>5677416</v>
      </c>
      <c r="M19" s="4">
        <v>2010</v>
      </c>
      <c r="N19" s="6" t="s">
        <v>383</v>
      </c>
      <c r="O19" t="s">
        <v>1199</v>
      </c>
      <c r="P19" s="23" t="s">
        <v>46</v>
      </c>
      <c r="Q19">
        <v>106</v>
      </c>
      <c r="R19" t="s">
        <v>31</v>
      </c>
      <c r="S19" t="s">
        <v>31</v>
      </c>
      <c r="T19" t="s">
        <v>478</v>
      </c>
      <c r="U19" t="s">
        <v>478</v>
      </c>
      <c r="V19" t="str">
        <f>IF(AND(ISNUMBER(L19),COUNTIF([1]Songs!$L:$L,L19)&gt;0),"YES","")</f>
        <v>YES</v>
      </c>
      <c r="W19" t="e">
        <f>IF(AND(ISNUMBER(L19),COUNTIF([2]Songs!$J:$J,L19)&gt;0),"YES","")</f>
        <v>#VALUE!</v>
      </c>
      <c r="X19" t="e">
        <f>IF(AND(ISNUMBER(L19),COUNTIF([3]CcliCombined!$D:$D,L19)&gt;0),"YES","")</f>
        <v>#VALUE!</v>
      </c>
      <c r="Y19" t="e">
        <f>IF(AND(ISNUMBER(L19),COUNTIF([4]Songs!$H:$H,L19)&gt;0),"YES","")</f>
        <v>#VALUE!</v>
      </c>
      <c r="Z19" t="s">
        <v>630</v>
      </c>
      <c r="AB19">
        <v>18</v>
      </c>
      <c r="AD19" t="str">
        <f t="shared" si="0"/>
        <v>B</v>
      </c>
    </row>
    <row r="20" spans="1:32" x14ac:dyDescent="0.25">
      <c r="A20">
        <f>INDEX(Albums!$A:$A, MATCH(C20,Albums!$C:$C,0))</f>
        <v>1</v>
      </c>
      <c r="B20">
        <f>INDEX(Albums!$B:$B, MATCH(C20,Albums!$C:$C,0))</f>
        <v>2014</v>
      </c>
      <c r="C20" t="s">
        <v>986</v>
      </c>
      <c r="D20">
        <v>9</v>
      </c>
      <c r="E20" t="s">
        <v>64</v>
      </c>
      <c r="F20" t="s">
        <v>23</v>
      </c>
      <c r="G20" s="28" t="s">
        <v>55</v>
      </c>
      <c r="H20" s="3" t="s">
        <v>36</v>
      </c>
      <c r="I20" s="3" t="s">
        <v>36</v>
      </c>
      <c r="J20" s="4">
        <v>112</v>
      </c>
      <c r="K20" s="5" t="s">
        <v>371</v>
      </c>
      <c r="L20" s="10">
        <v>2298355</v>
      </c>
      <c r="M20" s="4">
        <v>1997</v>
      </c>
      <c r="N20" s="4" t="s">
        <v>390</v>
      </c>
      <c r="O20" t="s">
        <v>1199</v>
      </c>
      <c r="P20" s="23" t="s">
        <v>55</v>
      </c>
      <c r="Q20">
        <v>110</v>
      </c>
      <c r="R20" t="s">
        <v>31</v>
      </c>
      <c r="S20" t="s">
        <v>31</v>
      </c>
      <c r="T20" t="s">
        <v>478</v>
      </c>
      <c r="U20" t="s">
        <v>478</v>
      </c>
      <c r="V20" t="str">
        <f>IF(AND(ISNUMBER(L20),COUNTIF([1]Songs!$L:$L,L20)&gt;0),"YES","")</f>
        <v>YES</v>
      </c>
      <c r="W20" t="e">
        <f>IF(AND(ISNUMBER(L20),COUNTIF([2]Songs!$J:$J,L20)&gt;0),"YES","")</f>
        <v>#VALUE!</v>
      </c>
      <c r="X20" t="e">
        <f>IF(AND(ISNUMBER(L20),COUNTIF([3]CcliCombined!$D:$D,L20)&gt;0),"YES","")</f>
        <v>#VALUE!</v>
      </c>
      <c r="Y20" t="e">
        <f>IF(AND(ISNUMBER(L20),COUNTIF([4]Songs!$H:$H,L20)&gt;0),"YES","")</f>
        <v>#VALUE!</v>
      </c>
      <c r="Z20" t="s">
        <v>630</v>
      </c>
      <c r="AB20">
        <v>19</v>
      </c>
      <c r="AD20" t="str">
        <f t="shared" si="0"/>
        <v>E B</v>
      </c>
    </row>
    <row r="21" spans="1:32" x14ac:dyDescent="0.25">
      <c r="A21">
        <f>INDEX(Albums!$A:$A, MATCH(C21,Albums!$C:$C,0))</f>
        <v>1</v>
      </c>
      <c r="B21">
        <f>INDEX(Albums!$B:$B, MATCH(C21,Albums!$C:$C,0))</f>
        <v>2014</v>
      </c>
      <c r="C21" t="s">
        <v>986</v>
      </c>
      <c r="D21">
        <v>10</v>
      </c>
      <c r="E21" t="s">
        <v>65</v>
      </c>
      <c r="F21" t="s">
        <v>23</v>
      </c>
      <c r="G21" s="28" t="s">
        <v>43</v>
      </c>
      <c r="H21" s="3" t="s">
        <v>36</v>
      </c>
      <c r="I21" s="3" t="s">
        <v>36</v>
      </c>
      <c r="J21" s="4">
        <v>77</v>
      </c>
      <c r="K21" s="4" t="s">
        <v>371</v>
      </c>
      <c r="L21" s="10">
        <v>1097451</v>
      </c>
      <c r="M21" s="4">
        <v>1995</v>
      </c>
      <c r="N21" s="6" t="s">
        <v>381</v>
      </c>
      <c r="O21" t="s">
        <v>1199</v>
      </c>
      <c r="P21" s="23" t="s">
        <v>43</v>
      </c>
      <c r="Q21">
        <v>79</v>
      </c>
      <c r="R21" t="s">
        <v>36</v>
      </c>
      <c r="S21" t="s">
        <v>36</v>
      </c>
      <c r="T21" t="s">
        <v>478</v>
      </c>
      <c r="U21" t="s">
        <v>478</v>
      </c>
      <c r="V21" t="str">
        <f>IF(AND(ISNUMBER(L21),COUNTIF([1]Songs!$L:$L,L21)&gt;0),"YES","")</f>
        <v>YES</v>
      </c>
      <c r="W21" t="e">
        <f>IF(AND(ISNUMBER(L21),COUNTIF([2]Songs!$J:$J,L21)&gt;0),"YES","")</f>
        <v>#VALUE!</v>
      </c>
      <c r="X21" t="e">
        <f>IF(AND(ISNUMBER(L21),COUNTIF([3]CcliCombined!$D:$D,L21)&gt;0),"YES","")</f>
        <v>#VALUE!</v>
      </c>
      <c r="Y21" t="e">
        <f>IF(AND(ISNUMBER(L21),COUNTIF([4]Songs!$H:$H,L21)&gt;0),"YES","")</f>
        <v>#VALUE!</v>
      </c>
      <c r="Z21" t="s">
        <v>630</v>
      </c>
      <c r="AB21">
        <v>20</v>
      </c>
      <c r="AD21" t="str">
        <f t="shared" si="0"/>
        <v>E</v>
      </c>
    </row>
    <row r="22" spans="1:32" hidden="1" x14ac:dyDescent="0.25">
      <c r="A22">
        <f>INDEX(Albums!$A:$A, MATCH(C22,Albums!$C:$C,0))</f>
        <v>1</v>
      </c>
      <c r="B22">
        <f>INDEX(Albums!$B:$B, MATCH(C22,Albums!$C:$C,0))</f>
        <v>2014</v>
      </c>
      <c r="C22" t="s">
        <v>987</v>
      </c>
      <c r="D22">
        <v>1</v>
      </c>
      <c r="E22" t="s">
        <v>66</v>
      </c>
      <c r="F22" t="s">
        <v>23</v>
      </c>
      <c r="G22" s="28" t="s">
        <v>1126</v>
      </c>
      <c r="L22" s="10">
        <v>7031125</v>
      </c>
      <c r="M22" s="4">
        <v>2014</v>
      </c>
      <c r="N22" t="s">
        <v>1127</v>
      </c>
      <c r="P22" s="23" t="s">
        <v>1</v>
      </c>
      <c r="Q22">
        <v>124</v>
      </c>
      <c r="R22" t="s">
        <v>67</v>
      </c>
      <c r="S22" t="s">
        <v>25</v>
      </c>
      <c r="T22" t="s">
        <v>327</v>
      </c>
      <c r="V22" t="str">
        <f>IF(AND(ISNUMBER(L22),COUNTIF([1]Songs!$L:$L,L22)&gt;0),"YES","")</f>
        <v/>
      </c>
      <c r="W22" t="e">
        <f>IF(AND(ISNUMBER(L22),COUNTIF([2]Songs!$J:$J,L22)&gt;0),"YES","")</f>
        <v>#VALUE!</v>
      </c>
      <c r="X22" t="e">
        <f>IF(AND(ISNUMBER(L22),COUNTIF([3]CcliCombined!$D:$D,L22)&gt;0),"YES","")</f>
        <v>#VALUE!</v>
      </c>
      <c r="Y22" t="e">
        <f>IF(AND(ISNUMBER(L22),COUNTIF([4]Songs!$H:$H,L22)&gt;0),"YES","")</f>
        <v>#VALUE!</v>
      </c>
      <c r="Z22" t="s">
        <v>630</v>
      </c>
      <c r="AB22">
        <v>21</v>
      </c>
      <c r="AC22" t="s">
        <v>1032</v>
      </c>
      <c r="AD22" t="str">
        <f t="shared" si="0"/>
        <v xml:space="preserve"> Ab G</v>
      </c>
      <c r="AF22" t="s">
        <v>1197</v>
      </c>
    </row>
    <row r="23" spans="1:32" x14ac:dyDescent="0.25">
      <c r="A23">
        <f>INDEX(Albums!$A:$A, MATCH(C23,Albums!$C:$C,0))</f>
        <v>1</v>
      </c>
      <c r="B23">
        <f>INDEX(Albums!$B:$B, MATCH(C23,Albums!$C:$C,0))</f>
        <v>2014</v>
      </c>
      <c r="C23" t="s">
        <v>987</v>
      </c>
      <c r="D23">
        <v>2</v>
      </c>
      <c r="E23" t="s">
        <v>68</v>
      </c>
      <c r="F23" t="s">
        <v>23</v>
      </c>
      <c r="G23" s="28" t="s">
        <v>1125</v>
      </c>
      <c r="H23" s="3" t="s">
        <v>52</v>
      </c>
      <c r="I23" s="3" t="s">
        <v>28</v>
      </c>
      <c r="J23" s="4">
        <v>96</v>
      </c>
      <c r="K23" s="4" t="s">
        <v>371</v>
      </c>
      <c r="L23" s="10">
        <v>5806878</v>
      </c>
      <c r="M23" s="4">
        <v>2010</v>
      </c>
      <c r="N23" s="4" t="s">
        <v>392</v>
      </c>
      <c r="O23" t="s">
        <v>1199</v>
      </c>
      <c r="P23" s="23" t="s">
        <v>46</v>
      </c>
      <c r="Q23">
        <v>96</v>
      </c>
      <c r="R23" t="s">
        <v>25</v>
      </c>
      <c r="S23" t="s">
        <v>25</v>
      </c>
      <c r="T23" t="s">
        <v>478</v>
      </c>
      <c r="U23" t="s">
        <v>478</v>
      </c>
      <c r="V23" t="str">
        <f>IF(AND(ISNUMBER(L23),COUNTIF([1]Songs!$L:$L,L23)&gt;0),"YES","")</f>
        <v>YES</v>
      </c>
      <c r="W23" t="e">
        <f>IF(AND(ISNUMBER(L23),COUNTIF([2]Songs!$J:$J,L23)&gt;0),"YES","")</f>
        <v>#VALUE!</v>
      </c>
      <c r="X23" t="e">
        <f>IF(AND(ISNUMBER(L23),COUNTIF([3]CcliCombined!$D:$D,L23)&gt;0),"YES","")</f>
        <v>#VALUE!</v>
      </c>
      <c r="Y23" t="e">
        <f>IF(AND(ISNUMBER(L23),COUNTIF([4]Songs!$H:$H,L23)&gt;0),"YES","")</f>
        <v>#VALUE!</v>
      </c>
      <c r="Z23" t="s">
        <v>630</v>
      </c>
      <c r="AB23">
        <v>22</v>
      </c>
      <c r="AD23" t="str">
        <f t="shared" si="0"/>
        <v>Bb A G</v>
      </c>
    </row>
    <row r="24" spans="1:32" hidden="1" x14ac:dyDescent="0.25">
      <c r="A24">
        <f>INDEX(Albums!$A:$A, MATCH(C24,Albums!$C:$C,0))</f>
        <v>1</v>
      </c>
      <c r="B24">
        <f>INDEX(Albums!$B:$B, MATCH(C24,Albums!$C:$C,0))</f>
        <v>2014</v>
      </c>
      <c r="C24" t="s">
        <v>987</v>
      </c>
      <c r="D24">
        <v>3</v>
      </c>
      <c r="E24" t="s">
        <v>69</v>
      </c>
      <c r="F24" t="s">
        <v>23</v>
      </c>
      <c r="G24" s="28" t="s">
        <v>1104</v>
      </c>
      <c r="L24" s="10">
        <v>6186872</v>
      </c>
      <c r="M24" s="4">
        <v>2011</v>
      </c>
      <c r="N24" t="s">
        <v>956</v>
      </c>
      <c r="P24" s="23" t="s">
        <v>70</v>
      </c>
      <c r="Q24">
        <v>111</v>
      </c>
      <c r="R24" t="s">
        <v>25</v>
      </c>
      <c r="S24" t="s">
        <v>25</v>
      </c>
      <c r="T24" t="s">
        <v>327</v>
      </c>
      <c r="V24" t="str">
        <f>IF(AND(ISNUMBER(L24),COUNTIF([1]Songs!$L:$L,L24)&gt;0),"YES","")</f>
        <v/>
      </c>
      <c r="W24" t="e">
        <f>IF(AND(ISNUMBER(L24),COUNTIF([2]Songs!$J:$J,L24)&gt;0),"YES","")</f>
        <v>#VALUE!</v>
      </c>
      <c r="X24" t="e">
        <f>IF(AND(ISNUMBER(L24),COUNTIF([3]CcliCombined!$D:$D,L24)&gt;0),"YES","")</f>
        <v>#VALUE!</v>
      </c>
      <c r="Y24" t="e">
        <f>IF(AND(ISNUMBER(L24),COUNTIF([4]Songs!$H:$H,L24)&gt;0),"YES","")</f>
        <v>#VALUE!</v>
      </c>
      <c r="Z24" t="s">
        <v>630</v>
      </c>
      <c r="AA24" t="s">
        <v>1196</v>
      </c>
      <c r="AB24">
        <v>23</v>
      </c>
      <c r="AC24" t="s">
        <v>1032</v>
      </c>
      <c r="AD24" t="str">
        <f t="shared" si="0"/>
        <v xml:space="preserve"> G</v>
      </c>
      <c r="AF24" t="s">
        <v>1197</v>
      </c>
    </row>
    <row r="25" spans="1:32" x14ac:dyDescent="0.25">
      <c r="A25">
        <f>INDEX(Albums!$A:$A, MATCH(C25,Albums!$C:$C,0))</f>
        <v>1</v>
      </c>
      <c r="B25">
        <f>INDEX(Albums!$B:$B, MATCH(C25,Albums!$C:$C,0))</f>
        <v>2014</v>
      </c>
      <c r="C25" t="s">
        <v>987</v>
      </c>
      <c r="D25">
        <v>4</v>
      </c>
      <c r="E25" t="s">
        <v>71</v>
      </c>
      <c r="F25" t="s">
        <v>23</v>
      </c>
      <c r="G25" s="28" t="s">
        <v>72</v>
      </c>
      <c r="H25" s="3" t="s">
        <v>39</v>
      </c>
      <c r="I25" s="3" t="s">
        <v>39</v>
      </c>
      <c r="J25" s="4">
        <v>54</v>
      </c>
      <c r="K25" s="5" t="s">
        <v>371</v>
      </c>
      <c r="L25" s="10">
        <v>14514</v>
      </c>
      <c r="M25" s="4">
        <v>1980</v>
      </c>
      <c r="N25" s="4" t="s">
        <v>653</v>
      </c>
      <c r="O25" t="s">
        <v>1199</v>
      </c>
      <c r="P25" s="23" t="s">
        <v>72</v>
      </c>
      <c r="Q25">
        <v>56</v>
      </c>
      <c r="R25" t="s">
        <v>25</v>
      </c>
      <c r="S25" t="s">
        <v>25</v>
      </c>
      <c r="T25" t="s">
        <v>478</v>
      </c>
      <c r="U25" t="s">
        <v>478</v>
      </c>
      <c r="V25" t="str">
        <f>IF(AND(ISNUMBER(L25),COUNTIF([1]Songs!$L:$L,L25)&gt;0),"YES","")</f>
        <v/>
      </c>
      <c r="W25" t="e">
        <f>IF(AND(ISNUMBER(L25),COUNTIF([2]Songs!$J:$J,L25)&gt;0),"YES","")</f>
        <v>#VALUE!</v>
      </c>
      <c r="X25" t="e">
        <f>IF(AND(ISNUMBER(L25),COUNTIF([3]CcliCombined!$D:$D,L25)&gt;0),"YES","")</f>
        <v>#VALUE!</v>
      </c>
      <c r="Y25" t="e">
        <f>IF(AND(ISNUMBER(L25),COUNTIF([4]Songs!$H:$H,L25)&gt;0),"YES","")</f>
        <v>#VALUE!</v>
      </c>
      <c r="Z25" t="s">
        <v>630</v>
      </c>
      <c r="AB25">
        <v>24</v>
      </c>
      <c r="AD25" t="str">
        <f t="shared" si="0"/>
        <v>D G</v>
      </c>
    </row>
    <row r="26" spans="1:32" x14ac:dyDescent="0.25">
      <c r="A26">
        <f>INDEX(Albums!$A:$A, MATCH(C26,Albums!$C:$C,0))</f>
        <v>1</v>
      </c>
      <c r="B26">
        <f>INDEX(Albums!$B:$B, MATCH(C26,Albums!$C:$C,0))</f>
        <v>2014</v>
      </c>
      <c r="C26" t="s">
        <v>987</v>
      </c>
      <c r="D26">
        <v>5</v>
      </c>
      <c r="E26" t="s">
        <v>73</v>
      </c>
      <c r="F26" t="s">
        <v>23</v>
      </c>
      <c r="G26" s="28" t="s">
        <v>74</v>
      </c>
      <c r="H26" s="3" t="s">
        <v>47</v>
      </c>
      <c r="I26" s="3" t="s">
        <v>47</v>
      </c>
      <c r="J26" s="4">
        <v>49</v>
      </c>
      <c r="K26" s="5" t="s">
        <v>425</v>
      </c>
      <c r="L26" s="10">
        <v>5032549</v>
      </c>
      <c r="M26" s="4">
        <v>2005</v>
      </c>
      <c r="N26" s="6" t="s">
        <v>390</v>
      </c>
      <c r="O26" t="s">
        <v>1199</v>
      </c>
      <c r="P26" s="23" t="s">
        <v>74</v>
      </c>
      <c r="Q26">
        <v>72.5</v>
      </c>
      <c r="R26" t="s">
        <v>47</v>
      </c>
      <c r="S26" t="s">
        <v>47</v>
      </c>
      <c r="T26" t="s">
        <v>478</v>
      </c>
      <c r="U26" t="s">
        <v>478</v>
      </c>
      <c r="V26" t="str">
        <f>IF(AND(ISNUMBER(L26),COUNTIF([1]Songs!$L:$L,L26)&gt;0),"YES","")</f>
        <v/>
      </c>
      <c r="W26" t="e">
        <f>IF(AND(ISNUMBER(L26),COUNTIF([2]Songs!$J:$J,L26)&gt;0),"YES","")</f>
        <v>#VALUE!</v>
      </c>
      <c r="X26" t="e">
        <f>IF(AND(ISNUMBER(L26),COUNTIF([3]CcliCombined!$D:$D,L26)&gt;0),"YES","")</f>
        <v>#VALUE!</v>
      </c>
      <c r="Y26" t="e">
        <f>IF(AND(ISNUMBER(L26),COUNTIF([4]Songs!$H:$H,L26)&gt;0),"YES","")</f>
        <v>#VALUE!</v>
      </c>
      <c r="Z26" t="s">
        <v>630</v>
      </c>
      <c r="AB26">
        <v>25</v>
      </c>
      <c r="AD26" t="str">
        <f t="shared" si="0"/>
        <v>C</v>
      </c>
    </row>
    <row r="27" spans="1:32" x14ac:dyDescent="0.25">
      <c r="A27">
        <f>INDEX(Albums!$A:$A, MATCH(C27,Albums!$C:$C,0))</f>
        <v>1</v>
      </c>
      <c r="B27">
        <f>INDEX(Albums!$B:$B, MATCH(C27,Albums!$C:$C,0))</f>
        <v>2014</v>
      </c>
      <c r="C27" t="s">
        <v>987</v>
      </c>
      <c r="D27">
        <v>6</v>
      </c>
      <c r="E27" t="s">
        <v>75</v>
      </c>
      <c r="F27" t="s">
        <v>23</v>
      </c>
      <c r="G27" s="28" t="s">
        <v>949</v>
      </c>
      <c r="H27" s="3" t="s">
        <v>31</v>
      </c>
      <c r="I27" s="3" t="s">
        <v>31</v>
      </c>
      <c r="J27" s="4">
        <v>68</v>
      </c>
      <c r="K27" s="5" t="s">
        <v>371</v>
      </c>
      <c r="L27" s="10">
        <v>5997055</v>
      </c>
      <c r="M27" s="4">
        <v>2011</v>
      </c>
      <c r="N27" t="s">
        <v>848</v>
      </c>
      <c r="O27" t="s">
        <v>1199</v>
      </c>
      <c r="P27" s="23" t="s">
        <v>43</v>
      </c>
      <c r="Q27">
        <v>70</v>
      </c>
      <c r="R27" t="s">
        <v>47</v>
      </c>
      <c r="S27" t="s">
        <v>47</v>
      </c>
      <c r="T27" t="s">
        <v>478</v>
      </c>
      <c r="U27" t="s">
        <v>478</v>
      </c>
      <c r="V27" t="str">
        <f>IF(AND(ISNUMBER(L27),COUNTIF([1]Songs!$L:$L,L27)&gt;0),"YES","")</f>
        <v/>
      </c>
      <c r="W27" t="e">
        <f>IF(AND(ISNUMBER(L27),COUNTIF([2]Songs!$J:$J,L27)&gt;0),"YES","")</f>
        <v>#VALUE!</v>
      </c>
      <c r="X27" t="e">
        <f>IF(AND(ISNUMBER(L27),COUNTIF([3]CcliCombined!$D:$D,L27)&gt;0),"YES","")</f>
        <v>#VALUE!</v>
      </c>
      <c r="Y27" t="e">
        <f>IF(AND(ISNUMBER(L27),COUNTIF([4]Songs!$H:$H,L27)&gt;0),"YES","")</f>
        <v>#VALUE!</v>
      </c>
      <c r="Z27" t="s">
        <v>630</v>
      </c>
      <c r="AB27">
        <v>26</v>
      </c>
      <c r="AD27" t="str">
        <f t="shared" si="0"/>
        <v>B C</v>
      </c>
    </row>
    <row r="28" spans="1:32" x14ac:dyDescent="0.25">
      <c r="A28">
        <f>INDEX(Albums!$A:$A, MATCH(C28,Albums!$C:$C,0))</f>
        <v>1</v>
      </c>
      <c r="B28">
        <f>INDEX(Albums!$B:$B, MATCH(C28,Albums!$C:$C,0))</f>
        <v>2014</v>
      </c>
      <c r="C28" t="s">
        <v>987</v>
      </c>
      <c r="D28">
        <v>7</v>
      </c>
      <c r="E28" t="s">
        <v>76</v>
      </c>
      <c r="F28" t="s">
        <v>23</v>
      </c>
      <c r="G28" s="28" t="s">
        <v>393</v>
      </c>
      <c r="H28" s="3" t="s">
        <v>52</v>
      </c>
      <c r="I28" s="3" t="s">
        <v>52</v>
      </c>
      <c r="J28" s="4">
        <v>76</v>
      </c>
      <c r="K28" s="5" t="s">
        <v>371</v>
      </c>
      <c r="L28" s="10">
        <v>1406918</v>
      </c>
      <c r="M28" s="4">
        <v>1993</v>
      </c>
      <c r="N28" s="6" t="s">
        <v>394</v>
      </c>
      <c r="O28" t="s">
        <v>1199</v>
      </c>
      <c r="P28" s="23" t="s">
        <v>24</v>
      </c>
      <c r="Q28">
        <v>80</v>
      </c>
      <c r="R28" t="s">
        <v>31</v>
      </c>
      <c r="S28" t="s">
        <v>31</v>
      </c>
      <c r="T28" t="s">
        <v>478</v>
      </c>
      <c r="U28" t="s">
        <v>478</v>
      </c>
      <c r="V28" t="str">
        <f>IF(AND(ISNUMBER(L28),COUNTIF([1]Songs!$L:$L,L28)&gt;0),"YES","")</f>
        <v>YES</v>
      </c>
      <c r="W28" t="e">
        <f>IF(AND(ISNUMBER(L28),COUNTIF([2]Songs!$J:$J,L28)&gt;0),"YES","")</f>
        <v>#VALUE!</v>
      </c>
      <c r="X28" t="e">
        <f>IF(AND(ISNUMBER(L28),COUNTIF([3]CcliCombined!$D:$D,L28)&gt;0),"YES","")</f>
        <v>#VALUE!</v>
      </c>
      <c r="Y28" t="e">
        <f>IF(AND(ISNUMBER(L28),COUNTIF([4]Songs!$H:$H,L28)&gt;0),"YES","")</f>
        <v>#VALUE!</v>
      </c>
      <c r="Z28" t="s">
        <v>630</v>
      </c>
      <c r="AB28">
        <v>27</v>
      </c>
      <c r="AD28" t="str">
        <f t="shared" si="0"/>
        <v>A B</v>
      </c>
    </row>
    <row r="29" spans="1:32" x14ac:dyDescent="0.25">
      <c r="A29">
        <f>INDEX(Albums!$A:$A, MATCH(C29,Albums!$C:$C,0))</f>
        <v>1</v>
      </c>
      <c r="B29">
        <f>INDEX(Albums!$B:$B, MATCH(C29,Albums!$C:$C,0))</f>
        <v>2014</v>
      </c>
      <c r="C29" t="s">
        <v>987</v>
      </c>
      <c r="D29">
        <v>8</v>
      </c>
      <c r="E29" t="s">
        <v>77</v>
      </c>
      <c r="F29" t="s">
        <v>23</v>
      </c>
      <c r="G29" s="28" t="s">
        <v>395</v>
      </c>
      <c r="H29" s="3" t="s">
        <v>39</v>
      </c>
      <c r="I29" s="3" t="s">
        <v>39</v>
      </c>
      <c r="J29" s="4">
        <v>76</v>
      </c>
      <c r="K29" s="4" t="s">
        <v>380</v>
      </c>
      <c r="L29" s="10">
        <v>2306412</v>
      </c>
      <c r="M29" s="4">
        <v>1997</v>
      </c>
      <c r="N29" s="4" t="s">
        <v>396</v>
      </c>
      <c r="O29" t="s">
        <v>1199</v>
      </c>
      <c r="P29" s="23" t="s">
        <v>70</v>
      </c>
      <c r="Q29">
        <v>68</v>
      </c>
      <c r="R29" t="s">
        <v>78</v>
      </c>
      <c r="S29" t="s">
        <v>39</v>
      </c>
      <c r="T29" t="s">
        <v>478</v>
      </c>
      <c r="U29" t="s">
        <v>478</v>
      </c>
      <c r="V29" t="str">
        <f>IF(AND(ISNUMBER(L29),COUNTIF([1]Songs!$L:$L,L29)&gt;0),"YES","")</f>
        <v>YES</v>
      </c>
      <c r="W29" t="e">
        <f>IF(AND(ISNUMBER(L29),COUNTIF([2]Songs!$J:$J,L29)&gt;0),"YES","")</f>
        <v>#VALUE!</v>
      </c>
      <c r="X29" t="e">
        <f>IF(AND(ISNUMBER(L29),COUNTIF([3]CcliCombined!$D:$D,L29)&gt;0),"YES","")</f>
        <v>#VALUE!</v>
      </c>
      <c r="Y29" t="e">
        <f>IF(AND(ISNUMBER(L29),COUNTIF([4]Songs!$H:$H,L29)&gt;0),"YES","")</f>
        <v>#VALUE!</v>
      </c>
      <c r="Z29" t="s">
        <v>630</v>
      </c>
      <c r="AB29">
        <v>28</v>
      </c>
      <c r="AD29" t="str">
        <f t="shared" si="0"/>
        <v>D Eb D</v>
      </c>
    </row>
    <row r="30" spans="1:32" x14ac:dyDescent="0.25">
      <c r="A30">
        <f>INDEX(Albums!$A:$A, MATCH(C30,Albums!$C:$C,0))</f>
        <v>1</v>
      </c>
      <c r="B30">
        <f>INDEX(Albums!$B:$B, MATCH(C30,Albums!$C:$C,0))</f>
        <v>2014</v>
      </c>
      <c r="C30" t="s">
        <v>987</v>
      </c>
      <c r="D30">
        <v>9</v>
      </c>
      <c r="E30" t="s">
        <v>79</v>
      </c>
      <c r="F30" t="s">
        <v>23</v>
      </c>
      <c r="G30" s="28" t="s">
        <v>49</v>
      </c>
      <c r="H30" s="3" t="s">
        <v>39</v>
      </c>
      <c r="I30" s="3" t="s">
        <v>39</v>
      </c>
      <c r="J30" s="4">
        <v>122</v>
      </c>
      <c r="K30" s="5" t="s">
        <v>371</v>
      </c>
      <c r="L30" s="10">
        <v>3915912</v>
      </c>
      <c r="M30" s="4">
        <v>2002</v>
      </c>
      <c r="N30" s="4" t="s">
        <v>381</v>
      </c>
      <c r="O30" t="s">
        <v>1199</v>
      </c>
      <c r="P30" s="23" t="s">
        <v>49</v>
      </c>
      <c r="Q30">
        <v>120</v>
      </c>
      <c r="R30" t="s">
        <v>78</v>
      </c>
      <c r="S30" t="s">
        <v>39</v>
      </c>
      <c r="T30" t="s">
        <v>478</v>
      </c>
      <c r="U30" t="s">
        <v>478</v>
      </c>
      <c r="V30" t="str">
        <f>IF(AND(ISNUMBER(L30),COUNTIF([1]Songs!$L:$L,L30)&gt;0),"YES","")</f>
        <v>YES</v>
      </c>
      <c r="W30" t="e">
        <f>IF(AND(ISNUMBER(L30),COUNTIF([2]Songs!$J:$J,L30)&gt;0),"YES","")</f>
        <v>#VALUE!</v>
      </c>
      <c r="X30" t="e">
        <f>IF(AND(ISNUMBER(L30),COUNTIF([3]CcliCombined!$D:$D,L30)&gt;0),"YES","")</f>
        <v>#VALUE!</v>
      </c>
      <c r="Y30" t="e">
        <f>IF(AND(ISNUMBER(L30),COUNTIF([4]Songs!$H:$H,L30)&gt;0),"YES","")</f>
        <v>#VALUE!</v>
      </c>
      <c r="Z30" t="s">
        <v>630</v>
      </c>
      <c r="AB30">
        <v>29</v>
      </c>
      <c r="AD30" t="str">
        <f t="shared" si="0"/>
        <v>D Eb D</v>
      </c>
    </row>
    <row r="31" spans="1:32" x14ac:dyDescent="0.25">
      <c r="A31">
        <f>INDEX(Albums!$A:$A, MATCH(C31,Albums!$C:$C,0))</f>
        <v>1</v>
      </c>
      <c r="B31">
        <f>INDEX(Albums!$B:$B, MATCH(C31,Albums!$C:$C,0))</f>
        <v>2014</v>
      </c>
      <c r="C31" t="s">
        <v>987</v>
      </c>
      <c r="D31">
        <v>10</v>
      </c>
      <c r="E31" t="s">
        <v>80</v>
      </c>
      <c r="F31" t="s">
        <v>23</v>
      </c>
      <c r="G31" s="28" t="s">
        <v>397</v>
      </c>
      <c r="H31" s="3" t="s">
        <v>31</v>
      </c>
      <c r="I31" s="3" t="s">
        <v>31</v>
      </c>
      <c r="J31" s="4">
        <v>116</v>
      </c>
      <c r="K31" s="4" t="s">
        <v>371</v>
      </c>
      <c r="L31" s="10">
        <v>3798438</v>
      </c>
      <c r="M31" s="4">
        <v>2002</v>
      </c>
      <c r="N31" s="6" t="s">
        <v>381</v>
      </c>
      <c r="O31" t="s">
        <v>1199</v>
      </c>
      <c r="P31" s="23" t="s">
        <v>43</v>
      </c>
      <c r="Q31">
        <v>114</v>
      </c>
      <c r="R31" t="s">
        <v>31</v>
      </c>
      <c r="S31" t="s">
        <v>31</v>
      </c>
      <c r="T31" t="s">
        <v>478</v>
      </c>
      <c r="U31" t="s">
        <v>478</v>
      </c>
      <c r="V31" t="str">
        <f>IF(AND(ISNUMBER(L31),COUNTIF([1]Songs!$L:$L,L31)&gt;0),"YES","")</f>
        <v>YES</v>
      </c>
      <c r="W31" t="e">
        <f>IF(AND(ISNUMBER(L31),COUNTIF([2]Songs!$J:$J,L31)&gt;0),"YES","")</f>
        <v>#VALUE!</v>
      </c>
      <c r="X31" t="e">
        <f>IF(AND(ISNUMBER(L31),COUNTIF([3]CcliCombined!$D:$D,L31)&gt;0),"YES","")</f>
        <v>#VALUE!</v>
      </c>
      <c r="Y31" t="e">
        <f>IF(AND(ISNUMBER(L31),COUNTIF([4]Songs!$H:$H,L31)&gt;0),"YES","")</f>
        <v>#VALUE!</v>
      </c>
      <c r="Z31" t="s">
        <v>630</v>
      </c>
      <c r="AB31">
        <v>30</v>
      </c>
      <c r="AD31" t="str">
        <f t="shared" si="0"/>
        <v>B</v>
      </c>
    </row>
    <row r="32" spans="1:32" x14ac:dyDescent="0.25">
      <c r="A32">
        <f>INDEX(Albums!$A:$A, MATCH(C32,Albums!$C:$C,0))</f>
        <v>1</v>
      </c>
      <c r="B32">
        <f>INDEX(Albums!$B:$B, MATCH(C32,Albums!$C:$C,0))</f>
        <v>2014</v>
      </c>
      <c r="C32" t="s">
        <v>988</v>
      </c>
      <c r="D32">
        <v>1</v>
      </c>
      <c r="E32" t="s">
        <v>81</v>
      </c>
      <c r="F32" t="s">
        <v>82</v>
      </c>
      <c r="G32" s="28" t="s">
        <v>944</v>
      </c>
      <c r="H32" s="3" t="s">
        <v>25</v>
      </c>
      <c r="I32" s="3" t="s">
        <v>67</v>
      </c>
      <c r="J32" s="4">
        <v>68</v>
      </c>
      <c r="K32" s="5" t="s">
        <v>371</v>
      </c>
      <c r="L32" s="10">
        <v>4674207</v>
      </c>
      <c r="M32" s="4">
        <v>2006</v>
      </c>
      <c r="N32" s="6" t="s">
        <v>378</v>
      </c>
      <c r="O32" t="s">
        <v>1199</v>
      </c>
      <c r="P32" s="23" t="s">
        <v>46</v>
      </c>
      <c r="Q32">
        <v>104</v>
      </c>
      <c r="R32" t="s">
        <v>52</v>
      </c>
      <c r="S32" t="s">
        <v>52</v>
      </c>
      <c r="T32" t="s">
        <v>478</v>
      </c>
      <c r="U32" t="s">
        <v>478</v>
      </c>
      <c r="V32" t="str">
        <f>IF(AND(ISNUMBER(L32),COUNTIF([1]Songs!$L:$L,L32)&gt;0),"YES","")</f>
        <v/>
      </c>
      <c r="W32" t="e">
        <f>IF(AND(ISNUMBER(L32),COUNTIF([2]Songs!$J:$J,L32)&gt;0),"YES","")</f>
        <v>#VALUE!</v>
      </c>
      <c r="X32" t="e">
        <f>IF(AND(ISNUMBER(L32),COUNTIF([3]CcliCombined!$D:$D,L32)&gt;0),"YES","")</f>
        <v>#VALUE!</v>
      </c>
      <c r="Y32" t="e">
        <f>IF(AND(ISNUMBER(L32),COUNTIF([4]Songs!$H:$H,L32)&gt;0),"YES","")</f>
        <v>#VALUE!</v>
      </c>
      <c r="Z32" t="s">
        <v>630</v>
      </c>
      <c r="AB32">
        <v>31</v>
      </c>
      <c r="AD32" t="str">
        <f t="shared" si="0"/>
        <v>Ab G A</v>
      </c>
      <c r="AE32">
        <v>7029507</v>
      </c>
    </row>
    <row r="33" spans="1:31" x14ac:dyDescent="0.25">
      <c r="A33">
        <f>INDEX(Albums!$A:$A, MATCH(C33,Albums!$C:$C,0))</f>
        <v>1</v>
      </c>
      <c r="B33">
        <f>INDEX(Albums!$B:$B, MATCH(C33,Albums!$C:$C,0))</f>
        <v>2014</v>
      </c>
      <c r="C33" t="s">
        <v>988</v>
      </c>
      <c r="D33">
        <v>2</v>
      </c>
      <c r="E33" t="s">
        <v>83</v>
      </c>
      <c r="F33" t="s">
        <v>23</v>
      </c>
      <c r="G33" s="28" t="s">
        <v>951</v>
      </c>
      <c r="H33" s="3" t="s">
        <v>84</v>
      </c>
      <c r="I33" s="3" t="s">
        <v>176</v>
      </c>
      <c r="J33" s="4">
        <v>121</v>
      </c>
      <c r="K33" s="5" t="s">
        <v>371</v>
      </c>
      <c r="L33" s="10">
        <v>5636866</v>
      </c>
      <c r="M33" s="4">
        <v>2009</v>
      </c>
      <c r="N33" s="4" t="s">
        <v>372</v>
      </c>
      <c r="O33" t="s">
        <v>1199</v>
      </c>
      <c r="P33" s="23" t="s">
        <v>24</v>
      </c>
      <c r="Q33">
        <v>118</v>
      </c>
      <c r="R33" t="s">
        <v>84</v>
      </c>
      <c r="S33" t="s">
        <v>176</v>
      </c>
      <c r="T33" t="s">
        <v>478</v>
      </c>
      <c r="U33" t="s">
        <v>478</v>
      </c>
      <c r="V33" t="str">
        <f>IF(AND(ISNUMBER(L33),COUNTIF([1]Songs!$L:$L,L33)&gt;0),"YES","")</f>
        <v/>
      </c>
      <c r="W33" t="e">
        <f>IF(AND(ISNUMBER(L33),COUNTIF([2]Songs!$J:$J,L33)&gt;0),"YES","")</f>
        <v>#VALUE!</v>
      </c>
      <c r="X33" t="e">
        <f>IF(AND(ISNUMBER(L33),COUNTIF([3]CcliCombined!$D:$D,L33)&gt;0),"YES","")</f>
        <v>#VALUE!</v>
      </c>
      <c r="Y33" t="e">
        <f>IF(AND(ISNUMBER(L33),COUNTIF([4]Songs!$H:$H,L33)&gt;0),"YES","")</f>
        <v>#VALUE!</v>
      </c>
      <c r="Z33" t="s">
        <v>630</v>
      </c>
      <c r="AB33">
        <v>32</v>
      </c>
      <c r="AD33" t="str">
        <f t="shared" si="0"/>
        <v>F F# F</v>
      </c>
    </row>
    <row r="34" spans="1:31" x14ac:dyDescent="0.25">
      <c r="A34">
        <f>INDEX(Albums!$A:$A, MATCH(C34,Albums!$C:$C,0))</f>
        <v>1</v>
      </c>
      <c r="B34">
        <f>INDEX(Albums!$B:$B, MATCH(C34,Albums!$C:$C,0))</f>
        <v>2014</v>
      </c>
      <c r="C34" t="s">
        <v>988</v>
      </c>
      <c r="D34">
        <v>3</v>
      </c>
      <c r="E34" t="s">
        <v>85</v>
      </c>
      <c r="F34" t="s">
        <v>23</v>
      </c>
      <c r="G34" s="28" t="s">
        <v>724</v>
      </c>
      <c r="H34" s="3" t="s">
        <v>52</v>
      </c>
      <c r="I34" s="3" t="s">
        <v>52</v>
      </c>
      <c r="J34" s="4">
        <v>84</v>
      </c>
      <c r="K34" s="5" t="s">
        <v>371</v>
      </c>
      <c r="L34" s="10">
        <v>4158039</v>
      </c>
      <c r="M34" s="4">
        <v>2003</v>
      </c>
      <c r="N34" s="6" t="s">
        <v>378</v>
      </c>
      <c r="O34" t="s">
        <v>1199</v>
      </c>
      <c r="P34" s="23" t="s">
        <v>46</v>
      </c>
      <c r="Q34">
        <v>77</v>
      </c>
      <c r="R34" t="s">
        <v>25</v>
      </c>
      <c r="S34" t="s">
        <v>25</v>
      </c>
      <c r="T34" t="s">
        <v>478</v>
      </c>
      <c r="U34" t="s">
        <v>478</v>
      </c>
      <c r="V34" t="str">
        <f>IF(AND(ISNUMBER(L34),COUNTIF([1]Songs!$L:$L,L34)&gt;0),"YES","")</f>
        <v/>
      </c>
      <c r="W34" t="e">
        <f>IF(AND(ISNUMBER(L34),COUNTIF([2]Songs!$J:$J,L34)&gt;0),"YES","")</f>
        <v>#VALUE!</v>
      </c>
      <c r="X34" t="e">
        <f>IF(AND(ISNUMBER(L34),COUNTIF([3]CcliCombined!$D:$D,L34)&gt;0),"YES","")</f>
        <v>#VALUE!</v>
      </c>
      <c r="Y34" t="e">
        <f>IF(AND(ISNUMBER(L34),COUNTIF([4]Songs!$H:$H,L34)&gt;0),"YES","")</f>
        <v>#VALUE!</v>
      </c>
      <c r="Z34" t="s">
        <v>630</v>
      </c>
      <c r="AB34">
        <v>33</v>
      </c>
      <c r="AD34" t="str">
        <f t="shared" ref="AD34:AD65" si="1">I34
&amp;IF(H34=I34,""," "&amp;H34)
&amp;IF(OR(R34=I34,R34=H34),""," "&amp;R34)
&amp;IF(R34=S34,""," "&amp;S34)</f>
        <v>A G</v>
      </c>
    </row>
    <row r="35" spans="1:31" x14ac:dyDescent="0.25">
      <c r="A35">
        <f>INDEX(Albums!$A:$A, MATCH(C35,Albums!$C:$C,0))</f>
        <v>1</v>
      </c>
      <c r="B35">
        <f>INDEX(Albums!$B:$B, MATCH(C35,Albums!$C:$C,0))</f>
        <v>2014</v>
      </c>
      <c r="C35" t="s">
        <v>988</v>
      </c>
      <c r="D35">
        <v>4</v>
      </c>
      <c r="E35" t="s">
        <v>86</v>
      </c>
      <c r="F35" t="s">
        <v>23</v>
      </c>
      <c r="G35" s="28" t="s">
        <v>847</v>
      </c>
      <c r="H35" s="3" t="s">
        <v>25</v>
      </c>
      <c r="I35" s="3" t="s">
        <v>67</v>
      </c>
      <c r="J35" s="4">
        <v>85</v>
      </c>
      <c r="K35" s="5" t="s">
        <v>371</v>
      </c>
      <c r="L35" s="9">
        <v>5925649</v>
      </c>
      <c r="M35" s="4">
        <v>2011</v>
      </c>
      <c r="N35" s="6" t="s">
        <v>848</v>
      </c>
      <c r="O35" t="s">
        <v>1199</v>
      </c>
      <c r="P35" s="23" t="s">
        <v>43</v>
      </c>
      <c r="Q35">
        <v>86</v>
      </c>
      <c r="R35" t="s">
        <v>47</v>
      </c>
      <c r="S35" t="s">
        <v>47</v>
      </c>
      <c r="T35" t="s">
        <v>478</v>
      </c>
      <c r="U35" t="s">
        <v>478</v>
      </c>
      <c r="V35" t="str">
        <f>IF(AND(ISNUMBER(L35),COUNTIF([1]Songs!$L:$L,L35)&gt;0),"YES","")</f>
        <v>YES</v>
      </c>
      <c r="W35" t="e">
        <f>IF(AND(ISNUMBER(L35),COUNTIF([2]Songs!$J:$J,L35)&gt;0),"YES","")</f>
        <v>#VALUE!</v>
      </c>
      <c r="X35" t="e">
        <f>IF(AND(ISNUMBER(L35),COUNTIF([3]CcliCombined!$D:$D,L35)&gt;0),"YES","")</f>
        <v>#VALUE!</v>
      </c>
      <c r="Y35" t="e">
        <f>IF(AND(ISNUMBER(L35),COUNTIF([4]Songs!$H:$H,L35)&gt;0),"YES","")</f>
        <v>#VALUE!</v>
      </c>
      <c r="Z35" t="s">
        <v>630</v>
      </c>
      <c r="AB35">
        <v>34</v>
      </c>
      <c r="AD35" t="str">
        <f t="shared" si="1"/>
        <v>Ab G C</v>
      </c>
    </row>
    <row r="36" spans="1:31" x14ac:dyDescent="0.25">
      <c r="A36">
        <f>INDEX(Albums!$A:$A, MATCH(C36,Albums!$C:$C,0))</f>
        <v>1</v>
      </c>
      <c r="B36">
        <f>INDEX(Albums!$B:$B, MATCH(C36,Albums!$C:$C,0))</f>
        <v>2014</v>
      </c>
      <c r="C36" t="s">
        <v>988</v>
      </c>
      <c r="D36">
        <v>5</v>
      </c>
      <c r="E36" t="s">
        <v>87</v>
      </c>
      <c r="F36" t="s">
        <v>23</v>
      </c>
      <c r="G36" s="28" t="s">
        <v>442</v>
      </c>
      <c r="H36" t="s">
        <v>31</v>
      </c>
      <c r="I36" t="s">
        <v>31</v>
      </c>
      <c r="J36" s="4">
        <v>70</v>
      </c>
      <c r="K36" s="11" t="s">
        <v>371</v>
      </c>
      <c r="L36" s="10">
        <v>5881037</v>
      </c>
      <c r="M36" s="4">
        <v>2010</v>
      </c>
      <c r="N36" t="s">
        <v>378</v>
      </c>
      <c r="O36" t="s">
        <v>1199</v>
      </c>
      <c r="P36" s="23" t="s">
        <v>35</v>
      </c>
      <c r="Q36">
        <v>72</v>
      </c>
      <c r="R36" t="s">
        <v>47</v>
      </c>
      <c r="S36" t="s">
        <v>47</v>
      </c>
      <c r="T36" t="s">
        <v>478</v>
      </c>
      <c r="U36" t="s">
        <v>478</v>
      </c>
      <c r="V36" t="str">
        <f>IF(AND(ISNUMBER(L36),COUNTIF([1]Songs!$L:$L,L36)&gt;0),"YES","")</f>
        <v/>
      </c>
      <c r="W36" t="e">
        <f>IF(AND(ISNUMBER(L36),COUNTIF([2]Songs!$J:$J,L36)&gt;0),"YES","")</f>
        <v>#VALUE!</v>
      </c>
      <c r="X36" t="e">
        <f>IF(AND(ISNUMBER(L36),COUNTIF([3]CcliCombined!$D:$D,L36)&gt;0),"YES","")</f>
        <v>#VALUE!</v>
      </c>
      <c r="Y36" t="e">
        <f>IF(AND(ISNUMBER(L36),COUNTIF([4]Songs!$H:$H,L36)&gt;0),"YES","")</f>
        <v>#VALUE!</v>
      </c>
      <c r="Z36" t="s">
        <v>630</v>
      </c>
      <c r="AB36">
        <v>35</v>
      </c>
      <c r="AD36" t="str">
        <f t="shared" si="1"/>
        <v>B C</v>
      </c>
    </row>
    <row r="37" spans="1:31" x14ac:dyDescent="0.25">
      <c r="A37">
        <f>INDEX(Albums!$A:$A, MATCH(C37,Albums!$C:$C,0))</f>
        <v>1</v>
      </c>
      <c r="B37">
        <f>INDEX(Albums!$B:$B, MATCH(C37,Albums!$C:$C,0))</f>
        <v>2014</v>
      </c>
      <c r="C37" t="s">
        <v>988</v>
      </c>
      <c r="D37">
        <v>6</v>
      </c>
      <c r="E37" t="s">
        <v>88</v>
      </c>
      <c r="F37" t="s">
        <v>23</v>
      </c>
      <c r="G37" s="28" t="s">
        <v>49</v>
      </c>
      <c r="H37" s="3" t="s">
        <v>36</v>
      </c>
      <c r="I37" s="3" t="s">
        <v>36</v>
      </c>
      <c r="J37" s="4">
        <v>75</v>
      </c>
      <c r="K37" s="4" t="s">
        <v>371</v>
      </c>
      <c r="L37" s="10">
        <v>3266032</v>
      </c>
      <c r="M37" s="4">
        <v>2000</v>
      </c>
      <c r="N37" s="6" t="s">
        <v>381</v>
      </c>
      <c r="O37" t="s">
        <v>1199</v>
      </c>
      <c r="P37" s="23" t="s">
        <v>49</v>
      </c>
      <c r="Q37">
        <v>69</v>
      </c>
      <c r="R37" t="s">
        <v>47</v>
      </c>
      <c r="S37" t="s">
        <v>47</v>
      </c>
      <c r="T37" t="s">
        <v>478</v>
      </c>
      <c r="U37" t="s">
        <v>478</v>
      </c>
      <c r="V37" t="str">
        <f>IF(AND(ISNUMBER(L37),COUNTIF([1]Songs!$L:$L,L37)&gt;0),"YES","")</f>
        <v>YES</v>
      </c>
      <c r="W37" t="e">
        <f>IF(AND(ISNUMBER(L37),COUNTIF([2]Songs!$J:$J,L37)&gt;0),"YES","")</f>
        <v>#VALUE!</v>
      </c>
      <c r="X37" t="e">
        <f>IF(AND(ISNUMBER(L37),COUNTIF([3]CcliCombined!$D:$D,L37)&gt;0),"YES","")</f>
        <v>#VALUE!</v>
      </c>
      <c r="Y37" t="e">
        <f>IF(AND(ISNUMBER(L37),COUNTIF([4]Songs!$H:$H,L37)&gt;0),"YES","")</f>
        <v>#VALUE!</v>
      </c>
      <c r="Z37" t="s">
        <v>630</v>
      </c>
      <c r="AB37">
        <v>36</v>
      </c>
      <c r="AD37" t="str">
        <f t="shared" si="1"/>
        <v>E C</v>
      </c>
    </row>
    <row r="38" spans="1:31" x14ac:dyDescent="0.25">
      <c r="A38">
        <f>INDEX(Albums!$A:$A, MATCH(C38,Albums!$C:$C,0))</f>
        <v>1</v>
      </c>
      <c r="B38">
        <f>INDEX(Albums!$B:$B, MATCH(C38,Albums!$C:$C,0))</f>
        <v>2014</v>
      </c>
      <c r="C38" t="s">
        <v>988</v>
      </c>
      <c r="D38">
        <v>7</v>
      </c>
      <c r="E38" t="s">
        <v>89</v>
      </c>
      <c r="F38" t="s">
        <v>23</v>
      </c>
      <c r="G38" s="28" t="s">
        <v>957</v>
      </c>
      <c r="H38" s="3" t="s">
        <v>47</v>
      </c>
      <c r="I38" s="3" t="s">
        <v>47</v>
      </c>
      <c r="J38" s="4">
        <v>56</v>
      </c>
      <c r="K38" s="5" t="s">
        <v>371</v>
      </c>
      <c r="L38" s="10">
        <v>5627772</v>
      </c>
      <c r="M38" s="4">
        <v>2009</v>
      </c>
      <c r="N38" t="s">
        <v>956</v>
      </c>
      <c r="O38" t="s">
        <v>1199</v>
      </c>
      <c r="P38" s="23" t="s">
        <v>70</v>
      </c>
      <c r="Q38">
        <v>58</v>
      </c>
      <c r="R38" t="s">
        <v>47</v>
      </c>
      <c r="S38" t="s">
        <v>47</v>
      </c>
      <c r="T38" t="s">
        <v>479</v>
      </c>
      <c r="U38" t="s">
        <v>478</v>
      </c>
      <c r="V38" t="str">
        <f>IF(AND(ISNUMBER(L38),COUNTIF([1]Songs!$L:$L,L38)&gt;0),"YES","")</f>
        <v/>
      </c>
      <c r="W38" t="e">
        <f>IF(AND(ISNUMBER(L38),COUNTIF([2]Songs!$J:$J,L38)&gt;0),"YES","")</f>
        <v>#VALUE!</v>
      </c>
      <c r="X38" t="e">
        <f>IF(AND(ISNUMBER(L38),COUNTIF([3]CcliCombined!$D:$D,L38)&gt;0),"YES","")</f>
        <v>#VALUE!</v>
      </c>
      <c r="Y38" t="e">
        <f>IF(AND(ISNUMBER(L38),COUNTIF([4]Songs!$H:$H,L38)&gt;0),"YES","")</f>
        <v>#VALUE!</v>
      </c>
      <c r="Z38" t="s">
        <v>630</v>
      </c>
      <c r="AA38" t="s">
        <v>1196</v>
      </c>
      <c r="AB38">
        <v>37</v>
      </c>
      <c r="AD38" t="str">
        <f t="shared" si="1"/>
        <v>C</v>
      </c>
    </row>
    <row r="39" spans="1:31" x14ac:dyDescent="0.25">
      <c r="A39">
        <f>INDEX(Albums!$A:$A, MATCH(C39,Albums!$C:$C,0))</f>
        <v>1</v>
      </c>
      <c r="B39">
        <f>INDEX(Albums!$B:$B, MATCH(C39,Albums!$C:$C,0))</f>
        <v>2014</v>
      </c>
      <c r="C39" t="s">
        <v>988</v>
      </c>
      <c r="D39">
        <v>8</v>
      </c>
      <c r="E39" t="s">
        <v>90</v>
      </c>
      <c r="F39" t="s">
        <v>23</v>
      </c>
      <c r="G39" s="28" t="s">
        <v>398</v>
      </c>
      <c r="H39" s="3" t="s">
        <v>31</v>
      </c>
      <c r="I39" s="3" t="s">
        <v>31</v>
      </c>
      <c r="J39" s="4">
        <v>80</v>
      </c>
      <c r="K39" s="4" t="s">
        <v>371</v>
      </c>
      <c r="L39" s="10">
        <v>4873981</v>
      </c>
      <c r="M39" s="4">
        <v>2007</v>
      </c>
      <c r="N39" s="6" t="s">
        <v>399</v>
      </c>
      <c r="O39" t="s">
        <v>1199</v>
      </c>
      <c r="P39" s="23" t="s">
        <v>24</v>
      </c>
      <c r="Q39">
        <v>77</v>
      </c>
      <c r="R39" t="s">
        <v>52</v>
      </c>
      <c r="S39" t="s">
        <v>52</v>
      </c>
      <c r="T39" t="s">
        <v>478</v>
      </c>
      <c r="U39" t="s">
        <v>478</v>
      </c>
      <c r="V39" t="str">
        <f>IF(AND(ISNUMBER(L39),COUNTIF([1]Songs!$L:$L,L39)&gt;0),"YES","")</f>
        <v>YES</v>
      </c>
      <c r="W39" t="e">
        <f>IF(AND(ISNUMBER(L39),COUNTIF([2]Songs!$J:$J,L39)&gt;0),"YES","")</f>
        <v>#VALUE!</v>
      </c>
      <c r="X39" t="e">
        <f>IF(AND(ISNUMBER(L39),COUNTIF([3]CcliCombined!$D:$D,L39)&gt;0),"YES","")</f>
        <v>#VALUE!</v>
      </c>
      <c r="Y39" t="e">
        <f>IF(AND(ISNUMBER(L39),COUNTIF([4]Songs!$H:$H,L39)&gt;0),"YES","")</f>
        <v>#VALUE!</v>
      </c>
      <c r="Z39" t="s">
        <v>630</v>
      </c>
      <c r="AB39">
        <v>38</v>
      </c>
      <c r="AD39" t="str">
        <f t="shared" si="1"/>
        <v>B A</v>
      </c>
    </row>
    <row r="40" spans="1:31" x14ac:dyDescent="0.25">
      <c r="A40">
        <f>INDEX(Albums!$A:$A, MATCH(C40,Albums!$C:$C,0))</f>
        <v>1</v>
      </c>
      <c r="B40">
        <f>INDEX(Albums!$B:$B, MATCH(C40,Albums!$C:$C,0))</f>
        <v>2014</v>
      </c>
      <c r="C40" t="s">
        <v>988</v>
      </c>
      <c r="D40">
        <v>9</v>
      </c>
      <c r="E40" t="s">
        <v>91</v>
      </c>
      <c r="F40" t="s">
        <v>92</v>
      </c>
      <c r="G40" s="28" t="s">
        <v>945</v>
      </c>
      <c r="H40" s="3" t="s">
        <v>47</v>
      </c>
      <c r="I40" s="3" t="s">
        <v>47</v>
      </c>
      <c r="J40" s="4">
        <v>82</v>
      </c>
      <c r="K40" s="5" t="s">
        <v>371</v>
      </c>
      <c r="L40" s="10">
        <v>25376</v>
      </c>
      <c r="M40" s="4">
        <v>1873</v>
      </c>
      <c r="N40" s="6" t="s">
        <v>401</v>
      </c>
      <c r="O40" t="s">
        <v>1199</v>
      </c>
      <c r="P40" s="23" t="s">
        <v>1</v>
      </c>
      <c r="Q40">
        <v>68</v>
      </c>
      <c r="R40" t="s">
        <v>93</v>
      </c>
      <c r="S40" t="s">
        <v>47</v>
      </c>
      <c r="T40" t="s">
        <v>478</v>
      </c>
      <c r="U40" t="s">
        <v>478</v>
      </c>
      <c r="V40" t="str">
        <f>IF(AND(ISNUMBER(L40),COUNTIF([1]Songs!$L:$L,L40)&gt;0),"YES","")</f>
        <v>YES</v>
      </c>
      <c r="W40" t="e">
        <f>IF(AND(ISNUMBER(L40),COUNTIF([2]Songs!$J:$J,L40)&gt;0),"YES","")</f>
        <v>#VALUE!</v>
      </c>
      <c r="X40" t="e">
        <f>IF(AND(ISNUMBER(L40),COUNTIF([3]CcliCombined!$D:$D,L40)&gt;0),"YES","")</f>
        <v>#VALUE!</v>
      </c>
      <c r="Y40" t="e">
        <f>IF(AND(ISNUMBER(L40),COUNTIF([4]Songs!$H:$H,L40)&gt;0),"YES","")</f>
        <v>#VALUE!</v>
      </c>
      <c r="Z40" t="s">
        <v>630</v>
      </c>
      <c r="AB40">
        <v>39</v>
      </c>
      <c r="AD40" t="str">
        <f t="shared" si="1"/>
        <v>C Db C</v>
      </c>
      <c r="AE40">
        <v>7029513</v>
      </c>
    </row>
    <row r="41" spans="1:31" x14ac:dyDescent="0.25">
      <c r="A41">
        <f>INDEX(Albums!$A:$A, MATCH(C41,Albums!$C:$C,0))</f>
        <v>1</v>
      </c>
      <c r="B41">
        <f>INDEX(Albums!$B:$B, MATCH(C41,Albums!$C:$C,0))</f>
        <v>2014</v>
      </c>
      <c r="C41" t="s">
        <v>988</v>
      </c>
      <c r="D41">
        <v>10</v>
      </c>
      <c r="E41" t="s">
        <v>94</v>
      </c>
      <c r="F41" t="s">
        <v>95</v>
      </c>
      <c r="G41" s="28" t="s">
        <v>950</v>
      </c>
      <c r="H41" s="3" t="s">
        <v>52</v>
      </c>
      <c r="I41" s="3" t="s">
        <v>28</v>
      </c>
      <c r="J41" s="4">
        <v>116</v>
      </c>
      <c r="K41" s="5" t="s">
        <v>371</v>
      </c>
      <c r="L41" s="10">
        <v>4158022</v>
      </c>
      <c r="M41" s="4">
        <v>2003</v>
      </c>
      <c r="N41" s="4" t="s">
        <v>378</v>
      </c>
      <c r="O41" t="s">
        <v>1199</v>
      </c>
      <c r="P41" s="23" t="s">
        <v>96</v>
      </c>
      <c r="Q41">
        <v>115</v>
      </c>
      <c r="R41" t="s">
        <v>28</v>
      </c>
      <c r="S41" t="s">
        <v>52</v>
      </c>
      <c r="T41" t="s">
        <v>478</v>
      </c>
      <c r="U41" t="s">
        <v>478</v>
      </c>
      <c r="V41" t="str">
        <f>IF(AND(ISNUMBER(L41),COUNTIF([1]Songs!$L:$L,L41)&gt;0),"YES","")</f>
        <v/>
      </c>
      <c r="W41" t="e">
        <f>IF(AND(ISNUMBER(L41),COUNTIF([2]Songs!$J:$J,L41)&gt;0),"YES","")</f>
        <v>#VALUE!</v>
      </c>
      <c r="X41" t="e">
        <f>IF(AND(ISNUMBER(L41),COUNTIF([3]CcliCombined!$D:$D,L41)&gt;0),"YES","")</f>
        <v>#VALUE!</v>
      </c>
      <c r="Y41" t="e">
        <f>IF(AND(ISNUMBER(L41),COUNTIF([4]Songs!$H:$H,L41)&gt;0),"YES","")</f>
        <v>#VALUE!</v>
      </c>
      <c r="Z41" t="s">
        <v>630</v>
      </c>
      <c r="AB41">
        <v>40</v>
      </c>
      <c r="AD41" t="str">
        <f t="shared" si="1"/>
        <v>Bb A A</v>
      </c>
    </row>
    <row r="42" spans="1:31" x14ac:dyDescent="0.25">
      <c r="A42">
        <f>INDEX(Albums!$A:$A, MATCH(C42,Albums!$C:$C,0))</f>
        <v>1</v>
      </c>
      <c r="B42">
        <f>INDEX(Albums!$B:$B, MATCH(C42,Albums!$C:$C,0))</f>
        <v>2014</v>
      </c>
      <c r="C42" t="s">
        <v>989</v>
      </c>
      <c r="D42">
        <v>1</v>
      </c>
      <c r="E42" t="s">
        <v>97</v>
      </c>
      <c r="F42" t="s">
        <v>23</v>
      </c>
      <c r="G42" s="28" t="s">
        <v>400</v>
      </c>
      <c r="H42" s="3" t="s">
        <v>47</v>
      </c>
      <c r="I42" s="3" t="s">
        <v>47</v>
      </c>
      <c r="J42" s="4">
        <v>71</v>
      </c>
      <c r="K42" s="4" t="s">
        <v>371</v>
      </c>
      <c r="L42" s="10">
        <v>6158927</v>
      </c>
      <c r="M42" s="4">
        <v>2011</v>
      </c>
      <c r="N42" s="6" t="s">
        <v>372</v>
      </c>
      <c r="O42" t="s">
        <v>1199</v>
      </c>
      <c r="P42" s="23" t="s">
        <v>24</v>
      </c>
      <c r="Q42">
        <v>68</v>
      </c>
      <c r="R42" t="s">
        <v>47</v>
      </c>
      <c r="S42" t="s">
        <v>47</v>
      </c>
      <c r="T42" t="s">
        <v>478</v>
      </c>
      <c r="U42" t="s">
        <v>478</v>
      </c>
      <c r="V42" t="str">
        <f>IF(AND(ISNUMBER(L42),COUNTIF([1]Songs!$L:$L,L42)&gt;0),"YES","")</f>
        <v>YES</v>
      </c>
      <c r="W42" t="e">
        <f>IF(AND(ISNUMBER(L42),COUNTIF([2]Songs!$J:$J,L42)&gt;0),"YES","")</f>
        <v>#VALUE!</v>
      </c>
      <c r="X42" t="e">
        <f>IF(AND(ISNUMBER(L42),COUNTIF([3]CcliCombined!$D:$D,L42)&gt;0),"YES","")</f>
        <v>#VALUE!</v>
      </c>
      <c r="Y42" t="e">
        <f>IF(AND(ISNUMBER(L42),COUNTIF([4]Songs!$H:$H,L42)&gt;0),"YES","")</f>
        <v>#VALUE!</v>
      </c>
      <c r="Z42" t="s">
        <v>630</v>
      </c>
      <c r="AB42">
        <v>41</v>
      </c>
      <c r="AD42" t="str">
        <f t="shared" si="1"/>
        <v>C</v>
      </c>
    </row>
    <row r="43" spans="1:31" x14ac:dyDescent="0.25">
      <c r="A43">
        <f>INDEX(Albums!$A:$A, MATCH(C43,Albums!$C:$C,0))</f>
        <v>1</v>
      </c>
      <c r="B43">
        <f>INDEX(Albums!$B:$B, MATCH(C43,Albums!$C:$C,0))</f>
        <v>2014</v>
      </c>
      <c r="C43" t="s">
        <v>989</v>
      </c>
      <c r="D43">
        <v>2</v>
      </c>
      <c r="E43" t="s">
        <v>98</v>
      </c>
      <c r="F43" t="s">
        <v>23</v>
      </c>
      <c r="G43" s="28" t="s">
        <v>952</v>
      </c>
      <c r="H43" s="3" t="s">
        <v>52</v>
      </c>
      <c r="I43" t="s">
        <v>52</v>
      </c>
      <c r="J43" s="4">
        <v>72</v>
      </c>
      <c r="K43" s="5" t="s">
        <v>371</v>
      </c>
      <c r="L43" s="10">
        <v>5207587</v>
      </c>
      <c r="M43" s="4">
        <v>2008</v>
      </c>
      <c r="N43" t="s">
        <v>953</v>
      </c>
      <c r="O43" t="s">
        <v>1199</v>
      </c>
      <c r="P43" s="23" t="s">
        <v>99</v>
      </c>
      <c r="Q43">
        <v>71</v>
      </c>
      <c r="R43" t="s">
        <v>47</v>
      </c>
      <c r="S43" t="s">
        <v>47</v>
      </c>
      <c r="T43" t="s">
        <v>478</v>
      </c>
      <c r="U43" t="s">
        <v>478</v>
      </c>
      <c r="V43" t="str">
        <f>IF(AND(ISNUMBER(L43),COUNTIF([1]Songs!$L:$L,L43)&gt;0),"YES","")</f>
        <v/>
      </c>
      <c r="W43" t="e">
        <f>IF(AND(ISNUMBER(L43),COUNTIF([2]Songs!$J:$J,L43)&gt;0),"YES","")</f>
        <v>#VALUE!</v>
      </c>
      <c r="X43" t="e">
        <f>IF(AND(ISNUMBER(L43),COUNTIF([3]CcliCombined!$D:$D,L43)&gt;0),"YES","")</f>
        <v>#VALUE!</v>
      </c>
      <c r="Y43" t="e">
        <f>IF(AND(ISNUMBER(L43),COUNTIF([4]Songs!$H:$H,L43)&gt;0),"YES","")</f>
        <v>#VALUE!</v>
      </c>
      <c r="Z43" t="s">
        <v>630</v>
      </c>
      <c r="AB43">
        <v>42</v>
      </c>
      <c r="AD43" t="str">
        <f t="shared" si="1"/>
        <v>A C</v>
      </c>
    </row>
    <row r="44" spans="1:31" x14ac:dyDescent="0.25">
      <c r="A44">
        <f>INDEX(Albums!$A:$A, MATCH(C44,Albums!$C:$C,0))</f>
        <v>1</v>
      </c>
      <c r="B44">
        <f>INDEX(Albums!$B:$B, MATCH(C44,Albums!$C:$C,0))</f>
        <v>2014</v>
      </c>
      <c r="C44" t="s">
        <v>989</v>
      </c>
      <c r="D44">
        <v>3</v>
      </c>
      <c r="E44" t="s">
        <v>100</v>
      </c>
      <c r="F44" t="s">
        <v>23</v>
      </c>
      <c r="G44" s="28" t="s">
        <v>27</v>
      </c>
      <c r="H44" s="3" t="s">
        <v>52</v>
      </c>
      <c r="I44" s="3" t="s">
        <v>52</v>
      </c>
      <c r="J44" s="4">
        <v>78</v>
      </c>
      <c r="K44" s="5" t="s">
        <v>371</v>
      </c>
      <c r="L44" s="10">
        <v>5124055</v>
      </c>
      <c r="M44" s="4">
        <v>2006</v>
      </c>
      <c r="N44" t="s">
        <v>374</v>
      </c>
      <c r="O44" t="s">
        <v>1199</v>
      </c>
      <c r="P44" s="23" t="s">
        <v>27</v>
      </c>
      <c r="Q44">
        <v>79</v>
      </c>
      <c r="R44" t="s">
        <v>25</v>
      </c>
      <c r="S44" t="s">
        <v>25</v>
      </c>
      <c r="T44" t="s">
        <v>478</v>
      </c>
      <c r="U44" t="s">
        <v>478</v>
      </c>
      <c r="V44" t="str">
        <f>IF(AND(ISNUMBER(L44),COUNTIF([1]Songs!$L:$L,L44)&gt;0),"YES","")</f>
        <v/>
      </c>
      <c r="W44" t="e">
        <f>IF(AND(ISNUMBER(L44),COUNTIF([2]Songs!$J:$J,L44)&gt;0),"YES","")</f>
        <v>#VALUE!</v>
      </c>
      <c r="X44" t="e">
        <f>IF(AND(ISNUMBER(L44),COUNTIF([3]CcliCombined!$D:$D,L44)&gt;0),"YES","")</f>
        <v>#VALUE!</v>
      </c>
      <c r="Y44" t="e">
        <f>IF(AND(ISNUMBER(L44),COUNTIF([4]Songs!$H:$H,L44)&gt;0),"YES","")</f>
        <v>#VALUE!</v>
      </c>
      <c r="Z44" t="s">
        <v>630</v>
      </c>
      <c r="AB44">
        <v>43</v>
      </c>
      <c r="AD44" t="str">
        <f t="shared" si="1"/>
        <v>A G</v>
      </c>
    </row>
    <row r="45" spans="1:31" x14ac:dyDescent="0.25">
      <c r="A45">
        <f>INDEX(Albums!$A:$A, MATCH(C45,Albums!$C:$C,0))</f>
        <v>1</v>
      </c>
      <c r="B45">
        <f>INDEX(Albums!$B:$B, MATCH(C45,Albums!$C:$C,0))</f>
        <v>2014</v>
      </c>
      <c r="C45" t="s">
        <v>989</v>
      </c>
      <c r="D45">
        <v>4</v>
      </c>
      <c r="E45" t="s">
        <v>101</v>
      </c>
      <c r="F45" t="s">
        <v>23</v>
      </c>
      <c r="G45" s="28" t="s">
        <v>955</v>
      </c>
      <c r="H45" s="3" t="s">
        <v>52</v>
      </c>
      <c r="I45" s="3" t="s">
        <v>28</v>
      </c>
      <c r="J45" s="4">
        <v>57</v>
      </c>
      <c r="K45" s="5" t="s">
        <v>371</v>
      </c>
      <c r="L45" s="10">
        <v>6590798</v>
      </c>
      <c r="M45" s="4">
        <v>2013</v>
      </c>
      <c r="N45" t="s">
        <v>956</v>
      </c>
      <c r="O45" t="s">
        <v>1199</v>
      </c>
      <c r="P45" s="23" t="s">
        <v>70</v>
      </c>
      <c r="Q45">
        <v>58</v>
      </c>
      <c r="R45" t="s">
        <v>25</v>
      </c>
      <c r="S45" t="s">
        <v>25</v>
      </c>
      <c r="T45" t="s">
        <v>478</v>
      </c>
      <c r="U45" t="s">
        <v>478</v>
      </c>
      <c r="V45" t="str">
        <f>IF(AND(ISNUMBER(L45),COUNTIF([1]Songs!$L:$L,L45)&gt;0),"YES","")</f>
        <v/>
      </c>
      <c r="W45" t="e">
        <f>IF(AND(ISNUMBER(L45),COUNTIF([2]Songs!$J:$J,L45)&gt;0),"YES","")</f>
        <v>#VALUE!</v>
      </c>
      <c r="X45" t="e">
        <f>IF(AND(ISNUMBER(L45),COUNTIF([3]CcliCombined!$D:$D,L45)&gt;0),"YES","")</f>
        <v>#VALUE!</v>
      </c>
      <c r="Y45" t="e">
        <f>IF(AND(ISNUMBER(L45),COUNTIF([4]Songs!$H:$H,L45)&gt;0),"YES","")</f>
        <v>#VALUE!</v>
      </c>
      <c r="Z45" t="s">
        <v>630</v>
      </c>
      <c r="AA45" t="s">
        <v>1196</v>
      </c>
      <c r="AB45">
        <v>44</v>
      </c>
      <c r="AD45" t="str">
        <f t="shared" si="1"/>
        <v>Bb A G</v>
      </c>
    </row>
    <row r="46" spans="1:31" x14ac:dyDescent="0.25">
      <c r="A46">
        <f>INDEX(Albums!$A:$A, MATCH(C46,Albums!$C:$C,0))</f>
        <v>1</v>
      </c>
      <c r="B46">
        <f>INDEX(Albums!$B:$B, MATCH(C46,Albums!$C:$C,0))</f>
        <v>2014</v>
      </c>
      <c r="C46" t="s">
        <v>989</v>
      </c>
      <c r="D46">
        <v>5</v>
      </c>
      <c r="E46" t="s">
        <v>102</v>
      </c>
      <c r="F46" t="s">
        <v>23</v>
      </c>
      <c r="G46" s="28" t="s">
        <v>948</v>
      </c>
      <c r="H46" s="3" t="s">
        <v>25</v>
      </c>
      <c r="I46" s="3" t="s">
        <v>67</v>
      </c>
      <c r="J46" s="4">
        <v>90</v>
      </c>
      <c r="K46" s="5" t="s">
        <v>371</v>
      </c>
      <c r="L46" s="10">
        <v>3040980</v>
      </c>
      <c r="M46" s="4">
        <v>2000</v>
      </c>
      <c r="N46" s="4" t="s">
        <v>381</v>
      </c>
      <c r="O46" t="s">
        <v>1199</v>
      </c>
      <c r="P46" s="23" t="s">
        <v>43</v>
      </c>
      <c r="Q46">
        <v>71</v>
      </c>
      <c r="R46" t="s">
        <v>52</v>
      </c>
      <c r="S46" t="s">
        <v>52</v>
      </c>
      <c r="T46" t="s">
        <v>478</v>
      </c>
      <c r="U46" t="s">
        <v>478</v>
      </c>
      <c r="V46" t="str">
        <f>IF(AND(ISNUMBER(L46),COUNTIF([1]Songs!$L:$L,L46)&gt;0),"YES","")</f>
        <v/>
      </c>
      <c r="W46" t="e">
        <f>IF(AND(ISNUMBER(L46),COUNTIF([2]Songs!$J:$J,L46)&gt;0),"YES","")</f>
        <v>#VALUE!</v>
      </c>
      <c r="X46" t="e">
        <f>IF(AND(ISNUMBER(L46),COUNTIF([3]CcliCombined!$D:$D,L46)&gt;0),"YES","")</f>
        <v>#VALUE!</v>
      </c>
      <c r="Y46" t="e">
        <f>IF(AND(ISNUMBER(L46),COUNTIF([4]Songs!$H:$H,L46)&gt;0),"YES","")</f>
        <v>#VALUE!</v>
      </c>
      <c r="Z46" t="s">
        <v>630</v>
      </c>
      <c r="AB46">
        <v>45</v>
      </c>
      <c r="AD46" t="str">
        <f t="shared" si="1"/>
        <v>Ab G A</v>
      </c>
    </row>
    <row r="47" spans="1:31" x14ac:dyDescent="0.25">
      <c r="A47">
        <f>INDEX(Albums!$A:$A, MATCH(C47,Albums!$C:$C,0))</f>
        <v>1</v>
      </c>
      <c r="B47">
        <f>INDEX(Albums!$B:$B, MATCH(C47,Albums!$C:$C,0))</f>
        <v>2014</v>
      </c>
      <c r="C47" t="s">
        <v>989</v>
      </c>
      <c r="D47">
        <v>6</v>
      </c>
      <c r="E47" t="s">
        <v>103</v>
      </c>
      <c r="F47" t="s">
        <v>23</v>
      </c>
      <c r="G47" s="28" t="s">
        <v>943</v>
      </c>
      <c r="H47" s="3" t="s">
        <v>36</v>
      </c>
      <c r="I47" s="3" t="s">
        <v>36</v>
      </c>
      <c r="J47" s="4">
        <v>78</v>
      </c>
      <c r="K47" s="5" t="s">
        <v>371</v>
      </c>
      <c r="L47" s="10">
        <v>5880784</v>
      </c>
      <c r="M47" s="4">
        <v>2011</v>
      </c>
      <c r="N47" s="6" t="s">
        <v>403</v>
      </c>
      <c r="O47" t="s">
        <v>1199</v>
      </c>
      <c r="P47" s="23" t="s">
        <v>30</v>
      </c>
      <c r="Q47">
        <v>78</v>
      </c>
      <c r="R47" t="s">
        <v>52</v>
      </c>
      <c r="S47" t="s">
        <v>52</v>
      </c>
      <c r="T47" t="s">
        <v>478</v>
      </c>
      <c r="U47" t="s">
        <v>478</v>
      </c>
      <c r="V47" t="str">
        <f>IF(AND(ISNUMBER(L47),COUNTIF([1]Songs!$L:$L,L47)&gt;0),"YES","")</f>
        <v/>
      </c>
      <c r="W47" t="e">
        <f>IF(AND(ISNUMBER(L47),COUNTIF([2]Songs!$J:$J,L47)&gt;0),"YES","")</f>
        <v>#VALUE!</v>
      </c>
      <c r="X47" t="e">
        <f>IF(AND(ISNUMBER(L47),COUNTIF([3]CcliCombined!$D:$D,L47)&gt;0),"YES","")</f>
        <v>#VALUE!</v>
      </c>
      <c r="Y47" t="e">
        <f>IF(AND(ISNUMBER(L47),COUNTIF([4]Songs!$H:$H,L47)&gt;0),"YES","")</f>
        <v>#VALUE!</v>
      </c>
      <c r="Z47" t="s">
        <v>630</v>
      </c>
      <c r="AB47">
        <v>46</v>
      </c>
      <c r="AD47" t="str">
        <f t="shared" si="1"/>
        <v>E A</v>
      </c>
    </row>
    <row r="48" spans="1:31" x14ac:dyDescent="0.25">
      <c r="A48">
        <f>INDEX(Albums!$A:$A, MATCH(C48,Albums!$C:$C,0))</f>
        <v>1</v>
      </c>
      <c r="B48">
        <f>INDEX(Albums!$B:$B, MATCH(C48,Albums!$C:$C,0))</f>
        <v>2014</v>
      </c>
      <c r="C48" t="s">
        <v>989</v>
      </c>
      <c r="D48">
        <v>7</v>
      </c>
      <c r="E48" t="s">
        <v>104</v>
      </c>
      <c r="F48" t="s">
        <v>23</v>
      </c>
      <c r="G48" s="28" t="s">
        <v>117</v>
      </c>
      <c r="H48" s="3" t="s">
        <v>25</v>
      </c>
      <c r="I48" s="3" t="s">
        <v>67</v>
      </c>
      <c r="J48" s="4">
        <v>75</v>
      </c>
      <c r="K48" s="5" t="s">
        <v>371</v>
      </c>
      <c r="L48" s="10">
        <v>2060208</v>
      </c>
      <c r="M48" s="4">
        <v>200</v>
      </c>
      <c r="N48" s="6" t="s">
        <v>378</v>
      </c>
      <c r="O48" t="s">
        <v>1199</v>
      </c>
      <c r="P48" s="23" t="s">
        <v>46</v>
      </c>
      <c r="Q48">
        <v>73</v>
      </c>
      <c r="R48" t="s">
        <v>52</v>
      </c>
      <c r="S48" t="s">
        <v>52</v>
      </c>
      <c r="T48" t="s">
        <v>478</v>
      </c>
      <c r="U48" t="s">
        <v>478</v>
      </c>
      <c r="V48" t="str">
        <f>IF(AND(ISNUMBER(L48),COUNTIF([1]Songs!$L:$L,L48)&gt;0),"YES","")</f>
        <v/>
      </c>
      <c r="W48" t="e">
        <f>IF(AND(ISNUMBER(L48),COUNTIF([2]Songs!$J:$J,L48)&gt;0),"YES","")</f>
        <v>#VALUE!</v>
      </c>
      <c r="X48" t="e">
        <f>IF(AND(ISNUMBER(L48),COUNTIF([3]CcliCombined!$D:$D,L48)&gt;0),"YES","")</f>
        <v>#VALUE!</v>
      </c>
      <c r="Y48" t="e">
        <f>IF(AND(ISNUMBER(L48),COUNTIF([4]Songs!$H:$H,L48)&gt;0),"YES","")</f>
        <v>#VALUE!</v>
      </c>
      <c r="Z48" t="s">
        <v>630</v>
      </c>
      <c r="AB48">
        <v>47</v>
      </c>
      <c r="AD48" t="str">
        <f t="shared" si="1"/>
        <v>Ab G A</v>
      </c>
    </row>
    <row r="49" spans="1:32" x14ac:dyDescent="0.25">
      <c r="A49">
        <f>INDEX(Albums!$A:$A, MATCH(C49,Albums!$C:$C,0))</f>
        <v>1</v>
      </c>
      <c r="B49">
        <f>INDEX(Albums!$B:$B, MATCH(C49,Albums!$C:$C,0))</f>
        <v>2014</v>
      </c>
      <c r="C49" t="s">
        <v>989</v>
      </c>
      <c r="D49">
        <v>8</v>
      </c>
      <c r="E49" t="s">
        <v>105</v>
      </c>
      <c r="F49" t="s">
        <v>23</v>
      </c>
      <c r="G49" s="28" t="s">
        <v>946</v>
      </c>
      <c r="H49" s="3" t="s">
        <v>31</v>
      </c>
      <c r="I49" s="3" t="s">
        <v>31</v>
      </c>
      <c r="J49" s="4">
        <v>80</v>
      </c>
      <c r="K49" s="5" t="s">
        <v>380</v>
      </c>
      <c r="L49" s="10">
        <v>4689508</v>
      </c>
      <c r="M49" s="4">
        <v>2006</v>
      </c>
      <c r="N49" s="6" t="s">
        <v>947</v>
      </c>
      <c r="O49" t="s">
        <v>1199</v>
      </c>
      <c r="P49" s="23" t="s">
        <v>35</v>
      </c>
      <c r="Q49">
        <v>70</v>
      </c>
      <c r="R49" t="s">
        <v>39</v>
      </c>
      <c r="S49" t="s">
        <v>39</v>
      </c>
      <c r="T49" t="s">
        <v>478</v>
      </c>
      <c r="U49" t="s">
        <v>478</v>
      </c>
      <c r="V49" t="str">
        <f>IF(AND(ISNUMBER(L49),COUNTIF([1]Songs!$L:$L,L49)&gt;0),"YES","")</f>
        <v/>
      </c>
      <c r="W49" t="e">
        <f>IF(AND(ISNUMBER(L49),COUNTIF([2]Songs!$J:$J,L49)&gt;0),"YES","")</f>
        <v>#VALUE!</v>
      </c>
      <c r="X49" t="e">
        <f>IF(AND(ISNUMBER(L49),COUNTIF([3]CcliCombined!$D:$D,L49)&gt;0),"YES","")</f>
        <v>#VALUE!</v>
      </c>
      <c r="Y49" t="e">
        <f>IF(AND(ISNUMBER(L49),COUNTIF([4]Songs!$H:$H,L49)&gt;0),"YES","")</f>
        <v>#VALUE!</v>
      </c>
      <c r="Z49" t="s">
        <v>630</v>
      </c>
      <c r="AB49">
        <v>48</v>
      </c>
      <c r="AD49" t="str">
        <f t="shared" si="1"/>
        <v>B D</v>
      </c>
    </row>
    <row r="50" spans="1:32" x14ac:dyDescent="0.25">
      <c r="A50">
        <f>INDEX(Albums!$A:$A, MATCH(C50,Albums!$C:$C,0))</f>
        <v>1</v>
      </c>
      <c r="B50">
        <f>INDEX(Albums!$B:$B, MATCH(C50,Albums!$C:$C,0))</f>
        <v>2014</v>
      </c>
      <c r="C50" t="s">
        <v>989</v>
      </c>
      <c r="D50">
        <v>9</v>
      </c>
      <c r="E50" t="s">
        <v>106</v>
      </c>
      <c r="F50" t="s">
        <v>23</v>
      </c>
      <c r="G50" s="28" t="s">
        <v>402</v>
      </c>
      <c r="H50" s="3" t="s">
        <v>47</v>
      </c>
      <c r="I50" s="3" t="s">
        <v>47</v>
      </c>
      <c r="J50" s="4">
        <v>75</v>
      </c>
      <c r="K50" s="5" t="s">
        <v>371</v>
      </c>
      <c r="L50" s="10">
        <v>5393329</v>
      </c>
      <c r="M50" s="4">
        <v>2008</v>
      </c>
      <c r="N50" s="4" t="s">
        <v>403</v>
      </c>
      <c r="O50" t="s">
        <v>1199</v>
      </c>
      <c r="P50" s="23" t="s">
        <v>107</v>
      </c>
      <c r="Q50">
        <v>75</v>
      </c>
      <c r="R50" t="s">
        <v>84</v>
      </c>
      <c r="S50" t="s">
        <v>176</v>
      </c>
      <c r="T50" t="s">
        <v>478</v>
      </c>
      <c r="U50" t="s">
        <v>478</v>
      </c>
      <c r="V50" t="str">
        <f>IF(AND(ISNUMBER(L50),COUNTIF([1]Songs!$L:$L,L50)&gt;0),"YES","")</f>
        <v>YES</v>
      </c>
      <c r="W50" t="e">
        <f>IF(AND(ISNUMBER(L50),COUNTIF([2]Songs!$J:$J,L50)&gt;0),"YES","")</f>
        <v>#VALUE!</v>
      </c>
      <c r="X50" t="e">
        <f>IF(AND(ISNUMBER(L50),COUNTIF([3]CcliCombined!$D:$D,L50)&gt;0),"YES","")</f>
        <v>#VALUE!</v>
      </c>
      <c r="Y50" t="e">
        <f>IF(AND(ISNUMBER(L50),COUNTIF([4]Songs!$H:$H,L50)&gt;0),"YES","")</f>
        <v>#VALUE!</v>
      </c>
      <c r="Z50" t="s">
        <v>630</v>
      </c>
      <c r="AB50">
        <v>49</v>
      </c>
      <c r="AD50" t="str">
        <f t="shared" si="1"/>
        <v>C F# F</v>
      </c>
    </row>
    <row r="51" spans="1:32" x14ac:dyDescent="0.25">
      <c r="A51">
        <f>INDEX(Albums!$A:$A, MATCH(C51,Albums!$C:$C,0))</f>
        <v>1</v>
      </c>
      <c r="B51">
        <f>INDEX(Albums!$B:$B, MATCH(C51,Albums!$C:$C,0))</f>
        <v>2014</v>
      </c>
      <c r="C51" t="s">
        <v>989</v>
      </c>
      <c r="D51">
        <v>10</v>
      </c>
      <c r="E51" t="s">
        <v>108</v>
      </c>
      <c r="F51" t="s">
        <v>23</v>
      </c>
      <c r="G51" s="28" t="s">
        <v>404</v>
      </c>
      <c r="H51" s="3" t="s">
        <v>39</v>
      </c>
      <c r="I51" s="3" t="s">
        <v>39</v>
      </c>
      <c r="J51" s="4">
        <v>88</v>
      </c>
      <c r="K51" s="5" t="s">
        <v>371</v>
      </c>
      <c r="L51" s="10">
        <v>3148435</v>
      </c>
      <c r="M51" s="4">
        <v>2000</v>
      </c>
      <c r="N51" s="4" t="s">
        <v>378</v>
      </c>
      <c r="O51" t="s">
        <v>1199</v>
      </c>
      <c r="P51" s="23" t="s">
        <v>46</v>
      </c>
      <c r="Q51">
        <v>88</v>
      </c>
      <c r="R51" t="s">
        <v>36</v>
      </c>
      <c r="S51" t="s">
        <v>36</v>
      </c>
      <c r="T51" t="s">
        <v>478</v>
      </c>
      <c r="U51" t="s">
        <v>478</v>
      </c>
      <c r="V51" t="str">
        <f>IF(AND(ISNUMBER(L51),COUNTIF([1]Songs!$L:$L,L51)&gt;0),"YES","")</f>
        <v>YES</v>
      </c>
      <c r="W51" t="e">
        <f>IF(AND(ISNUMBER(L51),COUNTIF([2]Songs!$J:$J,L51)&gt;0),"YES","")</f>
        <v>#VALUE!</v>
      </c>
      <c r="X51" t="e">
        <f>IF(AND(ISNUMBER(L51),COUNTIF([3]CcliCombined!$D:$D,L51)&gt;0),"YES","")</f>
        <v>#VALUE!</v>
      </c>
      <c r="Y51" t="e">
        <f>IF(AND(ISNUMBER(L51),COUNTIF([4]Songs!$H:$H,L51)&gt;0),"YES","")</f>
        <v>#VALUE!</v>
      </c>
      <c r="Z51" t="s">
        <v>630</v>
      </c>
      <c r="AB51">
        <v>50</v>
      </c>
      <c r="AD51" t="str">
        <f t="shared" si="1"/>
        <v>D E</v>
      </c>
    </row>
    <row r="52" spans="1:32" x14ac:dyDescent="0.25">
      <c r="A52">
        <f>INDEX(Albums!$A:$A, MATCH(C52,Albums!$C:$C,0))</f>
        <v>1</v>
      </c>
      <c r="B52">
        <f>INDEX(Albums!$B:$B, MATCH(C52,Albums!$C:$C,0))</f>
        <v>2014</v>
      </c>
      <c r="C52" t="s">
        <v>990</v>
      </c>
      <c r="D52">
        <v>1</v>
      </c>
      <c r="E52" t="s">
        <v>109</v>
      </c>
      <c r="F52" t="s">
        <v>23</v>
      </c>
      <c r="G52" s="28" t="s">
        <v>405</v>
      </c>
      <c r="H52" s="3" t="s">
        <v>25</v>
      </c>
      <c r="I52" s="3" t="s">
        <v>67</v>
      </c>
      <c r="J52" s="4">
        <v>96</v>
      </c>
      <c r="K52" s="5" t="s">
        <v>371</v>
      </c>
      <c r="L52" s="10">
        <v>16880</v>
      </c>
      <c r="M52" s="4">
        <v>1971</v>
      </c>
      <c r="N52" s="4" t="s">
        <v>406</v>
      </c>
      <c r="O52" t="s">
        <v>1199</v>
      </c>
      <c r="P52" s="23" t="s">
        <v>110</v>
      </c>
      <c r="Q52">
        <v>118</v>
      </c>
      <c r="R52" t="s">
        <v>52</v>
      </c>
      <c r="S52" t="s">
        <v>52</v>
      </c>
      <c r="T52" t="s">
        <v>478</v>
      </c>
      <c r="U52" t="s">
        <v>478</v>
      </c>
      <c r="V52" t="str">
        <f>IF(AND(ISNUMBER(L52),COUNTIF([1]Songs!$L:$L,L52)&gt;0),"YES","")</f>
        <v>YES</v>
      </c>
      <c r="W52" t="e">
        <f>IF(AND(ISNUMBER(L52),COUNTIF([2]Songs!$J:$J,L52)&gt;0),"YES","")</f>
        <v>#VALUE!</v>
      </c>
      <c r="X52" t="e">
        <f>IF(AND(ISNUMBER(L52),COUNTIF([3]CcliCombined!$D:$D,L52)&gt;0),"YES","")</f>
        <v>#VALUE!</v>
      </c>
      <c r="Y52" t="e">
        <f>IF(AND(ISNUMBER(L52),COUNTIF([4]Songs!$H:$H,L52)&gt;0),"YES","")</f>
        <v>#VALUE!</v>
      </c>
      <c r="Z52" t="s">
        <v>630</v>
      </c>
      <c r="AB52">
        <v>51</v>
      </c>
      <c r="AD52" t="str">
        <f t="shared" si="1"/>
        <v>Ab G A</v>
      </c>
    </row>
    <row r="53" spans="1:32" hidden="1" x14ac:dyDescent="0.25">
      <c r="A53">
        <f>INDEX(Albums!$A:$A, MATCH(C53,Albums!$C:$C,0))</f>
        <v>1</v>
      </c>
      <c r="B53">
        <f>INDEX(Albums!$B:$B, MATCH(C53,Albums!$C:$C,0))</f>
        <v>2014</v>
      </c>
      <c r="C53" t="s">
        <v>990</v>
      </c>
      <c r="D53">
        <v>2</v>
      </c>
      <c r="E53" t="s">
        <v>111</v>
      </c>
      <c r="F53" t="s">
        <v>23</v>
      </c>
      <c r="G53" s="28" t="s">
        <v>1104</v>
      </c>
      <c r="L53" s="10">
        <v>7029241</v>
      </c>
      <c r="M53" s="4">
        <v>2013</v>
      </c>
      <c r="N53" t="s">
        <v>1105</v>
      </c>
      <c r="P53" s="23" t="s">
        <v>70</v>
      </c>
      <c r="Q53">
        <v>70</v>
      </c>
      <c r="R53" t="s">
        <v>52</v>
      </c>
      <c r="S53" t="s">
        <v>52</v>
      </c>
      <c r="T53" t="s">
        <v>327</v>
      </c>
      <c r="V53" t="str">
        <f>IF(AND(ISNUMBER(L53),COUNTIF([1]Songs!$L:$L,L53)&gt;0),"YES","")</f>
        <v/>
      </c>
      <c r="W53" t="e">
        <f>IF(AND(ISNUMBER(L53),COUNTIF([2]Songs!$J:$J,L53)&gt;0),"YES","")</f>
        <v>#VALUE!</v>
      </c>
      <c r="X53" t="e">
        <f>IF(AND(ISNUMBER(L53),COUNTIF([3]CcliCombined!$D:$D,L53)&gt;0),"YES","")</f>
        <v>#VALUE!</v>
      </c>
      <c r="Y53" t="e">
        <f>IF(AND(ISNUMBER(L53),COUNTIF([4]Songs!$H:$H,L53)&gt;0),"YES","")</f>
        <v>#VALUE!</v>
      </c>
      <c r="Z53" t="s">
        <v>630</v>
      </c>
      <c r="AA53" t="s">
        <v>1196</v>
      </c>
      <c r="AB53">
        <v>52</v>
      </c>
      <c r="AC53" t="s">
        <v>1032</v>
      </c>
      <c r="AD53" t="str">
        <f t="shared" si="1"/>
        <v xml:space="preserve"> A</v>
      </c>
      <c r="AF53" t="s">
        <v>1197</v>
      </c>
    </row>
    <row r="54" spans="1:32" x14ac:dyDescent="0.25">
      <c r="A54">
        <f>INDEX(Albums!$A:$A, MATCH(C54,Albums!$C:$C,0))</f>
        <v>1</v>
      </c>
      <c r="B54">
        <f>INDEX(Albums!$B:$B, MATCH(C54,Albums!$C:$C,0))</f>
        <v>2014</v>
      </c>
      <c r="C54" t="s">
        <v>990</v>
      </c>
      <c r="D54">
        <v>3</v>
      </c>
      <c r="E54" t="s">
        <v>112</v>
      </c>
      <c r="F54" t="s">
        <v>23</v>
      </c>
      <c r="G54" s="28" t="s">
        <v>407</v>
      </c>
      <c r="H54" s="3" t="s">
        <v>39</v>
      </c>
      <c r="I54" s="3" t="s">
        <v>39</v>
      </c>
      <c r="J54" s="4">
        <v>60</v>
      </c>
      <c r="K54" s="5" t="s">
        <v>371</v>
      </c>
      <c r="L54" s="10">
        <v>4447960</v>
      </c>
      <c r="M54" s="4">
        <v>2004</v>
      </c>
      <c r="N54" s="6" t="s">
        <v>408</v>
      </c>
      <c r="O54" t="s">
        <v>1199</v>
      </c>
      <c r="P54" s="23" t="s">
        <v>113</v>
      </c>
      <c r="Q54">
        <v>64</v>
      </c>
      <c r="R54" t="s">
        <v>36</v>
      </c>
      <c r="S54" t="s">
        <v>36</v>
      </c>
      <c r="T54" t="s">
        <v>478</v>
      </c>
      <c r="U54" t="s">
        <v>478</v>
      </c>
      <c r="V54" t="str">
        <f>IF(AND(ISNUMBER(L54),COUNTIF([1]Songs!$L:$L,L54)&gt;0),"YES","")</f>
        <v>YES</v>
      </c>
      <c r="W54" t="e">
        <f>IF(AND(ISNUMBER(L54),COUNTIF([2]Songs!$J:$J,L54)&gt;0),"YES","")</f>
        <v>#VALUE!</v>
      </c>
      <c r="X54" t="e">
        <f>IF(AND(ISNUMBER(L54),COUNTIF([3]CcliCombined!$D:$D,L54)&gt;0),"YES","")</f>
        <v>#VALUE!</v>
      </c>
      <c r="Y54" t="e">
        <f>IF(AND(ISNUMBER(L54),COUNTIF([4]Songs!$H:$H,L54)&gt;0),"YES","")</f>
        <v>#VALUE!</v>
      </c>
      <c r="Z54" t="s">
        <v>630</v>
      </c>
      <c r="AB54">
        <v>53</v>
      </c>
      <c r="AD54" t="str">
        <f t="shared" si="1"/>
        <v>D E</v>
      </c>
    </row>
    <row r="55" spans="1:32" x14ac:dyDescent="0.25">
      <c r="A55">
        <f>INDEX(Albums!$A:$A, MATCH(C55,Albums!$C:$C,0))</f>
        <v>1</v>
      </c>
      <c r="B55">
        <f>INDEX(Albums!$B:$B, MATCH(C55,Albums!$C:$C,0))</f>
        <v>2014</v>
      </c>
      <c r="C55" t="s">
        <v>990</v>
      </c>
      <c r="D55">
        <v>4</v>
      </c>
      <c r="E55" t="s">
        <v>114</v>
      </c>
      <c r="F55" t="s">
        <v>23</v>
      </c>
      <c r="G55" s="28" t="s">
        <v>409</v>
      </c>
      <c r="H55" s="3" t="s">
        <v>39</v>
      </c>
      <c r="I55" s="3" t="s">
        <v>39</v>
      </c>
      <c r="J55" s="4">
        <v>75</v>
      </c>
      <c r="K55" s="5" t="s">
        <v>380</v>
      </c>
      <c r="L55" s="10">
        <v>18723</v>
      </c>
      <c r="M55" s="4">
        <v>1923</v>
      </c>
      <c r="N55" s="6" t="s">
        <v>401</v>
      </c>
      <c r="O55" t="s">
        <v>1199</v>
      </c>
      <c r="P55" s="23" t="s">
        <v>1</v>
      </c>
      <c r="Q55">
        <v>85</v>
      </c>
      <c r="R55" t="s">
        <v>36</v>
      </c>
      <c r="S55" t="s">
        <v>36</v>
      </c>
      <c r="T55" t="s">
        <v>478</v>
      </c>
      <c r="U55" t="s">
        <v>478</v>
      </c>
      <c r="V55" t="str">
        <f>IF(AND(ISNUMBER(L55),COUNTIF([1]Songs!$L:$L,L55)&gt;0),"YES","")</f>
        <v>YES</v>
      </c>
      <c r="W55" t="e">
        <f>IF(AND(ISNUMBER(L55),COUNTIF([2]Songs!$J:$J,L55)&gt;0),"YES","")</f>
        <v>#VALUE!</v>
      </c>
      <c r="X55" t="e">
        <f>IF(AND(ISNUMBER(L55),COUNTIF([3]CcliCombined!$D:$D,L55)&gt;0),"YES","")</f>
        <v>#VALUE!</v>
      </c>
      <c r="Y55" t="e">
        <f>IF(AND(ISNUMBER(L55),COUNTIF([4]Songs!$H:$H,L55)&gt;0),"YES","")</f>
        <v>#VALUE!</v>
      </c>
      <c r="Z55" t="s">
        <v>630</v>
      </c>
      <c r="AB55">
        <v>54</v>
      </c>
      <c r="AD55" t="str">
        <f t="shared" si="1"/>
        <v>D E</v>
      </c>
    </row>
    <row r="56" spans="1:32" x14ac:dyDescent="0.25">
      <c r="A56">
        <f>INDEX(Albums!$A:$A, MATCH(C56,Albums!$C:$C,0))</f>
        <v>1</v>
      </c>
      <c r="B56">
        <f>INDEX(Albums!$B:$B, MATCH(C56,Albums!$C:$C,0))</f>
        <v>2014</v>
      </c>
      <c r="C56" t="s">
        <v>990</v>
      </c>
      <c r="D56">
        <v>5</v>
      </c>
      <c r="E56" t="s">
        <v>115</v>
      </c>
      <c r="F56" t="s">
        <v>23</v>
      </c>
      <c r="G56" s="28" t="s">
        <v>954</v>
      </c>
      <c r="H56" s="3" t="s">
        <v>52</v>
      </c>
      <c r="I56" t="s">
        <v>28</v>
      </c>
      <c r="J56" s="4">
        <v>76</v>
      </c>
      <c r="K56" s="5" t="s">
        <v>371</v>
      </c>
      <c r="L56" s="10">
        <v>6521035</v>
      </c>
      <c r="M56" s="4">
        <v>2013</v>
      </c>
      <c r="N56" t="s">
        <v>378</v>
      </c>
      <c r="O56" t="s">
        <v>1199</v>
      </c>
      <c r="P56" s="23" t="s">
        <v>49</v>
      </c>
      <c r="Q56">
        <v>74</v>
      </c>
      <c r="R56" t="s">
        <v>28</v>
      </c>
      <c r="S56" t="s">
        <v>52</v>
      </c>
      <c r="T56" t="s">
        <v>479</v>
      </c>
      <c r="U56" t="s">
        <v>478</v>
      </c>
      <c r="V56" t="str">
        <f>IF(AND(ISNUMBER(L56),COUNTIF([1]Songs!$L:$L,L56)&gt;0),"YES","")</f>
        <v/>
      </c>
      <c r="W56" t="e">
        <f>IF(AND(ISNUMBER(L56),COUNTIF([2]Songs!$J:$J,L56)&gt;0),"YES","")</f>
        <v>#VALUE!</v>
      </c>
      <c r="X56" t="e">
        <f>IF(AND(ISNUMBER(L56),COUNTIF([3]CcliCombined!$D:$D,L56)&gt;0),"YES","")</f>
        <v>#VALUE!</v>
      </c>
      <c r="Y56" t="e">
        <f>IF(AND(ISNUMBER(L56),COUNTIF([4]Songs!$H:$H,L56)&gt;0),"YES","")</f>
        <v>#VALUE!</v>
      </c>
      <c r="Z56" t="s">
        <v>630</v>
      </c>
      <c r="AB56">
        <v>55</v>
      </c>
      <c r="AD56" t="str">
        <f t="shared" si="1"/>
        <v>Bb A A</v>
      </c>
    </row>
    <row r="57" spans="1:32" x14ac:dyDescent="0.25">
      <c r="A57">
        <f>INDEX(Albums!$A:$A, MATCH(C57,Albums!$C:$C,0))</f>
        <v>1</v>
      </c>
      <c r="B57">
        <f>INDEX(Albums!$B:$B, MATCH(C57,Albums!$C:$C,0))</f>
        <v>2014</v>
      </c>
      <c r="C57" t="s">
        <v>990</v>
      </c>
      <c r="D57">
        <v>6</v>
      </c>
      <c r="E57" t="s">
        <v>116</v>
      </c>
      <c r="F57" t="s">
        <v>23</v>
      </c>
      <c r="G57" s="28" t="s">
        <v>117</v>
      </c>
      <c r="H57" s="3" t="s">
        <v>31</v>
      </c>
      <c r="I57" s="3" t="s">
        <v>31</v>
      </c>
      <c r="J57" s="4">
        <v>120</v>
      </c>
      <c r="K57" s="5" t="s">
        <v>371</v>
      </c>
      <c r="L57" s="10">
        <v>4491002</v>
      </c>
      <c r="M57" s="4">
        <v>2005</v>
      </c>
      <c r="N57" s="4" t="s">
        <v>378</v>
      </c>
      <c r="O57" t="s">
        <v>1199</v>
      </c>
      <c r="P57" s="23" t="s">
        <v>117</v>
      </c>
      <c r="Q57">
        <v>113</v>
      </c>
      <c r="R57" t="s">
        <v>28</v>
      </c>
      <c r="S57" t="s">
        <v>52</v>
      </c>
      <c r="T57" t="s">
        <v>478</v>
      </c>
      <c r="U57" t="s">
        <v>478</v>
      </c>
      <c r="V57" t="str">
        <f>IF(AND(ISNUMBER(L57),COUNTIF([1]Songs!$L:$L,L57)&gt;0),"YES","")</f>
        <v/>
      </c>
      <c r="W57" t="e">
        <f>IF(AND(ISNUMBER(L57),COUNTIF([2]Songs!$J:$J,L57)&gt;0),"YES","")</f>
        <v>#VALUE!</v>
      </c>
      <c r="X57" t="e">
        <f>IF(AND(ISNUMBER(L57),COUNTIF([3]CcliCombined!$D:$D,L57)&gt;0),"YES","")</f>
        <v>#VALUE!</v>
      </c>
      <c r="Y57" t="e">
        <f>IF(AND(ISNUMBER(L57),COUNTIF([4]Songs!$H:$H,L57)&gt;0),"YES","")</f>
        <v>#VALUE!</v>
      </c>
      <c r="Z57" t="s">
        <v>630</v>
      </c>
      <c r="AB57">
        <v>56</v>
      </c>
      <c r="AD57" t="str">
        <f t="shared" si="1"/>
        <v>B Bb A</v>
      </c>
    </row>
    <row r="58" spans="1:32" x14ac:dyDescent="0.25">
      <c r="A58">
        <f>INDEX(Albums!$A:$A, MATCH(C58,Albums!$C:$C,0))</f>
        <v>1</v>
      </c>
      <c r="B58">
        <f>INDEX(Albums!$B:$B, MATCH(C58,Albums!$C:$C,0))</f>
        <v>2014</v>
      </c>
      <c r="C58" t="s">
        <v>990</v>
      </c>
      <c r="D58">
        <v>7</v>
      </c>
      <c r="E58" t="s">
        <v>118</v>
      </c>
      <c r="F58" t="s">
        <v>119</v>
      </c>
      <c r="G58" s="28" t="s">
        <v>46</v>
      </c>
      <c r="H58" s="3" t="s">
        <v>52</v>
      </c>
      <c r="I58" s="3" t="s">
        <v>52</v>
      </c>
      <c r="J58" s="4">
        <v>120</v>
      </c>
      <c r="K58" s="5" t="s">
        <v>371</v>
      </c>
      <c r="L58" s="10">
        <v>3148428</v>
      </c>
      <c r="M58" s="4">
        <v>2001</v>
      </c>
      <c r="N58" s="6" t="s">
        <v>378</v>
      </c>
      <c r="O58" t="s">
        <v>1199</v>
      </c>
      <c r="P58" s="23" t="s">
        <v>46</v>
      </c>
      <c r="Q58">
        <v>123</v>
      </c>
      <c r="R58" t="s">
        <v>28</v>
      </c>
      <c r="S58" t="s">
        <v>52</v>
      </c>
      <c r="T58" t="s">
        <v>478</v>
      </c>
      <c r="U58" t="s">
        <v>478</v>
      </c>
      <c r="V58" t="str">
        <f>IF(AND(ISNUMBER(L58),COUNTIF([1]Songs!$L:$L,L58)&gt;0),"YES","")</f>
        <v>YES</v>
      </c>
      <c r="W58" t="e">
        <f>IF(AND(ISNUMBER(L58),COUNTIF([2]Songs!$J:$J,L58)&gt;0),"YES","")</f>
        <v>#VALUE!</v>
      </c>
      <c r="X58" t="e">
        <f>IF(AND(ISNUMBER(L58),COUNTIF([3]CcliCombined!$D:$D,L58)&gt;0),"YES","")</f>
        <v>#VALUE!</v>
      </c>
      <c r="Y58" t="e">
        <f>IF(AND(ISNUMBER(L58),COUNTIF([4]Songs!$H:$H,L58)&gt;0),"YES","")</f>
        <v>#VALUE!</v>
      </c>
      <c r="Z58" t="s">
        <v>630</v>
      </c>
      <c r="AB58">
        <v>57</v>
      </c>
      <c r="AD58" t="str">
        <f t="shared" si="1"/>
        <v>A Bb A</v>
      </c>
    </row>
    <row r="59" spans="1:32" x14ac:dyDescent="0.25">
      <c r="A59">
        <f>INDEX(Albums!$A:$A, MATCH(C59,Albums!$C:$C,0))</f>
        <v>1</v>
      </c>
      <c r="B59">
        <f>INDEX(Albums!$B:$B, MATCH(C59,Albums!$C:$C,0))</f>
        <v>2014</v>
      </c>
      <c r="C59" t="s">
        <v>990</v>
      </c>
      <c r="D59">
        <v>8</v>
      </c>
      <c r="E59" t="s">
        <v>120</v>
      </c>
      <c r="F59" t="s">
        <v>23</v>
      </c>
      <c r="G59" s="28" t="s">
        <v>410</v>
      </c>
      <c r="H59" s="3" t="s">
        <v>25</v>
      </c>
      <c r="I59" s="3" t="s">
        <v>28</v>
      </c>
      <c r="J59" s="4">
        <v>78</v>
      </c>
      <c r="K59" s="5" t="s">
        <v>371</v>
      </c>
      <c r="L59" s="10">
        <v>5508444</v>
      </c>
      <c r="M59" s="4">
        <v>2010</v>
      </c>
      <c r="N59" s="6" t="s">
        <v>411</v>
      </c>
      <c r="O59" t="s">
        <v>1199</v>
      </c>
      <c r="P59" s="23" t="s">
        <v>121</v>
      </c>
      <c r="Q59">
        <v>71</v>
      </c>
      <c r="R59" t="s">
        <v>93</v>
      </c>
      <c r="S59" t="s">
        <v>47</v>
      </c>
      <c r="T59" t="s">
        <v>478</v>
      </c>
      <c r="U59" t="s">
        <v>478</v>
      </c>
      <c r="V59" t="str">
        <f>IF(AND(ISNUMBER(L59),COUNTIF([1]Songs!$L:$L,L59)&gt;0),"YES","")</f>
        <v>YES</v>
      </c>
      <c r="W59" t="e">
        <f>IF(AND(ISNUMBER(L59),COUNTIF([2]Songs!$J:$J,L59)&gt;0),"YES","")</f>
        <v>#VALUE!</v>
      </c>
      <c r="X59" t="e">
        <f>IF(AND(ISNUMBER(L59),COUNTIF([3]CcliCombined!$D:$D,L59)&gt;0),"YES","")</f>
        <v>#VALUE!</v>
      </c>
      <c r="Y59" t="e">
        <f>IF(AND(ISNUMBER(L59),COUNTIF([4]Songs!$H:$H,L59)&gt;0),"YES","")</f>
        <v>#VALUE!</v>
      </c>
      <c r="Z59" t="s">
        <v>630</v>
      </c>
      <c r="AB59">
        <v>58</v>
      </c>
      <c r="AD59" t="str">
        <f t="shared" si="1"/>
        <v>Bb G Db C</v>
      </c>
    </row>
    <row r="60" spans="1:32" x14ac:dyDescent="0.25">
      <c r="A60">
        <f>INDEX(Albums!$A:$A, MATCH(C60,Albums!$C:$C,0))</f>
        <v>1</v>
      </c>
      <c r="B60">
        <f>INDEX(Albums!$B:$B, MATCH(C60,Albums!$C:$C,0))</f>
        <v>2014</v>
      </c>
      <c r="C60" t="s">
        <v>990</v>
      </c>
      <c r="D60">
        <v>9</v>
      </c>
      <c r="E60" t="s">
        <v>122</v>
      </c>
      <c r="F60" t="s">
        <v>23</v>
      </c>
      <c r="G60" s="28" t="s">
        <v>412</v>
      </c>
      <c r="H60" s="3" t="s">
        <v>39</v>
      </c>
      <c r="I60" s="3" t="s">
        <v>39</v>
      </c>
      <c r="J60" s="4">
        <v>75</v>
      </c>
      <c r="K60" s="5" t="s">
        <v>371</v>
      </c>
      <c r="L60" s="10">
        <v>4785828</v>
      </c>
      <c r="M60" s="4">
        <v>2006</v>
      </c>
      <c r="N60" s="4" t="s">
        <v>372</v>
      </c>
      <c r="O60" t="s">
        <v>1199</v>
      </c>
      <c r="P60" s="23" t="s">
        <v>24</v>
      </c>
      <c r="Q60">
        <v>72</v>
      </c>
      <c r="R60" t="s">
        <v>25</v>
      </c>
      <c r="S60" t="s">
        <v>25</v>
      </c>
      <c r="T60" t="s">
        <v>478</v>
      </c>
      <c r="U60" t="s">
        <v>478</v>
      </c>
      <c r="V60" t="str">
        <f>IF(AND(ISNUMBER(L60),COUNTIF([1]Songs!$L:$L,L60)&gt;0),"YES","")</f>
        <v>YES</v>
      </c>
      <c r="W60" t="e">
        <f>IF(AND(ISNUMBER(L60),COUNTIF([2]Songs!$J:$J,L60)&gt;0),"YES","")</f>
        <v>#VALUE!</v>
      </c>
      <c r="X60" t="e">
        <f>IF(AND(ISNUMBER(L60),COUNTIF([3]CcliCombined!$D:$D,L60)&gt;0),"YES","")</f>
        <v>#VALUE!</v>
      </c>
      <c r="Y60" t="e">
        <f>IF(AND(ISNUMBER(L60),COUNTIF([4]Songs!$H:$H,L60)&gt;0),"YES","")</f>
        <v>#VALUE!</v>
      </c>
      <c r="Z60" t="s">
        <v>630</v>
      </c>
      <c r="AB60">
        <v>59</v>
      </c>
      <c r="AD60" t="str">
        <f t="shared" si="1"/>
        <v>D G</v>
      </c>
    </row>
    <row r="61" spans="1:32" x14ac:dyDescent="0.25">
      <c r="A61">
        <f>INDEX(Albums!$A:$A, MATCH(C61,Albums!$C:$C,0))</f>
        <v>1</v>
      </c>
      <c r="B61">
        <f>INDEX(Albums!$B:$B, MATCH(C61,Albums!$C:$C,0))</f>
        <v>2014</v>
      </c>
      <c r="C61" t="s">
        <v>990</v>
      </c>
      <c r="D61">
        <v>10</v>
      </c>
      <c r="E61" t="s">
        <v>123</v>
      </c>
      <c r="F61" t="s">
        <v>23</v>
      </c>
      <c r="G61" s="28" t="s">
        <v>33</v>
      </c>
      <c r="H61" s="3" t="s">
        <v>25</v>
      </c>
      <c r="I61" s="3" t="s">
        <v>25</v>
      </c>
      <c r="J61" s="4">
        <v>116</v>
      </c>
      <c r="K61" s="5" t="s">
        <v>371</v>
      </c>
      <c r="L61" s="10">
        <v>4477026</v>
      </c>
      <c r="M61" s="4">
        <v>2003</v>
      </c>
      <c r="N61" s="6" t="s">
        <v>381</v>
      </c>
      <c r="O61" t="s">
        <v>1199</v>
      </c>
      <c r="P61" s="23" t="s">
        <v>33</v>
      </c>
      <c r="Q61">
        <v>114</v>
      </c>
      <c r="R61" t="s">
        <v>25</v>
      </c>
      <c r="S61" t="s">
        <v>25</v>
      </c>
      <c r="T61" t="s">
        <v>478</v>
      </c>
      <c r="U61" t="s">
        <v>478</v>
      </c>
      <c r="V61" t="str">
        <f>IF(AND(ISNUMBER(L61),COUNTIF([1]Songs!$L:$L,L61)&gt;0),"YES","")</f>
        <v>YES</v>
      </c>
      <c r="W61" t="e">
        <f>IF(AND(ISNUMBER(L61),COUNTIF([2]Songs!$J:$J,L61)&gt;0),"YES","")</f>
        <v>#VALUE!</v>
      </c>
      <c r="X61" t="e">
        <f>IF(AND(ISNUMBER(L61),COUNTIF([3]CcliCombined!$D:$D,L61)&gt;0),"YES","")</f>
        <v>#VALUE!</v>
      </c>
      <c r="Y61" t="e">
        <f>IF(AND(ISNUMBER(L61),COUNTIF([4]Songs!$H:$H,L61)&gt;0),"YES","")</f>
        <v>#VALUE!</v>
      </c>
      <c r="Z61" t="s">
        <v>630</v>
      </c>
      <c r="AB61">
        <v>60</v>
      </c>
      <c r="AD61" t="str">
        <f t="shared" si="1"/>
        <v>G</v>
      </c>
    </row>
    <row r="62" spans="1:32" x14ac:dyDescent="0.25">
      <c r="A62">
        <f>INDEX(Albums!$A:$A, MATCH(C62,Albums!$C:$C,0))</f>
        <v>1</v>
      </c>
      <c r="B62">
        <f>INDEX(Albums!$B:$B, MATCH(C62,Albums!$C:$C,0))</f>
        <v>2014</v>
      </c>
      <c r="C62" t="s">
        <v>991</v>
      </c>
      <c r="D62">
        <v>1</v>
      </c>
      <c r="E62" t="s">
        <v>124</v>
      </c>
      <c r="F62" t="s">
        <v>23</v>
      </c>
      <c r="G62" s="28" t="s">
        <v>27</v>
      </c>
      <c r="H62" s="3" t="s">
        <v>39</v>
      </c>
      <c r="I62" s="3" t="s">
        <v>78</v>
      </c>
      <c r="J62" s="4">
        <v>80</v>
      </c>
      <c r="K62" s="5" t="s">
        <v>371</v>
      </c>
      <c r="L62" s="10">
        <v>5124024</v>
      </c>
      <c r="M62" s="4">
        <v>2007</v>
      </c>
      <c r="N62" s="6" t="s">
        <v>374</v>
      </c>
      <c r="O62" t="s">
        <v>1199</v>
      </c>
      <c r="P62" s="23" t="s">
        <v>27</v>
      </c>
      <c r="Q62">
        <v>80</v>
      </c>
      <c r="R62" t="s">
        <v>78</v>
      </c>
      <c r="S62" t="s">
        <v>39</v>
      </c>
      <c r="T62" t="s">
        <v>478</v>
      </c>
      <c r="U62" t="s">
        <v>478</v>
      </c>
      <c r="V62" t="str">
        <f>IF(AND(ISNUMBER(L62),COUNTIF([1]Songs!$L:$L,L62)&gt;0),"YES","")</f>
        <v/>
      </c>
      <c r="W62" t="e">
        <f>IF(AND(ISNUMBER(L62),COUNTIF([2]Songs!$J:$J,L62)&gt;0),"YES","")</f>
        <v>#VALUE!</v>
      </c>
      <c r="X62" t="e">
        <f>IF(AND(ISNUMBER(L62),COUNTIF([3]CcliCombined!$D:$D,L62)&gt;0),"YES","")</f>
        <v>#VALUE!</v>
      </c>
      <c r="Y62" t="e">
        <f>IF(AND(ISNUMBER(L62),COUNTIF([4]Songs!$H:$H,L62)&gt;0),"YES","")</f>
        <v>#VALUE!</v>
      </c>
      <c r="Z62" t="s">
        <v>630</v>
      </c>
      <c r="AB62">
        <v>61</v>
      </c>
      <c r="AD62" t="str">
        <f t="shared" si="1"/>
        <v>Eb D D</v>
      </c>
    </row>
    <row r="63" spans="1:32" x14ac:dyDescent="0.25">
      <c r="A63">
        <f>INDEX(Albums!$A:$A, MATCH(C63,Albums!$C:$C,0))</f>
        <v>1</v>
      </c>
      <c r="B63">
        <f>INDEX(Albums!$B:$B, MATCH(C63,Albums!$C:$C,0))</f>
        <v>2014</v>
      </c>
      <c r="C63" t="s">
        <v>991</v>
      </c>
      <c r="D63">
        <v>2</v>
      </c>
      <c r="E63" t="s">
        <v>53</v>
      </c>
      <c r="F63" t="s">
        <v>23</v>
      </c>
      <c r="G63" s="28" t="s">
        <v>412</v>
      </c>
      <c r="H63" s="3" t="s">
        <v>36</v>
      </c>
      <c r="I63" s="3" t="s">
        <v>36</v>
      </c>
      <c r="J63" s="4">
        <v>75</v>
      </c>
      <c r="K63" s="5" t="s">
        <v>371</v>
      </c>
      <c r="L63" s="10">
        <v>4785835</v>
      </c>
      <c r="M63" s="4">
        <v>2006</v>
      </c>
      <c r="N63" s="4" t="s">
        <v>372</v>
      </c>
      <c r="O63" t="s">
        <v>1199</v>
      </c>
      <c r="P63" s="23" t="s">
        <v>24</v>
      </c>
      <c r="Q63">
        <v>73.5</v>
      </c>
      <c r="R63" t="s">
        <v>36</v>
      </c>
      <c r="S63" t="s">
        <v>36</v>
      </c>
      <c r="T63" t="s">
        <v>478</v>
      </c>
      <c r="U63" t="s">
        <v>478</v>
      </c>
      <c r="V63" t="str">
        <f>IF(AND(ISNUMBER(L63),COUNTIF([1]Songs!$L:$L,L63)&gt;0),"YES","")</f>
        <v>YES</v>
      </c>
      <c r="W63" t="e">
        <f>IF(AND(ISNUMBER(L63),COUNTIF([2]Songs!$J:$J,L63)&gt;0),"YES","")</f>
        <v>#VALUE!</v>
      </c>
      <c r="X63" t="e">
        <f>IF(AND(ISNUMBER(L63),COUNTIF([3]CcliCombined!$D:$D,L63)&gt;0),"YES","")</f>
        <v>#VALUE!</v>
      </c>
      <c r="Y63" t="e">
        <f>IF(AND(ISNUMBER(L63),COUNTIF([4]Songs!$H:$H,L63)&gt;0),"YES","")</f>
        <v>#VALUE!</v>
      </c>
      <c r="Z63" t="s">
        <v>630</v>
      </c>
      <c r="AB63">
        <v>62</v>
      </c>
      <c r="AD63" t="str">
        <f t="shared" si="1"/>
        <v>E</v>
      </c>
    </row>
    <row r="64" spans="1:32" x14ac:dyDescent="0.25">
      <c r="A64">
        <f>INDEX(Albums!$A:$A, MATCH(C64,Albums!$C:$C,0))</f>
        <v>1</v>
      </c>
      <c r="B64">
        <f>INDEX(Albums!$B:$B, MATCH(C64,Albums!$C:$C,0))</f>
        <v>2014</v>
      </c>
      <c r="C64" t="s">
        <v>991</v>
      </c>
      <c r="D64">
        <v>3</v>
      </c>
      <c r="E64" t="s">
        <v>125</v>
      </c>
      <c r="F64" t="s">
        <v>23</v>
      </c>
      <c r="G64" s="28" t="s">
        <v>413</v>
      </c>
      <c r="H64" s="3" t="s">
        <v>52</v>
      </c>
      <c r="I64" s="3" t="s">
        <v>52</v>
      </c>
      <c r="J64" s="4">
        <v>74</v>
      </c>
      <c r="K64" s="4" t="s">
        <v>371</v>
      </c>
      <c r="L64" s="10">
        <v>4591782</v>
      </c>
      <c r="M64" s="4">
        <v>2006</v>
      </c>
      <c r="N64" s="4" t="s">
        <v>372</v>
      </c>
      <c r="O64" t="s">
        <v>1199</v>
      </c>
      <c r="P64" s="23" t="s">
        <v>24</v>
      </c>
      <c r="Q64">
        <v>75</v>
      </c>
      <c r="R64" t="s">
        <v>47</v>
      </c>
      <c r="S64" t="s">
        <v>47</v>
      </c>
      <c r="T64" t="s">
        <v>478</v>
      </c>
      <c r="U64" t="s">
        <v>478</v>
      </c>
      <c r="V64" t="str">
        <f>IF(AND(ISNUMBER(L64),COUNTIF([1]Songs!$L:$L,L64)&gt;0),"YES","")</f>
        <v>YES</v>
      </c>
      <c r="W64" t="e">
        <f>IF(AND(ISNUMBER(L64),COUNTIF([2]Songs!$J:$J,L64)&gt;0),"YES","")</f>
        <v>#VALUE!</v>
      </c>
      <c r="X64" t="e">
        <f>IF(AND(ISNUMBER(L64),COUNTIF([3]CcliCombined!$D:$D,L64)&gt;0),"YES","")</f>
        <v>#VALUE!</v>
      </c>
      <c r="Y64" t="e">
        <f>IF(AND(ISNUMBER(L64),COUNTIF([4]Songs!$H:$H,L64)&gt;0),"YES","")</f>
        <v>#VALUE!</v>
      </c>
      <c r="Z64" t="s">
        <v>630</v>
      </c>
      <c r="AB64">
        <v>63</v>
      </c>
      <c r="AD64" t="str">
        <f t="shared" si="1"/>
        <v>A C</v>
      </c>
    </row>
    <row r="65" spans="1:32" x14ac:dyDescent="0.25">
      <c r="A65">
        <f>INDEX(Albums!$A:$A, MATCH(C65,Albums!$C:$C,0))</f>
        <v>1</v>
      </c>
      <c r="B65">
        <f>INDEX(Albums!$B:$B, MATCH(C65,Albums!$C:$C,0))</f>
        <v>2014</v>
      </c>
      <c r="C65" t="s">
        <v>991</v>
      </c>
      <c r="D65">
        <v>4</v>
      </c>
      <c r="E65" t="s">
        <v>126</v>
      </c>
      <c r="F65" t="s">
        <v>23</v>
      </c>
      <c r="G65" s="28" t="s">
        <v>1124</v>
      </c>
      <c r="I65" t="s">
        <v>28</v>
      </c>
      <c r="J65">
        <v>80</v>
      </c>
      <c r="K65" s="11" t="s">
        <v>371</v>
      </c>
      <c r="L65" s="10">
        <v>1383</v>
      </c>
      <c r="M65" s="4">
        <v>1976</v>
      </c>
      <c r="N65" t="s">
        <v>791</v>
      </c>
      <c r="O65" t="s">
        <v>1199</v>
      </c>
      <c r="P65" s="23" t="s">
        <v>127</v>
      </c>
      <c r="Q65">
        <v>68</v>
      </c>
      <c r="R65" t="s">
        <v>47</v>
      </c>
      <c r="S65" t="s">
        <v>47</v>
      </c>
      <c r="U65" t="s">
        <v>478</v>
      </c>
      <c r="V65" t="str">
        <f>IF(AND(ISNUMBER(L65),COUNTIF([1]Songs!$L:$L,L65)&gt;0),"YES","")</f>
        <v/>
      </c>
      <c r="W65" t="e">
        <f>IF(AND(ISNUMBER(L65),COUNTIF([2]Songs!$J:$J,L65)&gt;0),"YES","")</f>
        <v>#VALUE!</v>
      </c>
      <c r="X65" t="e">
        <f>IF(AND(ISNUMBER(L65),COUNTIF([3]CcliCombined!$D:$D,L65)&gt;0),"YES","")</f>
        <v>#VALUE!</v>
      </c>
      <c r="Y65" t="e">
        <f>IF(AND(ISNUMBER(L65),COUNTIF([4]Songs!$H:$H,L65)&gt;0),"YES","")</f>
        <v>#VALUE!</v>
      </c>
      <c r="Z65" t="s">
        <v>630</v>
      </c>
      <c r="AB65">
        <v>64</v>
      </c>
      <c r="AD65" t="str">
        <f t="shared" si="1"/>
        <v>Bb  C</v>
      </c>
    </row>
    <row r="66" spans="1:32" x14ac:dyDescent="0.25">
      <c r="A66">
        <f>INDEX(Albums!$A:$A, MATCH(C66,Albums!$C:$C,0))</f>
        <v>1</v>
      </c>
      <c r="B66">
        <f>INDEX(Albums!$B:$B, MATCH(C66,Albums!$C:$C,0))</f>
        <v>2014</v>
      </c>
      <c r="C66" t="s">
        <v>991</v>
      </c>
      <c r="D66">
        <v>5</v>
      </c>
      <c r="E66" t="s">
        <v>128</v>
      </c>
      <c r="F66" t="s">
        <v>23</v>
      </c>
      <c r="G66" s="28" t="s">
        <v>1120</v>
      </c>
      <c r="I66" t="s">
        <v>39</v>
      </c>
      <c r="J66">
        <v>120</v>
      </c>
      <c r="K66" s="11" t="s">
        <v>371</v>
      </c>
      <c r="L66" s="10">
        <v>5060793</v>
      </c>
      <c r="M66" s="4">
        <v>2008</v>
      </c>
      <c r="N66" t="s">
        <v>372</v>
      </c>
      <c r="O66" t="s">
        <v>1199</v>
      </c>
      <c r="P66" s="23" t="s">
        <v>24</v>
      </c>
      <c r="Q66">
        <v>109</v>
      </c>
      <c r="R66" t="s">
        <v>25</v>
      </c>
      <c r="S66" t="s">
        <v>25</v>
      </c>
      <c r="U66" t="s">
        <v>478</v>
      </c>
      <c r="V66" t="str">
        <f>IF(AND(ISNUMBER(L66),COUNTIF([1]Songs!$L:$L,L66)&gt;0),"YES","")</f>
        <v/>
      </c>
      <c r="W66" t="e">
        <f>IF(AND(ISNUMBER(L66),COUNTIF([2]Songs!$J:$J,L66)&gt;0),"YES","")</f>
        <v>#VALUE!</v>
      </c>
      <c r="X66" t="e">
        <f>IF(AND(ISNUMBER(L66),COUNTIF([3]CcliCombined!$D:$D,L66)&gt;0),"YES","")</f>
        <v>#VALUE!</v>
      </c>
      <c r="Y66" t="e">
        <f>IF(AND(ISNUMBER(L66),COUNTIF([4]Songs!$H:$H,L66)&gt;0),"YES","")</f>
        <v>#VALUE!</v>
      </c>
      <c r="Z66" t="s">
        <v>630</v>
      </c>
      <c r="AB66">
        <v>65</v>
      </c>
      <c r="AD66" t="str">
        <f t="shared" ref="AD66:AD97" si="2">I66
&amp;IF(H66=I66,""," "&amp;H66)
&amp;IF(OR(R66=I66,R66=H66),""," "&amp;R66)
&amp;IF(R66=S66,""," "&amp;S66)</f>
        <v>D  G</v>
      </c>
    </row>
    <row r="67" spans="1:32" x14ac:dyDescent="0.25">
      <c r="A67">
        <f>INDEX(Albums!$A:$A, MATCH(C67,Albums!$C:$C,0))</f>
        <v>1</v>
      </c>
      <c r="B67">
        <f>INDEX(Albums!$B:$B, MATCH(C67,Albums!$C:$C,0))</f>
        <v>2014</v>
      </c>
      <c r="C67" t="s">
        <v>991</v>
      </c>
      <c r="D67">
        <v>6</v>
      </c>
      <c r="E67" t="s">
        <v>129</v>
      </c>
      <c r="F67" t="s">
        <v>23</v>
      </c>
      <c r="G67" s="28" t="s">
        <v>1123</v>
      </c>
      <c r="I67" t="s">
        <v>36</v>
      </c>
      <c r="J67">
        <v>75</v>
      </c>
      <c r="K67" s="11" t="s">
        <v>371</v>
      </c>
      <c r="L67" s="10">
        <v>164361</v>
      </c>
      <c r="M67" s="4">
        <v>1988</v>
      </c>
      <c r="N67" t="s">
        <v>800</v>
      </c>
      <c r="O67" t="s">
        <v>1199</v>
      </c>
      <c r="P67" s="23" t="s">
        <v>130</v>
      </c>
      <c r="Q67">
        <v>65</v>
      </c>
      <c r="R67" t="s">
        <v>25</v>
      </c>
      <c r="S67" t="s">
        <v>25</v>
      </c>
      <c r="U67" t="s">
        <v>478</v>
      </c>
      <c r="V67" t="str">
        <f>IF(AND(ISNUMBER(L67),COUNTIF([1]Songs!$L:$L,L67)&gt;0),"YES","")</f>
        <v/>
      </c>
      <c r="W67" t="e">
        <f>IF(AND(ISNUMBER(L67),COUNTIF([2]Songs!$J:$J,L67)&gt;0),"YES","")</f>
        <v>#VALUE!</v>
      </c>
      <c r="X67" t="e">
        <f>IF(AND(ISNUMBER(L67),COUNTIF([3]CcliCombined!$D:$D,L67)&gt;0),"YES","")</f>
        <v>#VALUE!</v>
      </c>
      <c r="Y67" t="e">
        <f>IF(AND(ISNUMBER(L67),COUNTIF([4]Songs!$H:$H,L67)&gt;0),"YES","")</f>
        <v>#VALUE!</v>
      </c>
      <c r="Z67" t="s">
        <v>630</v>
      </c>
      <c r="AB67">
        <v>66</v>
      </c>
      <c r="AD67" t="str">
        <f t="shared" si="2"/>
        <v>E  G</v>
      </c>
    </row>
    <row r="68" spans="1:32" x14ac:dyDescent="0.25">
      <c r="A68">
        <f>INDEX(Albums!$A:$A, MATCH(C68,Albums!$C:$C,0))</f>
        <v>1</v>
      </c>
      <c r="B68">
        <f>INDEX(Albums!$B:$B, MATCH(C68,Albums!$C:$C,0))</f>
        <v>2014</v>
      </c>
      <c r="C68" t="s">
        <v>991</v>
      </c>
      <c r="D68">
        <v>7</v>
      </c>
      <c r="E68" t="s">
        <v>131</v>
      </c>
      <c r="F68" t="s">
        <v>23</v>
      </c>
      <c r="G68" s="28" t="s">
        <v>1121</v>
      </c>
      <c r="I68" t="s">
        <v>47</v>
      </c>
      <c r="J68">
        <v>136</v>
      </c>
      <c r="K68" s="11" t="s">
        <v>371</v>
      </c>
      <c r="L68" s="10">
        <v>5710744</v>
      </c>
      <c r="M68" s="4">
        <v>2010</v>
      </c>
      <c r="N68" t="s">
        <v>1122</v>
      </c>
      <c r="O68" t="s">
        <v>1199</v>
      </c>
      <c r="P68" s="23" t="s">
        <v>132</v>
      </c>
      <c r="Q68">
        <v>65</v>
      </c>
      <c r="R68" t="s">
        <v>52</v>
      </c>
      <c r="S68" t="s">
        <v>52</v>
      </c>
      <c r="U68" t="s">
        <v>478</v>
      </c>
      <c r="V68" t="str">
        <f>IF(AND(ISNUMBER(L68),COUNTIF([1]Songs!$L:$L,L68)&gt;0),"YES","")</f>
        <v/>
      </c>
      <c r="W68" t="e">
        <f>IF(AND(ISNUMBER(L68),COUNTIF([2]Songs!$J:$J,L68)&gt;0),"YES","")</f>
        <v>#VALUE!</v>
      </c>
      <c r="X68" t="e">
        <f>IF(AND(ISNUMBER(L68),COUNTIF([3]CcliCombined!$D:$D,L68)&gt;0),"YES","")</f>
        <v>#VALUE!</v>
      </c>
      <c r="Y68" t="e">
        <f>IF(AND(ISNUMBER(L68),COUNTIF([4]Songs!$H:$H,L68)&gt;0),"YES","")</f>
        <v>#VALUE!</v>
      </c>
      <c r="Z68" t="s">
        <v>630</v>
      </c>
      <c r="AB68">
        <v>67</v>
      </c>
      <c r="AD68" t="str">
        <f t="shared" si="2"/>
        <v>C  A</v>
      </c>
    </row>
    <row r="69" spans="1:32" hidden="1" x14ac:dyDescent="0.25">
      <c r="A69">
        <f>INDEX(Albums!$A:$A, MATCH(C69,Albums!$C:$C,0))</f>
        <v>1</v>
      </c>
      <c r="B69">
        <f>INDEX(Albums!$B:$B, MATCH(C69,Albums!$C:$C,0))</f>
        <v>2014</v>
      </c>
      <c r="C69" t="s">
        <v>991</v>
      </c>
      <c r="D69">
        <v>8</v>
      </c>
      <c r="E69" t="s">
        <v>133</v>
      </c>
      <c r="F69" t="s">
        <v>23</v>
      </c>
      <c r="G69" s="28" t="s">
        <v>1104</v>
      </c>
      <c r="L69" s="10">
        <v>5627758</v>
      </c>
      <c r="M69" s="4">
        <v>2009</v>
      </c>
      <c r="N69" t="s">
        <v>956</v>
      </c>
      <c r="P69" s="23" t="s">
        <v>70</v>
      </c>
      <c r="Q69">
        <v>124</v>
      </c>
      <c r="R69" t="s">
        <v>67</v>
      </c>
      <c r="S69" t="s">
        <v>25</v>
      </c>
      <c r="V69" t="str">
        <f>IF(AND(ISNUMBER(L69),COUNTIF([1]Songs!$L:$L,L69)&gt;0),"YES","")</f>
        <v/>
      </c>
      <c r="W69" t="e">
        <f>IF(AND(ISNUMBER(L69),COUNTIF([2]Songs!$J:$J,L69)&gt;0),"YES","")</f>
        <v>#VALUE!</v>
      </c>
      <c r="X69" t="e">
        <f>IF(AND(ISNUMBER(L69),COUNTIF([3]CcliCombined!$D:$D,L69)&gt;0),"YES","")</f>
        <v>#VALUE!</v>
      </c>
      <c r="Y69" t="e">
        <f>IF(AND(ISNUMBER(L69),COUNTIF([4]Songs!$H:$H,L69)&gt;0),"YES","")</f>
        <v>#VALUE!</v>
      </c>
      <c r="Z69" t="s">
        <v>630</v>
      </c>
      <c r="AA69" t="s">
        <v>1196</v>
      </c>
      <c r="AB69">
        <v>68</v>
      </c>
      <c r="AC69" t="s">
        <v>1032</v>
      </c>
      <c r="AD69" t="str">
        <f t="shared" si="2"/>
        <v xml:space="preserve"> Ab G</v>
      </c>
      <c r="AF69" t="s">
        <v>1197</v>
      </c>
    </row>
    <row r="70" spans="1:32" x14ac:dyDescent="0.25">
      <c r="A70">
        <f>INDEX(Albums!$A:$A, MATCH(C70,Albums!$C:$C,0))</f>
        <v>1</v>
      </c>
      <c r="B70">
        <f>INDEX(Albums!$B:$B, MATCH(C70,Albums!$C:$C,0))</f>
        <v>2014</v>
      </c>
      <c r="C70" t="s">
        <v>991</v>
      </c>
      <c r="D70">
        <v>9</v>
      </c>
      <c r="E70" t="s">
        <v>134</v>
      </c>
      <c r="F70" t="s">
        <v>23</v>
      </c>
      <c r="G70" s="28" t="s">
        <v>846</v>
      </c>
      <c r="H70" s="3" t="s">
        <v>52</v>
      </c>
      <c r="I70" s="3" t="s">
        <v>28</v>
      </c>
      <c r="J70" s="4">
        <v>100</v>
      </c>
      <c r="K70" s="5" t="s">
        <v>371</v>
      </c>
      <c r="L70" s="10">
        <v>4556538</v>
      </c>
      <c r="M70" s="4">
        <v>2005</v>
      </c>
      <c r="N70" s="4" t="s">
        <v>381</v>
      </c>
      <c r="O70" t="s">
        <v>1199</v>
      </c>
      <c r="P70" s="23" t="s">
        <v>135</v>
      </c>
      <c r="Q70">
        <v>113</v>
      </c>
      <c r="R70" t="s">
        <v>31</v>
      </c>
      <c r="S70" t="s">
        <v>31</v>
      </c>
      <c r="U70" t="s">
        <v>478</v>
      </c>
      <c r="V70" t="str">
        <f>IF(AND(ISNUMBER(L70),COUNTIF([1]Songs!$L:$L,L70)&gt;0),"YES","")</f>
        <v>YES</v>
      </c>
      <c r="W70" t="e">
        <f>IF(AND(ISNUMBER(L70),COUNTIF([2]Songs!$J:$J,L70)&gt;0),"YES","")</f>
        <v>#VALUE!</v>
      </c>
      <c r="X70" t="e">
        <f>IF(AND(ISNUMBER(L70),COUNTIF([3]CcliCombined!$D:$D,L70)&gt;0),"YES","")</f>
        <v>#VALUE!</v>
      </c>
      <c r="Y70" t="e">
        <f>IF(AND(ISNUMBER(L70),COUNTIF([4]Songs!$H:$H,L70)&gt;0),"YES","")</f>
        <v>#VALUE!</v>
      </c>
      <c r="Z70" t="s">
        <v>630</v>
      </c>
      <c r="AB70">
        <v>69</v>
      </c>
      <c r="AD70" t="str">
        <f t="shared" si="2"/>
        <v>Bb A B</v>
      </c>
    </row>
    <row r="71" spans="1:32" x14ac:dyDescent="0.25">
      <c r="A71">
        <f>INDEX(Albums!$A:$A, MATCH(C71,Albums!$C:$C,0))</f>
        <v>1</v>
      </c>
      <c r="B71">
        <f>INDEX(Albums!$B:$B, MATCH(C71,Albums!$C:$C,0))</f>
        <v>2014</v>
      </c>
      <c r="C71" t="s">
        <v>991</v>
      </c>
      <c r="D71">
        <v>10</v>
      </c>
      <c r="E71" t="s">
        <v>136</v>
      </c>
      <c r="F71" t="s">
        <v>23</v>
      </c>
      <c r="G71" s="28" t="s">
        <v>1120</v>
      </c>
      <c r="I71" t="s">
        <v>31</v>
      </c>
      <c r="J71">
        <v>75</v>
      </c>
      <c r="K71" s="11" t="s">
        <v>371</v>
      </c>
      <c r="L71" s="10">
        <v>5409079</v>
      </c>
      <c r="M71" s="4">
        <v>2009</v>
      </c>
      <c r="N71" t="s">
        <v>372</v>
      </c>
      <c r="O71" t="s">
        <v>1199</v>
      </c>
      <c r="P71" s="23" t="s">
        <v>24</v>
      </c>
      <c r="Q71">
        <v>68</v>
      </c>
      <c r="R71" t="s">
        <v>31</v>
      </c>
      <c r="S71" t="s">
        <v>31</v>
      </c>
      <c r="U71" t="s">
        <v>478</v>
      </c>
      <c r="V71" t="str">
        <f>IF(AND(ISNUMBER(L71),COUNTIF([1]Songs!$L:$L,L71)&gt;0),"YES","")</f>
        <v/>
      </c>
      <c r="W71" t="e">
        <f>IF(AND(ISNUMBER(L71),COUNTIF([2]Songs!$J:$J,L71)&gt;0),"YES","")</f>
        <v>#VALUE!</v>
      </c>
      <c r="X71" t="e">
        <f>IF(AND(ISNUMBER(L71),COUNTIF([3]CcliCombined!$D:$D,L71)&gt;0),"YES","")</f>
        <v>#VALUE!</v>
      </c>
      <c r="Y71" t="e">
        <f>IF(AND(ISNUMBER(L71),COUNTIF([4]Songs!$H:$H,L71)&gt;0),"YES","")</f>
        <v>#VALUE!</v>
      </c>
      <c r="Z71" t="s">
        <v>630</v>
      </c>
      <c r="AB71">
        <v>70</v>
      </c>
      <c r="AD71" t="str">
        <f t="shared" si="2"/>
        <v xml:space="preserve">B </v>
      </c>
    </row>
    <row r="72" spans="1:32" x14ac:dyDescent="0.25">
      <c r="A72">
        <f>INDEX(Albums!$A:$A, MATCH(C72,Albums!$C:$C,0))</f>
        <v>1</v>
      </c>
      <c r="B72">
        <f>INDEX(Albums!$B:$B, MATCH(C72,Albums!$C:$C,0))</f>
        <v>2014</v>
      </c>
      <c r="C72" t="s">
        <v>992</v>
      </c>
      <c r="D72">
        <v>1</v>
      </c>
      <c r="E72" t="s">
        <v>137</v>
      </c>
      <c r="F72" t="s">
        <v>23</v>
      </c>
      <c r="G72" s="28" t="s">
        <v>414</v>
      </c>
      <c r="H72" s="3" t="s">
        <v>52</v>
      </c>
      <c r="I72" s="3" t="s">
        <v>52</v>
      </c>
      <c r="J72" s="4">
        <v>77</v>
      </c>
      <c r="K72" s="5" t="s">
        <v>371</v>
      </c>
      <c r="L72" s="10">
        <v>4705248</v>
      </c>
      <c r="M72" s="4">
        <v>2005</v>
      </c>
      <c r="N72" s="4" t="s">
        <v>372</v>
      </c>
      <c r="O72" t="s">
        <v>1199</v>
      </c>
      <c r="P72" s="23" t="s">
        <v>24</v>
      </c>
      <c r="Q72">
        <v>74</v>
      </c>
      <c r="R72" t="s">
        <v>31</v>
      </c>
      <c r="S72" t="s">
        <v>31</v>
      </c>
      <c r="U72" t="s">
        <v>478</v>
      </c>
      <c r="V72" t="str">
        <f>IF(AND(ISNUMBER(L72),COUNTIF([1]Songs!$L:$L,L72)&gt;0),"YES","")</f>
        <v>YES</v>
      </c>
      <c r="W72" t="e">
        <f>IF(AND(ISNUMBER(L72),COUNTIF([2]Songs!$J:$J,L72)&gt;0),"YES","")</f>
        <v>#VALUE!</v>
      </c>
      <c r="X72" t="e">
        <f>IF(AND(ISNUMBER(L72),COUNTIF([3]CcliCombined!$D:$D,L72)&gt;0),"YES","")</f>
        <v>#VALUE!</v>
      </c>
      <c r="Y72" t="e">
        <f>IF(AND(ISNUMBER(L72),COUNTIF([4]Songs!$H:$H,L72)&gt;0),"YES","")</f>
        <v>#VALUE!</v>
      </c>
      <c r="Z72" t="s">
        <v>630</v>
      </c>
      <c r="AB72">
        <v>71</v>
      </c>
      <c r="AD72" t="str">
        <f t="shared" si="2"/>
        <v>A B</v>
      </c>
    </row>
    <row r="73" spans="1:32" x14ac:dyDescent="0.25">
      <c r="A73">
        <f>INDEX(Albums!$A:$A, MATCH(C73,Albums!$C:$C,0))</f>
        <v>1</v>
      </c>
      <c r="B73">
        <f>INDEX(Albums!$B:$B, MATCH(C73,Albums!$C:$C,0))</f>
        <v>2014</v>
      </c>
      <c r="C73" t="s">
        <v>992</v>
      </c>
      <c r="D73">
        <v>2</v>
      </c>
      <c r="E73" t="s">
        <v>138</v>
      </c>
      <c r="F73" t="s">
        <v>23</v>
      </c>
      <c r="G73" s="28" t="s">
        <v>850</v>
      </c>
      <c r="H73" s="3" t="s">
        <v>25</v>
      </c>
      <c r="I73" s="3" t="s">
        <v>28</v>
      </c>
      <c r="J73" s="4">
        <v>60</v>
      </c>
      <c r="K73" s="5" t="s">
        <v>425</v>
      </c>
      <c r="L73" s="9">
        <v>4403076</v>
      </c>
      <c r="M73" s="4">
        <v>2004</v>
      </c>
      <c r="N73" s="6" t="s">
        <v>851</v>
      </c>
      <c r="O73" t="s">
        <v>1199</v>
      </c>
      <c r="P73" s="23" t="s">
        <v>46</v>
      </c>
      <c r="Q73">
        <v>90</v>
      </c>
      <c r="R73" t="s">
        <v>31</v>
      </c>
      <c r="S73" t="s">
        <v>31</v>
      </c>
      <c r="U73" t="s">
        <v>478</v>
      </c>
      <c r="V73" t="str">
        <f>IF(AND(ISNUMBER(L73),COUNTIF([1]Songs!$L:$L,L73)&gt;0),"YES","")</f>
        <v>YES</v>
      </c>
      <c r="W73" t="e">
        <f>IF(AND(ISNUMBER(L73),COUNTIF([2]Songs!$J:$J,L73)&gt;0),"YES","")</f>
        <v>#VALUE!</v>
      </c>
      <c r="X73" t="e">
        <f>IF(AND(ISNUMBER(L73),COUNTIF([3]CcliCombined!$D:$D,L73)&gt;0),"YES","")</f>
        <v>#VALUE!</v>
      </c>
      <c r="Y73" t="e">
        <f>IF(AND(ISNUMBER(L73),COUNTIF([4]Songs!$H:$H,L73)&gt;0),"YES","")</f>
        <v>#VALUE!</v>
      </c>
      <c r="Z73" t="s">
        <v>630</v>
      </c>
      <c r="AB73">
        <v>72</v>
      </c>
      <c r="AD73" t="str">
        <f t="shared" si="2"/>
        <v>Bb G B</v>
      </c>
    </row>
    <row r="74" spans="1:32" x14ac:dyDescent="0.25">
      <c r="A74">
        <f>INDEX(Albums!$A:$A, MATCH(C74,Albums!$C:$C,0))</f>
        <v>1</v>
      </c>
      <c r="B74">
        <f>INDEX(Albums!$B:$B, MATCH(C74,Albums!$C:$C,0))</f>
        <v>2014</v>
      </c>
      <c r="C74" t="s">
        <v>992</v>
      </c>
      <c r="D74">
        <v>3</v>
      </c>
      <c r="E74" t="s">
        <v>139</v>
      </c>
      <c r="F74" t="s">
        <v>23</v>
      </c>
      <c r="G74" s="28" t="s">
        <v>1119</v>
      </c>
      <c r="I74" t="s">
        <v>25</v>
      </c>
      <c r="J74">
        <v>76</v>
      </c>
      <c r="K74" s="11" t="s">
        <v>371</v>
      </c>
      <c r="L74" s="10">
        <v>1866132</v>
      </c>
      <c r="M74" s="4">
        <v>1995</v>
      </c>
      <c r="N74" t="s">
        <v>372</v>
      </c>
      <c r="O74" t="s">
        <v>1199</v>
      </c>
      <c r="P74" s="23" t="s">
        <v>24</v>
      </c>
      <c r="Q74">
        <v>70</v>
      </c>
      <c r="R74" t="s">
        <v>31</v>
      </c>
      <c r="S74" t="s">
        <v>31</v>
      </c>
      <c r="U74" t="s">
        <v>478</v>
      </c>
      <c r="V74" t="str">
        <f>IF(AND(ISNUMBER(L74),COUNTIF([1]Songs!$L:$L,L74)&gt;0),"YES","")</f>
        <v/>
      </c>
      <c r="W74" t="e">
        <f>IF(AND(ISNUMBER(L74),COUNTIF([2]Songs!$J:$J,L74)&gt;0),"YES","")</f>
        <v>#VALUE!</v>
      </c>
      <c r="X74" t="e">
        <f>IF(AND(ISNUMBER(L74),COUNTIF([3]CcliCombined!$D:$D,L74)&gt;0),"YES","")</f>
        <v>#VALUE!</v>
      </c>
      <c r="Y74" t="e">
        <f>IF(AND(ISNUMBER(L74),COUNTIF([4]Songs!$H:$H,L74)&gt;0),"YES","")</f>
        <v>#VALUE!</v>
      </c>
      <c r="Z74" t="s">
        <v>630</v>
      </c>
      <c r="AB74">
        <v>73</v>
      </c>
      <c r="AD74" t="str">
        <f t="shared" si="2"/>
        <v>G  B</v>
      </c>
    </row>
    <row r="75" spans="1:32" x14ac:dyDescent="0.25">
      <c r="A75">
        <f>INDEX(Albums!$A:$A, MATCH(C75,Albums!$C:$C,0))</f>
        <v>1</v>
      </c>
      <c r="B75">
        <f>INDEX(Albums!$B:$B, MATCH(C75,Albums!$C:$C,0))</f>
        <v>2014</v>
      </c>
      <c r="C75" t="s">
        <v>992</v>
      </c>
      <c r="D75">
        <v>4</v>
      </c>
      <c r="E75" t="s">
        <v>140</v>
      </c>
      <c r="F75" t="s">
        <v>23</v>
      </c>
      <c r="G75" s="28" t="s">
        <v>1118</v>
      </c>
      <c r="I75" t="s">
        <v>31</v>
      </c>
      <c r="J75">
        <v>80</v>
      </c>
      <c r="K75" s="11" t="s">
        <v>371</v>
      </c>
      <c r="L75" s="10">
        <v>4329411</v>
      </c>
      <c r="M75" s="4">
        <v>2004</v>
      </c>
      <c r="N75" t="s">
        <v>381</v>
      </c>
      <c r="O75" t="s">
        <v>1199</v>
      </c>
      <c r="P75" s="23" t="s">
        <v>43</v>
      </c>
      <c r="Q75">
        <v>77</v>
      </c>
      <c r="R75" t="s">
        <v>47</v>
      </c>
      <c r="S75" t="s">
        <v>47</v>
      </c>
      <c r="U75" t="s">
        <v>478</v>
      </c>
      <c r="V75" t="str">
        <f>IF(AND(ISNUMBER(L75),COUNTIF([1]Songs!$L:$L,L75)&gt;0),"YES","")</f>
        <v/>
      </c>
      <c r="W75" t="e">
        <f>IF(AND(ISNUMBER(L75),COUNTIF([2]Songs!$J:$J,L75)&gt;0),"YES","")</f>
        <v>#VALUE!</v>
      </c>
      <c r="X75" t="e">
        <f>IF(AND(ISNUMBER(L75),COUNTIF([3]CcliCombined!$D:$D,L75)&gt;0),"YES","")</f>
        <v>#VALUE!</v>
      </c>
      <c r="Y75" t="e">
        <f>IF(AND(ISNUMBER(L75),COUNTIF([4]Songs!$H:$H,L75)&gt;0),"YES","")</f>
        <v>#VALUE!</v>
      </c>
      <c r="Z75" t="s">
        <v>630</v>
      </c>
      <c r="AB75">
        <v>74</v>
      </c>
      <c r="AD75" t="str">
        <f t="shared" si="2"/>
        <v>B  C</v>
      </c>
    </row>
    <row r="76" spans="1:32" x14ac:dyDescent="0.25">
      <c r="A76">
        <f>INDEX(Albums!$A:$A, MATCH(C76,Albums!$C:$C,0))</f>
        <v>1</v>
      </c>
      <c r="B76">
        <f>INDEX(Albums!$B:$B, MATCH(C76,Albums!$C:$C,0))</f>
        <v>2014</v>
      </c>
      <c r="C76" t="s">
        <v>992</v>
      </c>
      <c r="D76">
        <v>5</v>
      </c>
      <c r="E76" t="s">
        <v>141</v>
      </c>
      <c r="F76" t="s">
        <v>23</v>
      </c>
      <c r="G76" s="28" t="s">
        <v>1117</v>
      </c>
      <c r="I76" t="s">
        <v>25</v>
      </c>
      <c r="J76">
        <v>55</v>
      </c>
      <c r="K76" s="11" t="s">
        <v>425</v>
      </c>
      <c r="L76" s="10">
        <v>4447984</v>
      </c>
      <c r="M76" s="4">
        <v>2004</v>
      </c>
      <c r="N76" t="s">
        <v>408</v>
      </c>
      <c r="O76" t="s">
        <v>1199</v>
      </c>
      <c r="P76" s="23" t="s">
        <v>113</v>
      </c>
      <c r="Q76">
        <v>81</v>
      </c>
      <c r="R76" t="s">
        <v>47</v>
      </c>
      <c r="S76" t="s">
        <v>47</v>
      </c>
      <c r="U76" t="s">
        <v>478</v>
      </c>
      <c r="V76" t="str">
        <f>IF(AND(ISNUMBER(L76),COUNTIF([1]Songs!$L:$L,L76)&gt;0),"YES","")</f>
        <v/>
      </c>
      <c r="W76" t="e">
        <f>IF(AND(ISNUMBER(L76),COUNTIF([2]Songs!$J:$J,L76)&gt;0),"YES","")</f>
        <v>#VALUE!</v>
      </c>
      <c r="X76" t="e">
        <f>IF(AND(ISNUMBER(L76),COUNTIF([3]CcliCombined!$D:$D,L76)&gt;0),"YES","")</f>
        <v>#VALUE!</v>
      </c>
      <c r="Y76" t="e">
        <f>IF(AND(ISNUMBER(L76),COUNTIF([4]Songs!$H:$H,L76)&gt;0),"YES","")</f>
        <v>#VALUE!</v>
      </c>
      <c r="Z76" t="s">
        <v>630</v>
      </c>
      <c r="AB76">
        <v>75</v>
      </c>
      <c r="AD76" t="str">
        <f t="shared" si="2"/>
        <v>G  C</v>
      </c>
    </row>
    <row r="77" spans="1:32" x14ac:dyDescent="0.25">
      <c r="A77">
        <f>INDEX(Albums!$A:$A, MATCH(C77,Albums!$C:$C,0))</f>
        <v>1</v>
      </c>
      <c r="B77">
        <f>INDEX(Albums!$B:$B, MATCH(C77,Albums!$C:$C,0))</f>
        <v>2014</v>
      </c>
      <c r="C77" t="s">
        <v>992</v>
      </c>
      <c r="D77">
        <v>6</v>
      </c>
      <c r="E77" t="s">
        <v>142</v>
      </c>
      <c r="F77" t="s">
        <v>23</v>
      </c>
      <c r="G77" s="28" t="s">
        <v>1148</v>
      </c>
      <c r="I77" t="s">
        <v>31</v>
      </c>
      <c r="J77">
        <v>76</v>
      </c>
      <c r="K77" s="11" t="s">
        <v>371</v>
      </c>
      <c r="L77" s="10">
        <v>4674166</v>
      </c>
      <c r="M77" s="4">
        <v>2005</v>
      </c>
      <c r="N77" t="s">
        <v>381</v>
      </c>
      <c r="O77" t="s">
        <v>1199</v>
      </c>
      <c r="P77" s="23" t="s">
        <v>43</v>
      </c>
      <c r="Q77">
        <v>80</v>
      </c>
      <c r="R77" t="s">
        <v>47</v>
      </c>
      <c r="S77" t="s">
        <v>47</v>
      </c>
      <c r="U77" t="s">
        <v>478</v>
      </c>
      <c r="V77" t="str">
        <f>IF(AND(ISNUMBER(L77),COUNTIF([1]Songs!$L:$L,L77)&gt;0),"YES","")</f>
        <v/>
      </c>
      <c r="W77" t="e">
        <f>IF(AND(ISNUMBER(L77),COUNTIF([2]Songs!$J:$J,L77)&gt;0),"YES","")</f>
        <v>#VALUE!</v>
      </c>
      <c r="X77" t="e">
        <f>IF(AND(ISNUMBER(L77),COUNTIF([3]CcliCombined!$D:$D,L77)&gt;0),"YES","")</f>
        <v>#VALUE!</v>
      </c>
      <c r="Y77" t="e">
        <f>IF(AND(ISNUMBER(L77),COUNTIF([4]Songs!$H:$H,L77)&gt;0),"YES","")</f>
        <v>#VALUE!</v>
      </c>
      <c r="Z77" t="s">
        <v>630</v>
      </c>
      <c r="AB77">
        <v>76</v>
      </c>
      <c r="AD77" t="str">
        <f t="shared" si="2"/>
        <v>B  C</v>
      </c>
    </row>
    <row r="78" spans="1:32" x14ac:dyDescent="0.25">
      <c r="A78">
        <f>INDEX(Albums!$A:$A, MATCH(C78,Albums!$C:$C,0))</f>
        <v>1</v>
      </c>
      <c r="B78">
        <f>INDEX(Albums!$B:$B, MATCH(C78,Albums!$C:$C,0))</f>
        <v>2014</v>
      </c>
      <c r="C78" t="s">
        <v>992</v>
      </c>
      <c r="D78">
        <v>7</v>
      </c>
      <c r="E78" t="s">
        <v>143</v>
      </c>
      <c r="F78" t="s">
        <v>23</v>
      </c>
      <c r="G78" s="28" t="s">
        <v>1149</v>
      </c>
      <c r="I78" t="s">
        <v>52</v>
      </c>
      <c r="J78">
        <v>77</v>
      </c>
      <c r="K78" s="11" t="s">
        <v>371</v>
      </c>
      <c r="L78" s="10">
        <v>3599479</v>
      </c>
      <c r="M78" s="4">
        <v>2002</v>
      </c>
      <c r="N78" t="s">
        <v>378</v>
      </c>
      <c r="O78" t="s">
        <v>1199</v>
      </c>
      <c r="P78" s="23" t="s">
        <v>46</v>
      </c>
      <c r="Q78">
        <v>75</v>
      </c>
      <c r="R78" t="s">
        <v>25</v>
      </c>
      <c r="S78" t="s">
        <v>25</v>
      </c>
      <c r="U78" t="s">
        <v>478</v>
      </c>
      <c r="V78" t="str">
        <f>IF(AND(ISNUMBER(L78),COUNTIF([1]Songs!$L:$L,L78)&gt;0),"YES","")</f>
        <v/>
      </c>
      <c r="W78" t="e">
        <f>IF(AND(ISNUMBER(L78),COUNTIF([2]Songs!$J:$J,L78)&gt;0),"YES","")</f>
        <v>#VALUE!</v>
      </c>
      <c r="X78" t="e">
        <f>IF(AND(ISNUMBER(L78),COUNTIF([3]CcliCombined!$D:$D,L78)&gt;0),"YES","")</f>
        <v>#VALUE!</v>
      </c>
      <c r="Y78" t="e">
        <f>IF(AND(ISNUMBER(L78),COUNTIF([4]Songs!$H:$H,L78)&gt;0),"YES","")</f>
        <v>#VALUE!</v>
      </c>
      <c r="Z78" t="s">
        <v>630</v>
      </c>
      <c r="AB78">
        <v>77</v>
      </c>
      <c r="AD78" t="str">
        <f t="shared" si="2"/>
        <v>A  G</v>
      </c>
    </row>
    <row r="79" spans="1:32" x14ac:dyDescent="0.25">
      <c r="A79">
        <f>INDEX(Albums!$A:$A, MATCH(C79,Albums!$C:$C,0))</f>
        <v>1</v>
      </c>
      <c r="B79">
        <f>INDEX(Albums!$B:$B, MATCH(C79,Albums!$C:$C,0))</f>
        <v>2014</v>
      </c>
      <c r="C79" t="s">
        <v>992</v>
      </c>
      <c r="D79">
        <v>8</v>
      </c>
      <c r="E79" t="s">
        <v>144</v>
      </c>
      <c r="F79" t="s">
        <v>145</v>
      </c>
      <c r="G79" s="28" t="s">
        <v>415</v>
      </c>
      <c r="H79" s="3" t="s">
        <v>176</v>
      </c>
      <c r="I79" s="3" t="s">
        <v>176</v>
      </c>
      <c r="J79" s="4">
        <v>60</v>
      </c>
      <c r="K79" s="4" t="s">
        <v>371</v>
      </c>
      <c r="L79" s="10">
        <v>4768151</v>
      </c>
      <c r="M79" s="4">
        <v>2006</v>
      </c>
      <c r="N79" s="6" t="s">
        <v>378</v>
      </c>
      <c r="O79" t="s">
        <v>1199</v>
      </c>
      <c r="P79" s="23" t="s">
        <v>46</v>
      </c>
      <c r="Q79">
        <v>63</v>
      </c>
      <c r="R79" t="s">
        <v>25</v>
      </c>
      <c r="S79" t="s">
        <v>25</v>
      </c>
      <c r="U79" t="s">
        <v>478</v>
      </c>
      <c r="V79" t="str">
        <f>IF(AND(ISNUMBER(L79),COUNTIF([1]Songs!$L:$L,L79)&gt;0),"YES","")</f>
        <v>YES</v>
      </c>
      <c r="W79" t="e">
        <f>IF(AND(ISNUMBER(L79),COUNTIF([2]Songs!$J:$J,L79)&gt;0),"YES","")</f>
        <v>#VALUE!</v>
      </c>
      <c r="X79" t="e">
        <f>IF(AND(ISNUMBER(L79),COUNTIF([3]CcliCombined!$D:$D,L79)&gt;0),"YES","")</f>
        <v>#VALUE!</v>
      </c>
      <c r="Y79" t="e">
        <f>IF(AND(ISNUMBER(L79),COUNTIF([4]Songs!$H:$H,L79)&gt;0),"YES","")</f>
        <v>#VALUE!</v>
      </c>
      <c r="Z79" t="s">
        <v>630</v>
      </c>
      <c r="AB79">
        <v>78</v>
      </c>
      <c r="AD79" t="str">
        <f t="shared" si="2"/>
        <v>F G</v>
      </c>
    </row>
    <row r="80" spans="1:32" x14ac:dyDescent="0.25">
      <c r="A80">
        <f>INDEX(Albums!$A:$A, MATCH(C80,Albums!$C:$C,0))</f>
        <v>1</v>
      </c>
      <c r="B80">
        <f>INDEX(Albums!$B:$B, MATCH(C80,Albums!$C:$C,0))</f>
        <v>2014</v>
      </c>
      <c r="C80" t="s">
        <v>992</v>
      </c>
      <c r="D80">
        <v>9</v>
      </c>
      <c r="E80" t="s">
        <v>146</v>
      </c>
      <c r="F80" t="s">
        <v>23</v>
      </c>
      <c r="G80" s="28" t="s">
        <v>1150</v>
      </c>
      <c r="I80" t="s">
        <v>28</v>
      </c>
      <c r="J80">
        <v>120</v>
      </c>
      <c r="K80" s="11" t="s">
        <v>371</v>
      </c>
      <c r="L80" s="10">
        <v>5553530</v>
      </c>
      <c r="M80" s="4">
        <v>2009</v>
      </c>
      <c r="N80" t="s">
        <v>381</v>
      </c>
      <c r="O80" t="s">
        <v>1199</v>
      </c>
      <c r="P80" s="23" t="s">
        <v>33</v>
      </c>
      <c r="Q80">
        <v>120</v>
      </c>
      <c r="R80" t="s">
        <v>52</v>
      </c>
      <c r="S80" t="s">
        <v>52</v>
      </c>
      <c r="U80" t="s">
        <v>478</v>
      </c>
      <c r="V80" t="str">
        <f>IF(AND(ISNUMBER(L80),COUNTIF([1]Songs!$L:$L,L80)&gt;0),"YES","")</f>
        <v/>
      </c>
      <c r="W80" t="e">
        <f>IF(AND(ISNUMBER(L80),COUNTIF([2]Songs!$J:$J,L80)&gt;0),"YES","")</f>
        <v>#VALUE!</v>
      </c>
      <c r="X80" t="e">
        <f>IF(AND(ISNUMBER(L80),COUNTIF([3]CcliCombined!$D:$D,L80)&gt;0),"YES","")</f>
        <v>#VALUE!</v>
      </c>
      <c r="Y80" t="e">
        <f>IF(AND(ISNUMBER(L80),COUNTIF([4]Songs!$H:$H,L80)&gt;0),"YES","")</f>
        <v>#VALUE!</v>
      </c>
      <c r="Z80" t="s">
        <v>630</v>
      </c>
      <c r="AB80">
        <v>79</v>
      </c>
      <c r="AD80" t="str">
        <f t="shared" si="2"/>
        <v>Bb  A</v>
      </c>
    </row>
    <row r="81" spans="1:32" x14ac:dyDescent="0.25">
      <c r="A81">
        <f>INDEX(Albums!$A:$A, MATCH(C81,Albums!$C:$C,0))</f>
        <v>1</v>
      </c>
      <c r="B81">
        <f>INDEX(Albums!$B:$B, MATCH(C81,Albums!$C:$C,0))</f>
        <v>2014</v>
      </c>
      <c r="C81" t="s">
        <v>992</v>
      </c>
      <c r="D81">
        <v>10</v>
      </c>
      <c r="E81" t="s">
        <v>147</v>
      </c>
      <c r="F81" t="s">
        <v>23</v>
      </c>
      <c r="G81" s="28" t="s">
        <v>1104</v>
      </c>
      <c r="I81" t="s">
        <v>52</v>
      </c>
      <c r="J81">
        <v>58</v>
      </c>
      <c r="K81" s="11" t="s">
        <v>462</v>
      </c>
      <c r="L81" s="10">
        <v>4325556</v>
      </c>
      <c r="M81" s="4">
        <v>2004</v>
      </c>
      <c r="N81" t="s">
        <v>956</v>
      </c>
      <c r="O81" t="s">
        <v>1199</v>
      </c>
      <c r="P81" s="23" t="s">
        <v>70</v>
      </c>
      <c r="Q81">
        <v>58</v>
      </c>
      <c r="R81" t="s">
        <v>84</v>
      </c>
      <c r="S81" t="s">
        <v>176</v>
      </c>
      <c r="U81" t="s">
        <v>478</v>
      </c>
      <c r="V81" t="str">
        <f>IF(AND(ISNUMBER(L81),COUNTIF([1]Songs!$L:$L,L81)&gt;0),"YES","")</f>
        <v/>
      </c>
      <c r="W81" t="e">
        <f>IF(AND(ISNUMBER(L81),COUNTIF([2]Songs!$J:$J,L81)&gt;0),"YES","")</f>
        <v>#VALUE!</v>
      </c>
      <c r="X81" t="e">
        <f>IF(AND(ISNUMBER(L81),COUNTIF([3]CcliCombined!$D:$D,L81)&gt;0),"YES","")</f>
        <v>#VALUE!</v>
      </c>
      <c r="Y81" t="e">
        <f>IF(AND(ISNUMBER(L81),COUNTIF([4]Songs!$H:$H,L81)&gt;0),"YES","")</f>
        <v>#VALUE!</v>
      </c>
      <c r="Z81" t="s">
        <v>630</v>
      </c>
      <c r="AA81" t="s">
        <v>1196</v>
      </c>
      <c r="AB81">
        <v>80</v>
      </c>
      <c r="AD81" t="str">
        <f t="shared" si="2"/>
        <v>A  F# F</v>
      </c>
    </row>
    <row r="82" spans="1:32" x14ac:dyDescent="0.25">
      <c r="A82">
        <f>INDEX(Albums!$A:$A, MATCH(C82,Albums!$C:$C,0))</f>
        <v>1</v>
      </c>
      <c r="B82">
        <f>INDEX(Albums!$B:$B, MATCH(C82,Albums!$C:$C,0))</f>
        <v>2014</v>
      </c>
      <c r="C82" t="s">
        <v>993</v>
      </c>
      <c r="D82">
        <v>1</v>
      </c>
      <c r="E82" t="s">
        <v>148</v>
      </c>
      <c r="F82" t="s">
        <v>23</v>
      </c>
      <c r="G82" s="28" t="s">
        <v>1115</v>
      </c>
      <c r="I82" t="s">
        <v>31</v>
      </c>
      <c r="K82" s="11" t="s">
        <v>371</v>
      </c>
      <c r="L82" s="10">
        <v>5295221</v>
      </c>
      <c r="M82" s="4">
        <v>2008</v>
      </c>
      <c r="N82" t="s">
        <v>1116</v>
      </c>
      <c r="O82" t="s">
        <v>1199</v>
      </c>
      <c r="P82" s="23" t="s">
        <v>149</v>
      </c>
      <c r="Q82">
        <v>110</v>
      </c>
      <c r="R82" t="s">
        <v>31</v>
      </c>
      <c r="S82" t="s">
        <v>31</v>
      </c>
      <c r="U82" t="s">
        <v>478</v>
      </c>
      <c r="V82" t="str">
        <f>IF(AND(ISNUMBER(L82),COUNTIF([1]Songs!$L:$L,L82)&gt;0),"YES","")</f>
        <v/>
      </c>
      <c r="W82" t="e">
        <f>IF(AND(ISNUMBER(L82),COUNTIF([2]Songs!$J:$J,L82)&gt;0),"YES","")</f>
        <v>#VALUE!</v>
      </c>
      <c r="X82" t="e">
        <f>IF(AND(ISNUMBER(L82),COUNTIF([3]CcliCombined!$D:$D,L82)&gt;0),"YES","")</f>
        <v>#VALUE!</v>
      </c>
      <c r="Y82" t="e">
        <f>IF(AND(ISNUMBER(L82),COUNTIF([4]Songs!$H:$H,L82)&gt;0),"YES","")</f>
        <v>#VALUE!</v>
      </c>
      <c r="Z82" t="s">
        <v>630</v>
      </c>
      <c r="AB82">
        <v>81</v>
      </c>
      <c r="AD82" t="str">
        <f t="shared" si="2"/>
        <v xml:space="preserve">B </v>
      </c>
    </row>
    <row r="83" spans="1:32" hidden="1" x14ac:dyDescent="0.25">
      <c r="A83">
        <f>INDEX(Albums!$A:$A, MATCH(C83,Albums!$C:$C,0))</f>
        <v>1</v>
      </c>
      <c r="B83">
        <f>INDEX(Albums!$B:$B, MATCH(C83,Albums!$C:$C,0))</f>
        <v>2014</v>
      </c>
      <c r="C83" t="s">
        <v>993</v>
      </c>
      <c r="D83">
        <v>2</v>
      </c>
      <c r="E83" t="s">
        <v>150</v>
      </c>
      <c r="F83" t="s">
        <v>140</v>
      </c>
      <c r="G83" s="28" t="s">
        <v>1114</v>
      </c>
      <c r="L83" s="10">
        <v>7029516</v>
      </c>
      <c r="M83" s="4">
        <v>2013</v>
      </c>
      <c r="N83" t="s">
        <v>1105</v>
      </c>
      <c r="P83" s="23" t="s">
        <v>70</v>
      </c>
      <c r="Q83">
        <v>58</v>
      </c>
      <c r="R83" t="s">
        <v>31</v>
      </c>
      <c r="S83" t="s">
        <v>31</v>
      </c>
      <c r="V83" t="str">
        <f>IF(AND(ISNUMBER(L83),COUNTIF([1]Songs!$L:$L,L83)&gt;0),"YES","")</f>
        <v/>
      </c>
      <c r="W83" t="e">
        <f>IF(AND(ISNUMBER(L83),COUNTIF([2]Songs!$J:$J,L83)&gt;0),"YES","")</f>
        <v>#VALUE!</v>
      </c>
      <c r="X83" t="e">
        <f>IF(AND(ISNUMBER(L83),COUNTIF([3]CcliCombined!$D:$D,L83)&gt;0),"YES","")</f>
        <v>#VALUE!</v>
      </c>
      <c r="Y83" t="e">
        <f>IF(AND(ISNUMBER(L83),COUNTIF([4]Songs!$H:$H,L83)&gt;0),"YES","")</f>
        <v>#VALUE!</v>
      </c>
      <c r="Z83" t="s">
        <v>630</v>
      </c>
      <c r="AA83" t="s">
        <v>1196</v>
      </c>
      <c r="AB83">
        <v>82</v>
      </c>
      <c r="AC83" t="s">
        <v>1032</v>
      </c>
      <c r="AD83" t="str">
        <f t="shared" si="2"/>
        <v xml:space="preserve"> B</v>
      </c>
      <c r="AF83" t="s">
        <v>1197</v>
      </c>
    </row>
    <row r="84" spans="1:32" x14ac:dyDescent="0.25">
      <c r="A84">
        <f>INDEX(Albums!$A:$A, MATCH(C84,Albums!$C:$C,0))</f>
        <v>1</v>
      </c>
      <c r="B84">
        <f>INDEX(Albums!$B:$B, MATCH(C84,Albums!$C:$C,0))</f>
        <v>2014</v>
      </c>
      <c r="C84" t="s">
        <v>993</v>
      </c>
      <c r="D84">
        <v>3</v>
      </c>
      <c r="E84" t="s">
        <v>151</v>
      </c>
      <c r="F84" t="s">
        <v>23</v>
      </c>
      <c r="G84" s="28" t="s">
        <v>43</v>
      </c>
      <c r="H84" s="3" t="s">
        <v>39</v>
      </c>
      <c r="I84" s="3" t="s">
        <v>39</v>
      </c>
      <c r="J84" s="4">
        <v>70</v>
      </c>
      <c r="K84" s="4" t="s">
        <v>371</v>
      </c>
      <c r="L84" s="10">
        <v>2296522</v>
      </c>
      <c r="M84" s="4">
        <v>1999</v>
      </c>
      <c r="N84" s="6" t="s">
        <v>381</v>
      </c>
      <c r="O84" t="s">
        <v>1199</v>
      </c>
      <c r="P84" s="23" t="s">
        <v>43</v>
      </c>
      <c r="Q84">
        <v>67</v>
      </c>
      <c r="R84" t="s">
        <v>25</v>
      </c>
      <c r="S84" t="s">
        <v>25</v>
      </c>
      <c r="U84" t="s">
        <v>478</v>
      </c>
      <c r="V84" t="str">
        <f>IF(AND(ISNUMBER(L84),COUNTIF([1]Songs!$L:$L,L84)&gt;0),"YES","")</f>
        <v>YES</v>
      </c>
      <c r="W84" t="e">
        <f>IF(AND(ISNUMBER(L84),COUNTIF([2]Songs!$J:$J,L84)&gt;0),"YES","")</f>
        <v>#VALUE!</v>
      </c>
      <c r="X84" t="e">
        <f>IF(AND(ISNUMBER(L84),COUNTIF([3]CcliCombined!$D:$D,L84)&gt;0),"YES","")</f>
        <v>#VALUE!</v>
      </c>
      <c r="Y84" t="e">
        <f>IF(AND(ISNUMBER(L84),COUNTIF([4]Songs!$H:$H,L84)&gt;0),"YES","")</f>
        <v>#VALUE!</v>
      </c>
      <c r="Z84" t="s">
        <v>630</v>
      </c>
      <c r="AB84">
        <v>83</v>
      </c>
      <c r="AD84" t="str">
        <f t="shared" si="2"/>
        <v>D G</v>
      </c>
    </row>
    <row r="85" spans="1:32" x14ac:dyDescent="0.25">
      <c r="A85">
        <f>INDEX(Albums!$A:$A, MATCH(C85,Albums!$C:$C,0))</f>
        <v>1</v>
      </c>
      <c r="B85">
        <f>INDEX(Albums!$B:$B, MATCH(C85,Albums!$C:$C,0))</f>
        <v>2014</v>
      </c>
      <c r="C85" t="s">
        <v>993</v>
      </c>
      <c r="D85">
        <v>4</v>
      </c>
      <c r="E85" t="s">
        <v>152</v>
      </c>
      <c r="F85" t="s">
        <v>23</v>
      </c>
      <c r="G85" s="28" t="s">
        <v>414</v>
      </c>
      <c r="H85" s="3" t="s">
        <v>47</v>
      </c>
      <c r="I85" s="3" t="s">
        <v>47</v>
      </c>
      <c r="J85" s="4">
        <v>76</v>
      </c>
      <c r="K85" s="5" t="s">
        <v>371</v>
      </c>
      <c r="L85" s="10">
        <v>4705176</v>
      </c>
      <c r="M85" s="4">
        <v>2005</v>
      </c>
      <c r="N85" s="4" t="s">
        <v>372</v>
      </c>
      <c r="O85" t="s">
        <v>1199</v>
      </c>
      <c r="P85" s="23" t="s">
        <v>24</v>
      </c>
      <c r="Q85">
        <v>71</v>
      </c>
      <c r="R85" t="s">
        <v>47</v>
      </c>
      <c r="S85" t="s">
        <v>47</v>
      </c>
      <c r="U85" t="s">
        <v>478</v>
      </c>
      <c r="V85" t="str">
        <f>IF(AND(ISNUMBER(L85),COUNTIF([1]Songs!$L:$L,L85)&gt;0),"YES","")</f>
        <v>YES</v>
      </c>
      <c r="W85" t="e">
        <f>IF(AND(ISNUMBER(L85),COUNTIF([2]Songs!$J:$J,L85)&gt;0),"YES","")</f>
        <v>#VALUE!</v>
      </c>
      <c r="X85" t="e">
        <f>IF(AND(ISNUMBER(L85),COUNTIF([3]CcliCombined!$D:$D,L85)&gt;0),"YES","")</f>
        <v>#VALUE!</v>
      </c>
      <c r="Y85" t="e">
        <f>IF(AND(ISNUMBER(L85),COUNTIF([4]Songs!$H:$H,L85)&gt;0),"YES","")</f>
        <v>#VALUE!</v>
      </c>
      <c r="Z85" t="s">
        <v>630</v>
      </c>
      <c r="AB85">
        <v>84</v>
      </c>
      <c r="AD85" t="str">
        <f t="shared" si="2"/>
        <v>C</v>
      </c>
    </row>
    <row r="86" spans="1:32" x14ac:dyDescent="0.25">
      <c r="A86">
        <f>INDEX(Albums!$A:$A, MATCH(C86,Albums!$C:$C,0))</f>
        <v>1</v>
      </c>
      <c r="B86">
        <f>INDEX(Albums!$B:$B, MATCH(C86,Albums!$C:$C,0))</f>
        <v>2014</v>
      </c>
      <c r="C86" t="s">
        <v>993</v>
      </c>
      <c r="D86">
        <v>5</v>
      </c>
      <c r="E86" t="s">
        <v>153</v>
      </c>
      <c r="F86" t="s">
        <v>23</v>
      </c>
      <c r="G86" s="28" t="s">
        <v>413</v>
      </c>
      <c r="H86" s="3" t="s">
        <v>47</v>
      </c>
      <c r="I86" s="3" t="s">
        <v>47</v>
      </c>
      <c r="J86" s="4">
        <v>75</v>
      </c>
      <c r="K86" s="5" t="s">
        <v>380</v>
      </c>
      <c r="L86" s="10">
        <v>5060810</v>
      </c>
      <c r="M86" s="4">
        <v>2007</v>
      </c>
      <c r="N86" s="4" t="s">
        <v>372</v>
      </c>
      <c r="O86" t="s">
        <v>1199</v>
      </c>
      <c r="P86" s="23" t="s">
        <v>24</v>
      </c>
      <c r="Q86">
        <v>68</v>
      </c>
      <c r="R86" t="s">
        <v>47</v>
      </c>
      <c r="S86" t="s">
        <v>47</v>
      </c>
      <c r="U86" t="s">
        <v>478</v>
      </c>
      <c r="V86" t="str">
        <f>IF(AND(ISNUMBER(L86),COUNTIF([1]Songs!$L:$L,L86)&gt;0),"YES","")</f>
        <v>YES</v>
      </c>
      <c r="W86" t="e">
        <f>IF(AND(ISNUMBER(L86),COUNTIF([2]Songs!$J:$J,L86)&gt;0),"YES","")</f>
        <v>#VALUE!</v>
      </c>
      <c r="X86" t="e">
        <f>IF(AND(ISNUMBER(L86),COUNTIF([3]CcliCombined!$D:$D,L86)&gt;0),"YES","")</f>
        <v>#VALUE!</v>
      </c>
      <c r="Y86" t="e">
        <f>IF(AND(ISNUMBER(L86),COUNTIF([4]Songs!$H:$H,L86)&gt;0),"YES","")</f>
        <v>#VALUE!</v>
      </c>
      <c r="Z86" t="s">
        <v>630</v>
      </c>
      <c r="AB86">
        <v>85</v>
      </c>
      <c r="AD86" t="str">
        <f t="shared" si="2"/>
        <v>C</v>
      </c>
    </row>
    <row r="87" spans="1:32" x14ac:dyDescent="0.25">
      <c r="A87">
        <f>INDEX(Albums!$A:$A, MATCH(C87,Albums!$C:$C,0))</f>
        <v>1</v>
      </c>
      <c r="B87">
        <f>INDEX(Albums!$B:$B, MATCH(C87,Albums!$C:$C,0))</f>
        <v>2014</v>
      </c>
      <c r="C87" t="s">
        <v>993</v>
      </c>
      <c r="D87">
        <v>6</v>
      </c>
      <c r="E87" t="s">
        <v>154</v>
      </c>
      <c r="F87" t="s">
        <v>23</v>
      </c>
      <c r="G87" s="28" t="s">
        <v>1104</v>
      </c>
      <c r="I87" t="s">
        <v>39</v>
      </c>
      <c r="J87">
        <v>80</v>
      </c>
      <c r="K87" s="11" t="s">
        <v>371</v>
      </c>
      <c r="L87" s="10">
        <v>6590839</v>
      </c>
      <c r="M87" s="4">
        <v>2013</v>
      </c>
      <c r="N87" t="s">
        <v>956</v>
      </c>
      <c r="O87" t="s">
        <v>1199</v>
      </c>
      <c r="P87" s="23" t="s">
        <v>70</v>
      </c>
      <c r="Q87">
        <v>78</v>
      </c>
      <c r="R87" t="s">
        <v>47</v>
      </c>
      <c r="S87" t="s">
        <v>47</v>
      </c>
      <c r="U87" t="s">
        <v>478</v>
      </c>
      <c r="V87" t="str">
        <f>IF(AND(ISNUMBER(L87),COUNTIF([1]Songs!$L:$L,L87)&gt;0),"YES","")</f>
        <v/>
      </c>
      <c r="W87" t="e">
        <f>IF(AND(ISNUMBER(L87),COUNTIF([2]Songs!$J:$J,L87)&gt;0),"YES","")</f>
        <v>#VALUE!</v>
      </c>
      <c r="X87" t="e">
        <f>IF(AND(ISNUMBER(L87),COUNTIF([3]CcliCombined!$D:$D,L87)&gt;0),"YES","")</f>
        <v>#VALUE!</v>
      </c>
      <c r="Y87" t="e">
        <f>IF(AND(ISNUMBER(L87),COUNTIF([4]Songs!$H:$H,L87)&gt;0),"YES","")</f>
        <v>#VALUE!</v>
      </c>
      <c r="Z87" t="s">
        <v>630</v>
      </c>
      <c r="AA87" t="s">
        <v>1196</v>
      </c>
      <c r="AB87">
        <v>86</v>
      </c>
      <c r="AD87" t="str">
        <f t="shared" si="2"/>
        <v>D  C</v>
      </c>
    </row>
    <row r="88" spans="1:32" x14ac:dyDescent="0.25">
      <c r="A88">
        <f>INDEX(Albums!$A:$A, MATCH(C88,Albums!$C:$C,0))</f>
        <v>1</v>
      </c>
      <c r="B88">
        <f>INDEX(Albums!$B:$B, MATCH(C88,Albums!$C:$C,0))</f>
        <v>2014</v>
      </c>
      <c r="C88" t="s">
        <v>993</v>
      </c>
      <c r="D88">
        <v>7</v>
      </c>
      <c r="E88" t="s">
        <v>155</v>
      </c>
      <c r="F88" t="s">
        <v>23</v>
      </c>
      <c r="G88" s="28" t="s">
        <v>1151</v>
      </c>
      <c r="I88" t="s">
        <v>686</v>
      </c>
      <c r="J88">
        <v>81</v>
      </c>
      <c r="K88" s="11" t="s">
        <v>371</v>
      </c>
      <c r="L88" s="10">
        <v>5242683</v>
      </c>
      <c r="M88" s="4">
        <v>2009</v>
      </c>
      <c r="N88" t="s">
        <v>381</v>
      </c>
      <c r="O88" t="s">
        <v>1199</v>
      </c>
      <c r="P88" s="23" t="s">
        <v>33</v>
      </c>
      <c r="Q88">
        <v>83</v>
      </c>
      <c r="R88" t="s">
        <v>36</v>
      </c>
      <c r="S88" t="s">
        <v>36</v>
      </c>
      <c r="U88" t="s">
        <v>478</v>
      </c>
      <c r="V88" t="str">
        <f>IF(AND(ISNUMBER(L88),COUNTIF([1]Songs!$L:$L,L88)&gt;0),"YES","")</f>
        <v/>
      </c>
      <c r="W88" t="e">
        <f>IF(AND(ISNUMBER(L88),COUNTIF([2]Songs!$J:$J,L88)&gt;0),"YES","")</f>
        <v>#VALUE!</v>
      </c>
      <c r="X88" t="e">
        <f>IF(AND(ISNUMBER(L88),COUNTIF([3]CcliCombined!$D:$D,L88)&gt;0),"YES","")</f>
        <v>#VALUE!</v>
      </c>
      <c r="Y88" t="e">
        <f>IF(AND(ISNUMBER(L88),COUNTIF([4]Songs!$H:$H,L88)&gt;0),"YES","")</f>
        <v>#VALUE!</v>
      </c>
      <c r="Z88" t="s">
        <v>630</v>
      </c>
      <c r="AB88">
        <v>87</v>
      </c>
      <c r="AD88" t="str">
        <f t="shared" si="2"/>
        <v>Gb  E</v>
      </c>
    </row>
    <row r="89" spans="1:32" x14ac:dyDescent="0.25">
      <c r="A89">
        <f>INDEX(Albums!$A:$A, MATCH(C89,Albums!$C:$C,0))</f>
        <v>1</v>
      </c>
      <c r="B89">
        <f>INDEX(Albums!$B:$B, MATCH(C89,Albums!$C:$C,0))</f>
        <v>2014</v>
      </c>
      <c r="C89" t="s">
        <v>993</v>
      </c>
      <c r="D89">
        <v>8</v>
      </c>
      <c r="E89" t="s">
        <v>156</v>
      </c>
      <c r="F89" t="s">
        <v>23</v>
      </c>
      <c r="G89" s="28" t="s">
        <v>1113</v>
      </c>
      <c r="I89" t="s">
        <v>176</v>
      </c>
      <c r="K89" s="11" t="s">
        <v>425</v>
      </c>
      <c r="L89" s="10">
        <v>17827</v>
      </c>
      <c r="M89" s="4">
        <v>1985</v>
      </c>
      <c r="N89" t="s">
        <v>752</v>
      </c>
      <c r="O89" t="s">
        <v>1199</v>
      </c>
      <c r="P89" s="23" t="s">
        <v>157</v>
      </c>
      <c r="Q89">
        <v>71</v>
      </c>
      <c r="R89" t="s">
        <v>25</v>
      </c>
      <c r="S89" t="s">
        <v>25</v>
      </c>
      <c r="U89" t="s">
        <v>478</v>
      </c>
      <c r="V89" t="str">
        <f>IF(AND(ISNUMBER(L89),COUNTIF([1]Songs!$L:$L,L89)&gt;0),"YES","")</f>
        <v/>
      </c>
      <c r="W89" t="e">
        <f>IF(AND(ISNUMBER(L89),COUNTIF([2]Songs!$J:$J,L89)&gt;0),"YES","")</f>
        <v>#VALUE!</v>
      </c>
      <c r="X89" t="e">
        <f>IF(AND(ISNUMBER(L89),COUNTIF([3]CcliCombined!$D:$D,L89)&gt;0),"YES","")</f>
        <v>#VALUE!</v>
      </c>
      <c r="Y89" t="e">
        <f>IF(AND(ISNUMBER(L89),COUNTIF([4]Songs!$H:$H,L89)&gt;0),"YES","")</f>
        <v>#VALUE!</v>
      </c>
      <c r="Z89" t="s">
        <v>630</v>
      </c>
      <c r="AB89">
        <v>88</v>
      </c>
      <c r="AD89" t="str">
        <f t="shared" si="2"/>
        <v>F  G</v>
      </c>
    </row>
    <row r="90" spans="1:32" x14ac:dyDescent="0.25">
      <c r="A90">
        <f>INDEX(Albums!$A:$A, MATCH(C90,Albums!$C:$C,0))</f>
        <v>1</v>
      </c>
      <c r="B90">
        <f>INDEX(Albums!$B:$B, MATCH(C90,Albums!$C:$C,0))</f>
        <v>2014</v>
      </c>
      <c r="C90" t="s">
        <v>993</v>
      </c>
      <c r="D90">
        <v>9</v>
      </c>
      <c r="E90" t="s">
        <v>158</v>
      </c>
      <c r="F90" t="s">
        <v>23</v>
      </c>
      <c r="G90" s="28" t="s">
        <v>1152</v>
      </c>
      <c r="I90" t="s">
        <v>52</v>
      </c>
      <c r="J90">
        <v>48</v>
      </c>
      <c r="K90" s="11" t="s">
        <v>425</v>
      </c>
      <c r="L90" s="10">
        <v>5720105</v>
      </c>
      <c r="M90" s="4">
        <v>2010</v>
      </c>
      <c r="N90" t="s">
        <v>1112</v>
      </c>
      <c r="O90" t="s">
        <v>1199</v>
      </c>
      <c r="P90" s="23" t="s">
        <v>159</v>
      </c>
      <c r="Q90">
        <v>73</v>
      </c>
      <c r="R90" t="s">
        <v>52</v>
      </c>
      <c r="S90" t="s">
        <v>52</v>
      </c>
      <c r="U90" t="s">
        <v>478</v>
      </c>
      <c r="V90" t="str">
        <f>IF(AND(ISNUMBER(L90),COUNTIF([1]Songs!$L:$L,L90)&gt;0),"YES","")</f>
        <v/>
      </c>
      <c r="W90" t="e">
        <f>IF(AND(ISNUMBER(L90),COUNTIF([2]Songs!$J:$J,L90)&gt;0),"YES","")</f>
        <v>#VALUE!</v>
      </c>
      <c r="X90" t="e">
        <f>IF(AND(ISNUMBER(L90),COUNTIF([3]CcliCombined!$D:$D,L90)&gt;0),"YES","")</f>
        <v>#VALUE!</v>
      </c>
      <c r="Y90" t="e">
        <f>IF(AND(ISNUMBER(L90),COUNTIF([4]Songs!$H:$H,L90)&gt;0),"YES","")</f>
        <v>#VALUE!</v>
      </c>
      <c r="Z90" t="s">
        <v>630</v>
      </c>
      <c r="AB90">
        <v>89</v>
      </c>
      <c r="AD90" t="str">
        <f t="shared" si="2"/>
        <v xml:space="preserve">A </v>
      </c>
    </row>
    <row r="91" spans="1:32" x14ac:dyDescent="0.25">
      <c r="A91">
        <f>INDEX(Albums!$A:$A, MATCH(C91,Albums!$C:$C,0))</f>
        <v>1</v>
      </c>
      <c r="B91">
        <f>INDEX(Albums!$B:$B, MATCH(C91,Albums!$C:$C,0))</f>
        <v>2014</v>
      </c>
      <c r="C91" t="s">
        <v>993</v>
      </c>
      <c r="D91">
        <v>10</v>
      </c>
      <c r="E91" t="s">
        <v>160</v>
      </c>
      <c r="F91" t="s">
        <v>23</v>
      </c>
      <c r="G91" s="28" t="s">
        <v>1153</v>
      </c>
      <c r="I91" t="s">
        <v>28</v>
      </c>
      <c r="J91">
        <v>80</v>
      </c>
      <c r="K91" s="11" t="s">
        <v>371</v>
      </c>
      <c r="L91" s="10">
        <v>4611679</v>
      </c>
      <c r="M91" s="4">
        <v>2006</v>
      </c>
      <c r="N91" t="s">
        <v>444</v>
      </c>
      <c r="O91" t="s">
        <v>1199</v>
      </c>
      <c r="P91" s="23" t="s">
        <v>55</v>
      </c>
      <c r="Q91">
        <v>74</v>
      </c>
      <c r="R91" t="s">
        <v>28</v>
      </c>
      <c r="S91" t="s">
        <v>52</v>
      </c>
      <c r="U91" t="s">
        <v>478</v>
      </c>
      <c r="V91" t="str">
        <f>IF(AND(ISNUMBER(L91),COUNTIF([1]Songs!$L:$L,L91)&gt;0),"YES","")</f>
        <v/>
      </c>
      <c r="W91" t="e">
        <f>IF(AND(ISNUMBER(L91),COUNTIF([2]Songs!$J:$J,L91)&gt;0),"YES","")</f>
        <v>#VALUE!</v>
      </c>
      <c r="X91" t="e">
        <f>IF(AND(ISNUMBER(L91),COUNTIF([3]CcliCombined!$D:$D,L91)&gt;0),"YES","")</f>
        <v>#VALUE!</v>
      </c>
      <c r="Y91" t="e">
        <f>IF(AND(ISNUMBER(L91),COUNTIF([4]Songs!$H:$H,L91)&gt;0),"YES","")</f>
        <v>#VALUE!</v>
      </c>
      <c r="Z91" t="s">
        <v>630</v>
      </c>
      <c r="AB91">
        <v>90</v>
      </c>
      <c r="AD91" t="str">
        <f t="shared" si="2"/>
        <v>Bb  A</v>
      </c>
    </row>
    <row r="92" spans="1:32" x14ac:dyDescent="0.25">
      <c r="A92">
        <f>INDEX(Albums!$A:$A, MATCH(C92,Albums!$C:$C,0))</f>
        <v>1</v>
      </c>
      <c r="B92">
        <f>INDEX(Albums!$B:$B, MATCH(C92,Albums!$C:$C,0))</f>
        <v>2014</v>
      </c>
      <c r="C92" t="s">
        <v>0</v>
      </c>
      <c r="D92">
        <v>1</v>
      </c>
      <c r="E92" t="s">
        <v>161</v>
      </c>
      <c r="F92" t="s">
        <v>23</v>
      </c>
      <c r="G92" s="28" t="s">
        <v>1154</v>
      </c>
      <c r="I92" t="s">
        <v>31</v>
      </c>
      <c r="J92">
        <v>79</v>
      </c>
      <c r="K92" s="11" t="s">
        <v>371</v>
      </c>
      <c r="L92" s="10">
        <v>5894275</v>
      </c>
      <c r="M92" s="4">
        <v>2010</v>
      </c>
      <c r="N92" t="s">
        <v>372</v>
      </c>
      <c r="O92" t="s">
        <v>1199</v>
      </c>
      <c r="P92" s="23" t="s">
        <v>24</v>
      </c>
      <c r="Q92">
        <v>77</v>
      </c>
      <c r="R92" t="s">
        <v>52</v>
      </c>
      <c r="S92" t="s">
        <v>52</v>
      </c>
      <c r="U92" t="s">
        <v>478</v>
      </c>
      <c r="V92" t="str">
        <f>IF(AND(ISNUMBER(L92),COUNTIF([1]Songs!$L:$L,L92)&gt;0),"YES","")</f>
        <v/>
      </c>
      <c r="W92" t="e">
        <f>IF(AND(ISNUMBER(L92),COUNTIF([2]Songs!$J:$J,L92)&gt;0),"YES","")</f>
        <v>#VALUE!</v>
      </c>
      <c r="X92" t="e">
        <f>IF(AND(ISNUMBER(L92),COUNTIF([3]CcliCombined!$D:$D,L92)&gt;0),"YES","")</f>
        <v>#VALUE!</v>
      </c>
      <c r="Y92" t="e">
        <f>IF(AND(ISNUMBER(L92),COUNTIF([4]Songs!$H:$H,L92)&gt;0),"YES","")</f>
        <v>#VALUE!</v>
      </c>
      <c r="Z92" t="s">
        <v>630</v>
      </c>
      <c r="AB92">
        <v>91</v>
      </c>
      <c r="AD92" t="str">
        <f t="shared" si="2"/>
        <v>B  A</v>
      </c>
    </row>
    <row r="93" spans="1:32" x14ac:dyDescent="0.25">
      <c r="A93">
        <f>INDEX(Albums!$A:$A, MATCH(C93,Albums!$C:$C,0))</f>
        <v>1</v>
      </c>
      <c r="B93">
        <f>INDEX(Albums!$B:$B, MATCH(C93,Albums!$C:$C,0))</f>
        <v>2014</v>
      </c>
      <c r="C93" t="s">
        <v>0</v>
      </c>
      <c r="D93">
        <v>2</v>
      </c>
      <c r="E93" t="s">
        <v>162</v>
      </c>
      <c r="F93" t="s">
        <v>23</v>
      </c>
      <c r="G93" s="28" t="s">
        <v>416</v>
      </c>
      <c r="H93" s="3" t="s">
        <v>52</v>
      </c>
      <c r="I93" s="3" t="s">
        <v>28</v>
      </c>
      <c r="J93" s="4">
        <v>116</v>
      </c>
      <c r="K93" s="5" t="s">
        <v>371</v>
      </c>
      <c r="L93" s="10">
        <v>5337172</v>
      </c>
      <c r="M93" s="4">
        <v>2008</v>
      </c>
      <c r="N93" s="6" t="s">
        <v>381</v>
      </c>
      <c r="O93" t="s">
        <v>1199</v>
      </c>
      <c r="P93" s="23" t="s">
        <v>163</v>
      </c>
      <c r="Q93">
        <v>118</v>
      </c>
      <c r="R93" t="s">
        <v>28</v>
      </c>
      <c r="S93" t="s">
        <v>52</v>
      </c>
      <c r="U93" t="s">
        <v>478</v>
      </c>
      <c r="V93" t="str">
        <f>IF(AND(ISNUMBER(L93),COUNTIF([1]Songs!$L:$L,L93)&gt;0),"YES","")</f>
        <v>YES</v>
      </c>
      <c r="W93" t="e">
        <f>IF(AND(ISNUMBER(L93),COUNTIF([2]Songs!$J:$J,L93)&gt;0),"YES","")</f>
        <v>#VALUE!</v>
      </c>
      <c r="X93" t="e">
        <f>IF(AND(ISNUMBER(L93),COUNTIF([3]CcliCombined!$D:$D,L93)&gt;0),"YES","")</f>
        <v>#VALUE!</v>
      </c>
      <c r="Y93" t="e">
        <f>IF(AND(ISNUMBER(L93),COUNTIF([4]Songs!$H:$H,L93)&gt;0),"YES","")</f>
        <v>#VALUE!</v>
      </c>
      <c r="Z93" t="s">
        <v>630</v>
      </c>
      <c r="AB93">
        <v>92</v>
      </c>
      <c r="AD93" t="str">
        <f t="shared" si="2"/>
        <v>Bb A A</v>
      </c>
    </row>
    <row r="94" spans="1:32" x14ac:dyDescent="0.25">
      <c r="A94">
        <f>INDEX(Albums!$A:$A, MATCH(C94,Albums!$C:$C,0))</f>
        <v>1</v>
      </c>
      <c r="B94">
        <f>INDEX(Albums!$B:$B, MATCH(C94,Albums!$C:$C,0))</f>
        <v>2014</v>
      </c>
      <c r="C94" t="s">
        <v>0</v>
      </c>
      <c r="D94">
        <v>3</v>
      </c>
      <c r="E94" t="s">
        <v>164</v>
      </c>
      <c r="F94" t="s">
        <v>23</v>
      </c>
      <c r="G94" s="28" t="s">
        <v>1155</v>
      </c>
      <c r="I94" t="s">
        <v>28</v>
      </c>
      <c r="J94">
        <v>77</v>
      </c>
      <c r="K94" s="11" t="s">
        <v>371</v>
      </c>
      <c r="L94" s="10">
        <v>7000686</v>
      </c>
      <c r="M94" s="4">
        <v>2013</v>
      </c>
      <c r="N94" t="s">
        <v>383</v>
      </c>
      <c r="O94" t="s">
        <v>1199</v>
      </c>
      <c r="P94" s="23" t="s">
        <v>43</v>
      </c>
      <c r="Q94">
        <v>78</v>
      </c>
      <c r="R94" t="s">
        <v>28</v>
      </c>
      <c r="S94" t="s">
        <v>52</v>
      </c>
      <c r="U94" t="s">
        <v>478</v>
      </c>
      <c r="V94" t="str">
        <f>IF(AND(ISNUMBER(L94),COUNTIF([1]Songs!$L:$L,L94)&gt;0),"YES","")</f>
        <v/>
      </c>
      <c r="W94" t="e">
        <f>IF(AND(ISNUMBER(L94),COUNTIF([2]Songs!$J:$J,L94)&gt;0),"YES","")</f>
        <v>#VALUE!</v>
      </c>
      <c r="X94" t="e">
        <f>IF(AND(ISNUMBER(L94),COUNTIF([3]CcliCombined!$D:$D,L94)&gt;0),"YES","")</f>
        <v>#VALUE!</v>
      </c>
      <c r="Y94" t="e">
        <f>IF(AND(ISNUMBER(L94),COUNTIF([4]Songs!$H:$H,L94)&gt;0),"YES","")</f>
        <v>#VALUE!</v>
      </c>
      <c r="Z94" t="s">
        <v>630</v>
      </c>
      <c r="AB94">
        <v>93</v>
      </c>
      <c r="AD94" t="str">
        <f t="shared" si="2"/>
        <v>Bb  A</v>
      </c>
    </row>
    <row r="95" spans="1:32" hidden="1" x14ac:dyDescent="0.25">
      <c r="A95">
        <f>INDEX(Albums!$A:$A, MATCH(C95,Albums!$C:$C,0))</f>
        <v>1</v>
      </c>
      <c r="B95">
        <f>INDEX(Albums!$B:$B, MATCH(C95,Albums!$C:$C,0))</f>
        <v>2014</v>
      </c>
      <c r="C95" t="s">
        <v>0</v>
      </c>
      <c r="D95">
        <v>4</v>
      </c>
      <c r="E95" t="s">
        <v>165</v>
      </c>
      <c r="F95" t="s">
        <v>23</v>
      </c>
      <c r="G95" s="28" t="s">
        <v>1104</v>
      </c>
      <c r="L95" s="10">
        <v>7029242</v>
      </c>
      <c r="M95" s="4">
        <v>2013</v>
      </c>
      <c r="N95" s="29" t="s">
        <v>1105</v>
      </c>
      <c r="P95" s="23" t="s">
        <v>70</v>
      </c>
      <c r="Q95">
        <v>66</v>
      </c>
      <c r="R95" t="s">
        <v>28</v>
      </c>
      <c r="S95" t="s">
        <v>52</v>
      </c>
      <c r="V95" t="str">
        <f>IF(AND(ISNUMBER(L95),COUNTIF([1]Songs!$L:$L,L95)&gt;0),"YES","")</f>
        <v/>
      </c>
      <c r="W95" t="e">
        <f>IF(AND(ISNUMBER(L95),COUNTIF([2]Songs!$J:$J,L95)&gt;0),"YES","")</f>
        <v>#VALUE!</v>
      </c>
      <c r="X95" t="e">
        <f>IF(AND(ISNUMBER(L95),COUNTIF([3]CcliCombined!$D:$D,L95)&gt;0),"YES","")</f>
        <v>#VALUE!</v>
      </c>
      <c r="Y95" t="e">
        <f>IF(AND(ISNUMBER(L95),COUNTIF([4]Songs!$H:$H,L95)&gt;0),"YES","")</f>
        <v>#VALUE!</v>
      </c>
      <c r="Z95" t="s">
        <v>630</v>
      </c>
      <c r="AA95" t="s">
        <v>1196</v>
      </c>
      <c r="AB95">
        <v>94</v>
      </c>
      <c r="AC95" t="s">
        <v>1032</v>
      </c>
      <c r="AD95" t="str">
        <f t="shared" si="2"/>
        <v xml:space="preserve"> Bb A</v>
      </c>
      <c r="AF95" t="s">
        <v>1197</v>
      </c>
    </row>
    <row r="96" spans="1:32" x14ac:dyDescent="0.25">
      <c r="A96">
        <f>INDEX(Albums!$A:$A, MATCH(C96,Albums!$C:$C,0))</f>
        <v>1</v>
      </c>
      <c r="B96">
        <f>INDEX(Albums!$B:$B, MATCH(C96,Albums!$C:$C,0))</f>
        <v>2014</v>
      </c>
      <c r="C96" t="s">
        <v>0</v>
      </c>
      <c r="D96">
        <v>5</v>
      </c>
      <c r="E96" t="s">
        <v>166</v>
      </c>
      <c r="F96" t="s">
        <v>23</v>
      </c>
      <c r="G96" s="28" t="s">
        <v>417</v>
      </c>
      <c r="H96" s="3" t="s">
        <v>52</v>
      </c>
      <c r="I96" s="3" t="s">
        <v>28</v>
      </c>
      <c r="J96" s="4">
        <v>68</v>
      </c>
      <c r="K96" s="5" t="s">
        <v>371</v>
      </c>
      <c r="L96" s="10">
        <v>4219071</v>
      </c>
      <c r="M96" s="4">
        <v>2004</v>
      </c>
      <c r="N96" s="6" t="s">
        <v>418</v>
      </c>
      <c r="O96" t="s">
        <v>1199</v>
      </c>
      <c r="P96" s="23" t="s">
        <v>167</v>
      </c>
      <c r="Q96">
        <v>70</v>
      </c>
      <c r="R96" t="s">
        <v>47</v>
      </c>
      <c r="S96" t="s">
        <v>47</v>
      </c>
      <c r="U96" t="s">
        <v>478</v>
      </c>
      <c r="V96" t="str">
        <f>IF(AND(ISNUMBER(L96),COUNTIF([1]Songs!$L:$L,L96)&gt;0),"YES","")</f>
        <v>YES</v>
      </c>
      <c r="W96" t="e">
        <f>IF(AND(ISNUMBER(L96),COUNTIF([2]Songs!$J:$J,L96)&gt;0),"YES","")</f>
        <v>#VALUE!</v>
      </c>
      <c r="X96" t="e">
        <f>IF(AND(ISNUMBER(L96),COUNTIF([3]CcliCombined!$D:$D,L96)&gt;0),"YES","")</f>
        <v>#VALUE!</v>
      </c>
      <c r="Y96" t="e">
        <f>IF(AND(ISNUMBER(L96),COUNTIF([4]Songs!$H:$H,L96)&gt;0),"YES","")</f>
        <v>#VALUE!</v>
      </c>
      <c r="Z96" t="s">
        <v>630</v>
      </c>
      <c r="AB96">
        <v>95</v>
      </c>
      <c r="AD96" t="str">
        <f t="shared" si="2"/>
        <v>Bb A C</v>
      </c>
    </row>
    <row r="97" spans="1:32" x14ac:dyDescent="0.25">
      <c r="A97">
        <f>INDEX(Albums!$A:$A, MATCH(C97,Albums!$C:$C,0))</f>
        <v>1</v>
      </c>
      <c r="B97">
        <f>INDEX(Albums!$B:$B, MATCH(C97,Albums!$C:$C,0))</f>
        <v>2014</v>
      </c>
      <c r="C97" t="s">
        <v>0</v>
      </c>
      <c r="D97">
        <v>6</v>
      </c>
      <c r="E97" t="s">
        <v>168</v>
      </c>
      <c r="F97" t="s">
        <v>23</v>
      </c>
      <c r="G97" s="28" t="s">
        <v>419</v>
      </c>
      <c r="H97" s="3" t="s">
        <v>31</v>
      </c>
      <c r="I97" s="3" t="s">
        <v>31</v>
      </c>
      <c r="J97" s="4">
        <v>86</v>
      </c>
      <c r="K97" s="5" t="s">
        <v>371</v>
      </c>
      <c r="L97" s="10">
        <v>5183443</v>
      </c>
      <c r="M97" s="4">
        <v>2008</v>
      </c>
      <c r="N97" s="6" t="s">
        <v>378</v>
      </c>
      <c r="O97" t="s">
        <v>1199</v>
      </c>
      <c r="P97" s="23" t="s">
        <v>46</v>
      </c>
      <c r="Q97">
        <v>86</v>
      </c>
      <c r="R97" t="s">
        <v>31</v>
      </c>
      <c r="S97" t="s">
        <v>31</v>
      </c>
      <c r="U97" t="s">
        <v>478</v>
      </c>
      <c r="V97" t="str">
        <f>IF(AND(ISNUMBER(L97),COUNTIF([1]Songs!$L:$L,L97)&gt;0),"YES","")</f>
        <v>YES</v>
      </c>
      <c r="W97" t="e">
        <f>IF(AND(ISNUMBER(L97),COUNTIF([2]Songs!$J:$J,L97)&gt;0),"YES","")</f>
        <v>#VALUE!</v>
      </c>
      <c r="X97" t="e">
        <f>IF(AND(ISNUMBER(L97),COUNTIF([3]CcliCombined!$D:$D,L97)&gt;0),"YES","")</f>
        <v>#VALUE!</v>
      </c>
      <c r="Y97" t="e">
        <f>IF(AND(ISNUMBER(L97),COUNTIF([4]Songs!$H:$H,L97)&gt;0),"YES","")</f>
        <v>#VALUE!</v>
      </c>
      <c r="Z97" t="s">
        <v>630</v>
      </c>
      <c r="AB97">
        <v>96</v>
      </c>
      <c r="AD97" t="str">
        <f t="shared" si="2"/>
        <v>B</v>
      </c>
    </row>
    <row r="98" spans="1:32" x14ac:dyDescent="0.25">
      <c r="A98">
        <f>INDEX(Albums!$A:$A, MATCH(C98,Albums!$C:$C,0))</f>
        <v>1</v>
      </c>
      <c r="B98">
        <f>INDEX(Albums!$B:$B, MATCH(C98,Albums!$C:$C,0))</f>
        <v>2014</v>
      </c>
      <c r="C98" t="s">
        <v>0</v>
      </c>
      <c r="D98">
        <v>7</v>
      </c>
      <c r="E98" t="s">
        <v>169</v>
      </c>
      <c r="F98" t="s">
        <v>23</v>
      </c>
      <c r="G98" s="28" t="s">
        <v>389</v>
      </c>
      <c r="H98" s="3" t="s">
        <v>31</v>
      </c>
      <c r="I98" s="3" t="s">
        <v>31</v>
      </c>
      <c r="J98" s="4">
        <v>82</v>
      </c>
      <c r="K98" s="4" t="s">
        <v>371</v>
      </c>
      <c r="L98" s="10">
        <v>5183450</v>
      </c>
      <c r="M98" s="4">
        <v>2008</v>
      </c>
      <c r="N98" s="4" t="s">
        <v>378</v>
      </c>
      <c r="O98" t="s">
        <v>1199</v>
      </c>
      <c r="P98" s="23" t="s">
        <v>46</v>
      </c>
      <c r="Q98">
        <v>77</v>
      </c>
      <c r="R98" t="s">
        <v>31</v>
      </c>
      <c r="S98" t="s">
        <v>31</v>
      </c>
      <c r="U98" t="s">
        <v>478</v>
      </c>
      <c r="V98" t="str">
        <f>IF(AND(ISNUMBER(L98),COUNTIF([1]Songs!$L:$L,L98)&gt;0),"YES","")</f>
        <v>YES</v>
      </c>
      <c r="W98" t="e">
        <f>IF(AND(ISNUMBER(L98),COUNTIF([2]Songs!$J:$J,L98)&gt;0),"YES","")</f>
        <v>#VALUE!</v>
      </c>
      <c r="X98" t="e">
        <f>IF(AND(ISNUMBER(L98),COUNTIF([3]CcliCombined!$D:$D,L98)&gt;0),"YES","")</f>
        <v>#VALUE!</v>
      </c>
      <c r="Y98" t="e">
        <f>IF(AND(ISNUMBER(L98),COUNTIF([4]Songs!$H:$H,L98)&gt;0),"YES","")</f>
        <v>#VALUE!</v>
      </c>
      <c r="Z98" t="s">
        <v>630</v>
      </c>
      <c r="AB98">
        <v>97</v>
      </c>
      <c r="AD98" t="str">
        <f t="shared" ref="AD98:AD129" si="3">I98
&amp;IF(H98=I98,""," "&amp;H98)
&amp;IF(OR(R98=I98,R98=H98),""," "&amp;R98)
&amp;IF(R98=S98,""," "&amp;S98)</f>
        <v>B</v>
      </c>
    </row>
    <row r="99" spans="1:32" x14ac:dyDescent="0.25">
      <c r="A99">
        <f>INDEX(Albums!$A:$A, MATCH(C99,Albums!$C:$C,0))</f>
        <v>1</v>
      </c>
      <c r="B99">
        <f>INDEX(Albums!$B:$B, MATCH(C99,Albums!$C:$C,0))</f>
        <v>2014</v>
      </c>
      <c r="C99" t="s">
        <v>0</v>
      </c>
      <c r="D99">
        <v>8</v>
      </c>
      <c r="E99" t="s">
        <v>170</v>
      </c>
      <c r="F99" t="s">
        <v>23</v>
      </c>
      <c r="G99" s="28" t="s">
        <v>420</v>
      </c>
      <c r="H99" s="3" t="s">
        <v>25</v>
      </c>
      <c r="I99" s="3" t="s">
        <v>421</v>
      </c>
      <c r="J99" s="4">
        <v>82</v>
      </c>
      <c r="K99" s="5" t="s">
        <v>371</v>
      </c>
      <c r="L99" s="10">
        <v>3118757</v>
      </c>
      <c r="M99" s="4">
        <v>2000</v>
      </c>
      <c r="N99" s="6" t="s">
        <v>422</v>
      </c>
      <c r="O99" t="s">
        <v>1199</v>
      </c>
      <c r="P99" s="23" t="s">
        <v>171</v>
      </c>
      <c r="Q99">
        <v>84</v>
      </c>
      <c r="R99" t="s">
        <v>25</v>
      </c>
      <c r="S99" t="s">
        <v>25</v>
      </c>
      <c r="U99" t="s">
        <v>478</v>
      </c>
      <c r="V99" t="str">
        <f>IF(AND(ISNUMBER(L99),COUNTIF([1]Songs!$L:$L,L99)&gt;0),"YES","")</f>
        <v>YES</v>
      </c>
      <c r="W99" t="e">
        <f>IF(AND(ISNUMBER(L99),COUNTIF([2]Songs!$J:$J,L99)&gt;0),"YES","")</f>
        <v>#VALUE!</v>
      </c>
      <c r="X99" t="e">
        <f>IF(AND(ISNUMBER(L99),COUNTIF([3]CcliCombined!$D:$D,L99)&gt;0),"YES","")</f>
        <v>#VALUE!</v>
      </c>
      <c r="Y99" t="e">
        <f>IF(AND(ISNUMBER(L99),COUNTIF([4]Songs!$H:$H,L99)&gt;0),"YES","")</f>
        <v>#VALUE!</v>
      </c>
      <c r="Z99" t="s">
        <v>630</v>
      </c>
      <c r="AB99">
        <v>98</v>
      </c>
      <c r="AD99" t="str">
        <f t="shared" si="3"/>
        <v>Ab,Bb G</v>
      </c>
    </row>
    <row r="100" spans="1:32" x14ac:dyDescent="0.25">
      <c r="A100">
        <f>INDEX(Albums!$A:$A, MATCH(C100,Albums!$C:$C,0))</f>
        <v>1</v>
      </c>
      <c r="B100">
        <f>INDEX(Albums!$B:$B, MATCH(C100,Albums!$C:$C,0))</f>
        <v>2014</v>
      </c>
      <c r="C100" t="s">
        <v>0</v>
      </c>
      <c r="D100">
        <v>9</v>
      </c>
      <c r="E100" t="s">
        <v>172</v>
      </c>
      <c r="F100" t="s">
        <v>173</v>
      </c>
      <c r="G100" s="28" t="s">
        <v>423</v>
      </c>
      <c r="H100" s="3" t="s">
        <v>36</v>
      </c>
      <c r="I100" s="3" t="s">
        <v>36</v>
      </c>
      <c r="J100" s="4">
        <v>70</v>
      </c>
      <c r="K100" s="5" t="s">
        <v>371</v>
      </c>
      <c r="L100" s="10">
        <v>2456623</v>
      </c>
      <c r="M100" s="4">
        <v>1996</v>
      </c>
      <c r="N100" s="6" t="s">
        <v>424</v>
      </c>
      <c r="O100" t="s">
        <v>1199</v>
      </c>
      <c r="P100" s="23" t="s">
        <v>24</v>
      </c>
      <c r="Q100">
        <v>70</v>
      </c>
      <c r="R100" t="s">
        <v>39</v>
      </c>
      <c r="S100" t="s">
        <v>39</v>
      </c>
      <c r="U100" t="s">
        <v>478</v>
      </c>
      <c r="V100" t="str">
        <f>IF(AND(ISNUMBER(L100),COUNTIF([1]Songs!$L:$L,L100)&gt;0),"YES","")</f>
        <v>YES</v>
      </c>
      <c r="W100" t="e">
        <f>IF(AND(ISNUMBER(L100),COUNTIF([2]Songs!$J:$J,L100)&gt;0),"YES","")</f>
        <v>#VALUE!</v>
      </c>
      <c r="X100" t="e">
        <f>IF(AND(ISNUMBER(L100),COUNTIF([3]CcliCombined!$D:$D,L100)&gt;0),"YES","")</f>
        <v>#VALUE!</v>
      </c>
      <c r="Y100" t="e">
        <f>IF(AND(ISNUMBER(L100),COUNTIF([4]Songs!$H:$H,L100)&gt;0),"YES","")</f>
        <v>#VALUE!</v>
      </c>
      <c r="Z100" t="s">
        <v>630</v>
      </c>
      <c r="AB100">
        <v>99</v>
      </c>
      <c r="AD100" t="str">
        <f t="shared" si="3"/>
        <v>E D</v>
      </c>
    </row>
    <row r="101" spans="1:32" x14ac:dyDescent="0.25">
      <c r="A101">
        <f>INDEX(Albums!$A:$A, MATCH(C101,Albums!$C:$C,0))</f>
        <v>1</v>
      </c>
      <c r="B101">
        <f>INDEX(Albums!$B:$B, MATCH(C101,Albums!$C:$C,0))</f>
        <v>2014</v>
      </c>
      <c r="C101" t="s">
        <v>0</v>
      </c>
      <c r="D101">
        <v>10</v>
      </c>
      <c r="E101" t="s">
        <v>174</v>
      </c>
      <c r="F101" t="s">
        <v>23</v>
      </c>
      <c r="G101" s="28" t="s">
        <v>175</v>
      </c>
      <c r="H101" s="3" t="s">
        <v>39</v>
      </c>
      <c r="I101" s="3" t="s">
        <v>39</v>
      </c>
      <c r="J101" s="4">
        <v>54</v>
      </c>
      <c r="K101" s="4" t="s">
        <v>371</v>
      </c>
      <c r="L101" s="10">
        <v>1558110</v>
      </c>
      <c r="M101" s="4">
        <v>1995</v>
      </c>
      <c r="N101" s="6" t="s">
        <v>381</v>
      </c>
      <c r="O101" t="s">
        <v>1199</v>
      </c>
      <c r="P101" s="23" t="s">
        <v>175</v>
      </c>
      <c r="Q101">
        <v>65</v>
      </c>
      <c r="R101" t="s">
        <v>176</v>
      </c>
      <c r="S101" t="s">
        <v>176</v>
      </c>
      <c r="U101" t="s">
        <v>478</v>
      </c>
      <c r="V101" t="str">
        <f>IF(AND(ISNUMBER(L101),COUNTIF([1]Songs!$L:$L,L101)&gt;0),"YES","")</f>
        <v>YES</v>
      </c>
      <c r="W101" t="e">
        <f>IF(AND(ISNUMBER(L101),COUNTIF([2]Songs!$J:$J,L101)&gt;0),"YES","")</f>
        <v>#VALUE!</v>
      </c>
      <c r="X101" t="e">
        <f>IF(AND(ISNUMBER(L101),COUNTIF([3]CcliCombined!$D:$D,L101)&gt;0),"YES","")</f>
        <v>#VALUE!</v>
      </c>
      <c r="Y101" t="e">
        <f>IF(AND(ISNUMBER(L101),COUNTIF([4]Songs!$H:$H,L101)&gt;0),"YES","")</f>
        <v>#VALUE!</v>
      </c>
      <c r="Z101" t="s">
        <v>630</v>
      </c>
      <c r="AB101">
        <v>100</v>
      </c>
      <c r="AD101" t="str">
        <f t="shared" si="3"/>
        <v>D F</v>
      </c>
    </row>
    <row r="102" spans="1:32" hidden="1" x14ac:dyDescent="0.25">
      <c r="A102">
        <f>INDEX(Albums!$A:$A, MATCH(C102,Albums!$C:$C,0))</f>
        <v>1</v>
      </c>
      <c r="B102">
        <f>INDEX(Albums!$B:$B, MATCH(C102,Albums!$C:$C,0))</f>
        <v>2015</v>
      </c>
      <c r="C102" t="s">
        <v>1</v>
      </c>
      <c r="D102">
        <v>1</v>
      </c>
      <c r="E102" t="s">
        <v>177</v>
      </c>
      <c r="F102" t="s">
        <v>23</v>
      </c>
      <c r="G102" s="28" t="s">
        <v>1104</v>
      </c>
      <c r="H102" s="28"/>
      <c r="I102" s="29"/>
      <c r="J102" s="29"/>
      <c r="K102" s="29"/>
      <c r="L102" s="30">
        <v>7041770</v>
      </c>
      <c r="M102" s="29">
        <v>2014</v>
      </c>
      <c r="N102" s="29" t="s">
        <v>1105</v>
      </c>
      <c r="O102" s="28"/>
      <c r="P102" s="23" t="s">
        <v>70</v>
      </c>
      <c r="Q102">
        <v>61</v>
      </c>
      <c r="R102" t="s">
        <v>39</v>
      </c>
      <c r="S102" t="s">
        <v>39</v>
      </c>
      <c r="T102" s="1"/>
      <c r="U102" s="1"/>
      <c r="V102" t="str">
        <f>IF(AND(ISNUMBER(L102),COUNTIF([1]Songs!$L:$L,L102)&gt;0),"YES","")</f>
        <v/>
      </c>
      <c r="W102" t="e">
        <f>IF(AND(ISNUMBER(L102),COUNTIF([2]Songs!$J:$J,L102)&gt;0),"YES","")</f>
        <v>#VALUE!</v>
      </c>
      <c r="X102" t="e">
        <f>IF(AND(ISNUMBER(L102),COUNTIF([3]CcliCombined!$D:$D,L102)&gt;0),"YES","")</f>
        <v>#VALUE!</v>
      </c>
      <c r="Y102" t="e">
        <f>IF(AND(ISNUMBER(L102),COUNTIF([4]Songs!$H:$H,L102)&gt;0),"YES","")</f>
        <v>#VALUE!</v>
      </c>
      <c r="Z102" t="s">
        <v>630</v>
      </c>
      <c r="AA102" t="s">
        <v>1196</v>
      </c>
      <c r="AB102">
        <v>101</v>
      </c>
      <c r="AC102" t="s">
        <v>1032</v>
      </c>
      <c r="AD102" t="str">
        <f t="shared" si="3"/>
        <v xml:space="preserve"> D</v>
      </c>
      <c r="AF102" t="s">
        <v>1197</v>
      </c>
    </row>
    <row r="103" spans="1:32" x14ac:dyDescent="0.25">
      <c r="A103">
        <f>INDEX(Albums!$A:$A, MATCH(C103,Albums!$C:$C,0))</f>
        <v>1</v>
      </c>
      <c r="B103">
        <f>INDEX(Albums!$B:$B, MATCH(C103,Albums!$C:$C,0))</f>
        <v>2015</v>
      </c>
      <c r="C103" t="s">
        <v>1</v>
      </c>
      <c r="D103">
        <v>2</v>
      </c>
      <c r="E103" t="s">
        <v>178</v>
      </c>
      <c r="F103" t="s">
        <v>23</v>
      </c>
      <c r="G103" s="28" t="s">
        <v>1156</v>
      </c>
      <c r="H103" s="28"/>
      <c r="I103" s="29" t="s">
        <v>52</v>
      </c>
      <c r="J103" s="29">
        <v>66</v>
      </c>
      <c r="K103" s="31" t="s">
        <v>380</v>
      </c>
      <c r="L103" s="30">
        <v>7030072</v>
      </c>
      <c r="M103" s="29">
        <v>2014</v>
      </c>
      <c r="N103" s="29" t="s">
        <v>1079</v>
      </c>
      <c r="O103" t="s">
        <v>1199</v>
      </c>
      <c r="P103" s="23" t="s">
        <v>121</v>
      </c>
      <c r="Q103">
        <v>63</v>
      </c>
      <c r="R103" t="s">
        <v>39</v>
      </c>
      <c r="S103" t="s">
        <v>39</v>
      </c>
      <c r="T103" s="1"/>
      <c r="U103" t="s">
        <v>478</v>
      </c>
      <c r="V103" t="str">
        <f>IF(AND(ISNUMBER(L103),COUNTIF([1]Songs!$L:$L,L103)&gt;0),"YES","")</f>
        <v/>
      </c>
      <c r="W103" t="e">
        <f>IF(AND(ISNUMBER(L103),COUNTIF([2]Songs!$J:$J,L103)&gt;0),"YES","")</f>
        <v>#VALUE!</v>
      </c>
      <c r="X103" t="e">
        <f>IF(AND(ISNUMBER(L103),COUNTIF([3]CcliCombined!$D:$D,L103)&gt;0),"YES","")</f>
        <v>#VALUE!</v>
      </c>
      <c r="Y103" t="e">
        <f>IF(AND(ISNUMBER(L103),COUNTIF([4]Songs!$H:$H,L103)&gt;0),"YES","")</f>
        <v>#VALUE!</v>
      </c>
      <c r="Z103" t="s">
        <v>630</v>
      </c>
      <c r="AB103">
        <v>102</v>
      </c>
      <c r="AD103" t="str">
        <f t="shared" si="3"/>
        <v>A  D</v>
      </c>
    </row>
    <row r="104" spans="1:32" x14ac:dyDescent="0.25">
      <c r="A104">
        <f>INDEX(Albums!$A:$A, MATCH(C104,Albums!$C:$C,0))</f>
        <v>1</v>
      </c>
      <c r="B104">
        <f>INDEX(Albums!$B:$B, MATCH(C104,Albums!$C:$C,0))</f>
        <v>2015</v>
      </c>
      <c r="C104" t="s">
        <v>1</v>
      </c>
      <c r="D104">
        <v>3</v>
      </c>
      <c r="E104" t="s">
        <v>179</v>
      </c>
      <c r="F104" t="s">
        <v>23</v>
      </c>
      <c r="G104" s="28" t="s">
        <v>1157</v>
      </c>
      <c r="H104" s="28"/>
      <c r="I104" s="29" t="s">
        <v>47</v>
      </c>
      <c r="J104" s="29">
        <v>72</v>
      </c>
      <c r="K104" s="31" t="s">
        <v>371</v>
      </c>
      <c r="L104" s="30">
        <v>7018338</v>
      </c>
      <c r="M104" s="29">
        <v>2014</v>
      </c>
      <c r="N104" s="29" t="s">
        <v>372</v>
      </c>
      <c r="O104" t="s">
        <v>1199</v>
      </c>
      <c r="P104" s="23" t="s">
        <v>24</v>
      </c>
      <c r="Q104">
        <v>72</v>
      </c>
      <c r="R104" t="s">
        <v>47</v>
      </c>
      <c r="S104" t="s">
        <v>47</v>
      </c>
      <c r="T104" s="1"/>
      <c r="U104" t="s">
        <v>478</v>
      </c>
      <c r="V104" t="str">
        <f>IF(AND(ISNUMBER(L104),COUNTIF([1]Songs!$L:$L,L104)&gt;0),"YES","")</f>
        <v/>
      </c>
      <c r="W104" t="e">
        <f>IF(AND(ISNUMBER(L104),COUNTIF([2]Songs!$J:$J,L104)&gt;0),"YES","")</f>
        <v>#VALUE!</v>
      </c>
      <c r="X104" t="e">
        <f>IF(AND(ISNUMBER(L104),COUNTIF([3]CcliCombined!$D:$D,L104)&gt;0),"YES","")</f>
        <v>#VALUE!</v>
      </c>
      <c r="Y104" t="e">
        <f>IF(AND(ISNUMBER(L104),COUNTIF([4]Songs!$H:$H,L104)&gt;0),"YES","")</f>
        <v>#VALUE!</v>
      </c>
      <c r="Z104" t="s">
        <v>630</v>
      </c>
      <c r="AB104">
        <v>103</v>
      </c>
      <c r="AD104" t="str">
        <f t="shared" si="3"/>
        <v xml:space="preserve">C </v>
      </c>
    </row>
    <row r="105" spans="1:32" x14ac:dyDescent="0.25">
      <c r="A105">
        <f>INDEX(Albums!$A:$A, MATCH(C105,Albums!$C:$C,0))</f>
        <v>1</v>
      </c>
      <c r="B105">
        <f>INDEX(Albums!$B:$B, MATCH(C105,Albums!$C:$C,0))</f>
        <v>2015</v>
      </c>
      <c r="C105" t="s">
        <v>1</v>
      </c>
      <c r="D105">
        <v>4</v>
      </c>
      <c r="E105" t="s">
        <v>180</v>
      </c>
      <c r="F105" t="s">
        <v>23</v>
      </c>
      <c r="G105" s="28" t="s">
        <v>370</v>
      </c>
      <c r="H105" s="3" t="s">
        <v>47</v>
      </c>
      <c r="I105" s="3" t="s">
        <v>47</v>
      </c>
      <c r="J105" s="4">
        <v>42</v>
      </c>
      <c r="K105" s="5" t="s">
        <v>425</v>
      </c>
      <c r="L105" s="10">
        <v>6428750</v>
      </c>
      <c r="M105" s="4">
        <v>2012</v>
      </c>
      <c r="N105" s="4" t="s">
        <v>372</v>
      </c>
      <c r="O105" t="s">
        <v>1199</v>
      </c>
      <c r="P105" s="23" t="s">
        <v>181</v>
      </c>
      <c r="Q105">
        <v>127</v>
      </c>
      <c r="R105" t="s">
        <v>47</v>
      </c>
      <c r="S105" t="s">
        <v>47</v>
      </c>
      <c r="T105" s="1"/>
      <c r="U105" t="s">
        <v>478</v>
      </c>
      <c r="V105" t="str">
        <f>IF(AND(ISNUMBER(L105),COUNTIF([1]Songs!$L:$L,L105)&gt;0),"YES","")</f>
        <v>YES</v>
      </c>
      <c r="W105" t="e">
        <f>IF(AND(ISNUMBER(L105),COUNTIF([2]Songs!$J:$J,L105)&gt;0),"YES","")</f>
        <v>#VALUE!</v>
      </c>
      <c r="X105" t="e">
        <f>IF(AND(ISNUMBER(L105),COUNTIF([3]CcliCombined!$D:$D,L105)&gt;0),"YES","")</f>
        <v>#VALUE!</v>
      </c>
      <c r="Y105" t="e">
        <f>IF(AND(ISNUMBER(L105),COUNTIF([4]Songs!$H:$H,L105)&gt;0),"YES","")</f>
        <v>#VALUE!</v>
      </c>
      <c r="Z105" t="s">
        <v>630</v>
      </c>
      <c r="AB105">
        <v>104</v>
      </c>
      <c r="AD105" t="str">
        <f t="shared" si="3"/>
        <v>C</v>
      </c>
    </row>
    <row r="106" spans="1:32" x14ac:dyDescent="0.25">
      <c r="A106">
        <f>INDEX(Albums!$A:$A, MATCH(C106,Albums!$C:$C,0))</f>
        <v>1</v>
      </c>
      <c r="B106">
        <f>INDEX(Albums!$B:$B, MATCH(C106,Albums!$C:$C,0))</f>
        <v>2015</v>
      </c>
      <c r="C106" t="s">
        <v>1</v>
      </c>
      <c r="D106">
        <v>5</v>
      </c>
      <c r="E106" t="s">
        <v>118</v>
      </c>
      <c r="F106" t="s">
        <v>182</v>
      </c>
      <c r="G106" s="28" t="s">
        <v>426</v>
      </c>
      <c r="H106" s="3" t="s">
        <v>52</v>
      </c>
      <c r="I106" s="3" t="s">
        <v>52</v>
      </c>
      <c r="J106" s="4">
        <v>73</v>
      </c>
      <c r="K106" s="4" t="s">
        <v>371</v>
      </c>
      <c r="L106" s="10">
        <v>7001228</v>
      </c>
      <c r="M106" s="4">
        <v>2013</v>
      </c>
      <c r="N106" s="6" t="s">
        <v>427</v>
      </c>
      <c r="O106" t="s">
        <v>1199</v>
      </c>
      <c r="P106" s="23" t="s">
        <v>113</v>
      </c>
      <c r="Q106">
        <v>74</v>
      </c>
      <c r="R106" t="s">
        <v>47</v>
      </c>
      <c r="S106" t="s">
        <v>47</v>
      </c>
      <c r="T106" s="1"/>
      <c r="U106" t="s">
        <v>478</v>
      </c>
      <c r="V106" t="str">
        <f>IF(AND(ISNUMBER(L106),COUNTIF([1]Songs!$L:$L,L106)&gt;0),"YES","")</f>
        <v>YES</v>
      </c>
      <c r="W106" t="e">
        <f>IF(AND(ISNUMBER(L106),COUNTIF([2]Songs!$J:$J,L106)&gt;0),"YES","")</f>
        <v>#VALUE!</v>
      </c>
      <c r="X106" t="e">
        <f>IF(AND(ISNUMBER(L106),COUNTIF([3]CcliCombined!$D:$D,L106)&gt;0),"YES","")</f>
        <v>#VALUE!</v>
      </c>
      <c r="Y106" t="e">
        <f>IF(AND(ISNUMBER(L106),COUNTIF([4]Songs!$H:$H,L106)&gt;0),"YES","")</f>
        <v>#VALUE!</v>
      </c>
      <c r="Z106" t="s">
        <v>630</v>
      </c>
      <c r="AB106">
        <v>105</v>
      </c>
      <c r="AD106" t="str">
        <f t="shared" si="3"/>
        <v>A C</v>
      </c>
    </row>
    <row r="107" spans="1:32" x14ac:dyDescent="0.25">
      <c r="A107">
        <f>INDEX(Albums!$A:$A, MATCH(C107,Albums!$C:$C,0))</f>
        <v>1</v>
      </c>
      <c r="B107">
        <f>INDEX(Albums!$B:$B, MATCH(C107,Albums!$C:$C,0))</f>
        <v>2015</v>
      </c>
      <c r="C107" t="s">
        <v>1</v>
      </c>
      <c r="D107">
        <v>6</v>
      </c>
      <c r="E107" t="s">
        <v>183</v>
      </c>
      <c r="F107" t="s">
        <v>23</v>
      </c>
      <c r="G107" s="28" t="s">
        <v>1158</v>
      </c>
      <c r="H107" s="28"/>
      <c r="I107" s="29" t="s">
        <v>47</v>
      </c>
      <c r="J107" s="29">
        <v>82</v>
      </c>
      <c r="K107" s="31" t="s">
        <v>371</v>
      </c>
      <c r="L107" s="30">
        <v>7028829</v>
      </c>
      <c r="M107" s="29">
        <v>2014</v>
      </c>
      <c r="N107" s="29" t="s">
        <v>372</v>
      </c>
      <c r="O107" t="s">
        <v>1199</v>
      </c>
      <c r="P107" s="23" t="s">
        <v>46</v>
      </c>
      <c r="Q107">
        <v>81</v>
      </c>
      <c r="R107" t="s">
        <v>47</v>
      </c>
      <c r="S107" t="s">
        <v>47</v>
      </c>
      <c r="T107" s="1"/>
      <c r="U107" t="s">
        <v>478</v>
      </c>
      <c r="V107" t="str">
        <f>IF(AND(ISNUMBER(L107),COUNTIF([1]Songs!$L:$L,L107)&gt;0),"YES","")</f>
        <v/>
      </c>
      <c r="W107" t="e">
        <f>IF(AND(ISNUMBER(L107),COUNTIF([2]Songs!$J:$J,L107)&gt;0),"YES","")</f>
        <v>#VALUE!</v>
      </c>
      <c r="X107" t="e">
        <f>IF(AND(ISNUMBER(L107),COUNTIF([3]CcliCombined!$D:$D,L107)&gt;0),"YES","")</f>
        <v>#VALUE!</v>
      </c>
      <c r="Y107" t="e">
        <f>IF(AND(ISNUMBER(L107),COUNTIF([4]Songs!$H:$H,L107)&gt;0),"YES","")</f>
        <v>#VALUE!</v>
      </c>
      <c r="Z107" t="s">
        <v>630</v>
      </c>
      <c r="AB107">
        <v>106</v>
      </c>
      <c r="AD107" t="str">
        <f t="shared" si="3"/>
        <v xml:space="preserve">C </v>
      </c>
    </row>
    <row r="108" spans="1:32" x14ac:dyDescent="0.25">
      <c r="A108">
        <f>INDEX(Albums!$A:$A, MATCH(C108,Albums!$C:$C,0))</f>
        <v>1</v>
      </c>
      <c r="B108">
        <f>INDEX(Albums!$B:$B, MATCH(C108,Albums!$C:$C,0))</f>
        <v>2015</v>
      </c>
      <c r="C108" t="s">
        <v>1</v>
      </c>
      <c r="D108">
        <v>7</v>
      </c>
      <c r="E108" t="s">
        <v>184</v>
      </c>
      <c r="F108" t="s">
        <v>23</v>
      </c>
      <c r="G108" s="28" t="s">
        <v>1159</v>
      </c>
      <c r="H108" s="28"/>
      <c r="I108" s="29" t="s">
        <v>39</v>
      </c>
      <c r="J108" s="29">
        <v>75</v>
      </c>
      <c r="K108" s="31" t="s">
        <v>371</v>
      </c>
      <c r="L108" s="30">
        <v>7016414</v>
      </c>
      <c r="M108" s="29">
        <v>2014</v>
      </c>
      <c r="N108" s="29" t="s">
        <v>1109</v>
      </c>
      <c r="O108" t="s">
        <v>1199</v>
      </c>
      <c r="P108" s="23" t="s">
        <v>30</v>
      </c>
      <c r="Q108">
        <v>77</v>
      </c>
      <c r="R108" t="s">
        <v>47</v>
      </c>
      <c r="S108" t="s">
        <v>47</v>
      </c>
      <c r="T108" s="1"/>
      <c r="U108" t="s">
        <v>478</v>
      </c>
      <c r="V108" t="str">
        <f>IF(AND(ISNUMBER(L108),COUNTIF([1]Songs!$L:$L,L108)&gt;0),"YES","")</f>
        <v/>
      </c>
      <c r="W108" t="e">
        <f>IF(AND(ISNUMBER(L108),COUNTIF([2]Songs!$J:$J,L108)&gt;0),"YES","")</f>
        <v>#VALUE!</v>
      </c>
      <c r="X108" t="e">
        <f>IF(AND(ISNUMBER(L108),COUNTIF([3]CcliCombined!$D:$D,L108)&gt;0),"YES","")</f>
        <v>#VALUE!</v>
      </c>
      <c r="Y108" t="e">
        <f>IF(AND(ISNUMBER(L108),COUNTIF([4]Songs!$H:$H,L108)&gt;0),"YES","")</f>
        <v>#VALUE!</v>
      </c>
      <c r="Z108" t="s">
        <v>630</v>
      </c>
      <c r="AB108">
        <v>107</v>
      </c>
      <c r="AD108" t="str">
        <f t="shared" si="3"/>
        <v>D  C</v>
      </c>
    </row>
    <row r="109" spans="1:32" x14ac:dyDescent="0.25">
      <c r="A109">
        <f>INDEX(Albums!$A:$A, MATCH(C109,Albums!$C:$C,0))</f>
        <v>1</v>
      </c>
      <c r="B109">
        <f>INDEX(Albums!$B:$B, MATCH(C109,Albums!$C:$C,0))</f>
        <v>2015</v>
      </c>
      <c r="C109" t="s">
        <v>1</v>
      </c>
      <c r="D109">
        <v>8</v>
      </c>
      <c r="E109" t="s">
        <v>185</v>
      </c>
      <c r="F109" t="s">
        <v>23</v>
      </c>
      <c r="G109" s="28" t="s">
        <v>1111</v>
      </c>
      <c r="H109" s="28"/>
      <c r="I109" s="29" t="s">
        <v>78</v>
      </c>
      <c r="J109" s="29">
        <v>138</v>
      </c>
      <c r="K109" s="31" t="s">
        <v>371</v>
      </c>
      <c r="L109" s="30">
        <v>7003306</v>
      </c>
      <c r="M109" s="29">
        <v>2013</v>
      </c>
      <c r="N109" s="29" t="s">
        <v>434</v>
      </c>
      <c r="O109" t="s">
        <v>1199</v>
      </c>
      <c r="P109" s="23" t="s">
        <v>186</v>
      </c>
      <c r="Q109">
        <v>138</v>
      </c>
      <c r="R109" t="s">
        <v>52</v>
      </c>
      <c r="S109" t="s">
        <v>52</v>
      </c>
      <c r="T109" s="1"/>
      <c r="U109" t="s">
        <v>478</v>
      </c>
      <c r="V109" t="str">
        <f>IF(AND(ISNUMBER(L109),COUNTIF([1]Songs!$L:$L,L109)&gt;0),"YES","")</f>
        <v/>
      </c>
      <c r="W109" t="e">
        <f>IF(AND(ISNUMBER(L109),COUNTIF([2]Songs!$J:$J,L109)&gt;0),"YES","")</f>
        <v>#VALUE!</v>
      </c>
      <c r="X109" t="e">
        <f>IF(AND(ISNUMBER(L109),COUNTIF([3]CcliCombined!$D:$D,L109)&gt;0),"YES","")</f>
        <v>#VALUE!</v>
      </c>
      <c r="Y109" t="e">
        <f>IF(AND(ISNUMBER(L109),COUNTIF([4]Songs!$H:$H,L109)&gt;0),"YES","")</f>
        <v>#VALUE!</v>
      </c>
      <c r="Z109" t="s">
        <v>630</v>
      </c>
      <c r="AB109">
        <v>108</v>
      </c>
      <c r="AD109" t="str">
        <f t="shared" si="3"/>
        <v>Eb  A</v>
      </c>
    </row>
    <row r="110" spans="1:32" x14ac:dyDescent="0.25">
      <c r="A110">
        <f>INDEX(Albums!$A:$A, MATCH(C110,Albums!$C:$C,0))</f>
        <v>1</v>
      </c>
      <c r="B110">
        <f>INDEX(Albums!$B:$B, MATCH(C110,Albums!$C:$C,0))</f>
        <v>2015</v>
      </c>
      <c r="C110" t="s">
        <v>1</v>
      </c>
      <c r="D110">
        <v>9</v>
      </c>
      <c r="E110" t="s">
        <v>187</v>
      </c>
      <c r="F110" t="s">
        <v>23</v>
      </c>
      <c r="G110" s="28" t="s">
        <v>428</v>
      </c>
      <c r="H110" s="3" t="s">
        <v>52</v>
      </c>
      <c r="I110" s="3" t="s">
        <v>52</v>
      </c>
      <c r="J110" s="4">
        <v>144</v>
      </c>
      <c r="K110" s="7" t="s">
        <v>425</v>
      </c>
      <c r="L110" s="10">
        <v>6460220</v>
      </c>
      <c r="M110" s="4">
        <v>2012</v>
      </c>
      <c r="N110" s="6" t="s">
        <v>429</v>
      </c>
      <c r="O110" t="s">
        <v>1199</v>
      </c>
      <c r="P110" s="23" t="s">
        <v>30</v>
      </c>
      <c r="Q110">
        <v>72</v>
      </c>
      <c r="R110" t="s">
        <v>52</v>
      </c>
      <c r="S110" t="s">
        <v>52</v>
      </c>
      <c r="T110" s="1"/>
      <c r="U110" t="s">
        <v>478</v>
      </c>
      <c r="V110" t="str">
        <f>IF(AND(ISNUMBER(L110),COUNTIF([1]Songs!$L:$L,L110)&gt;0),"YES","")</f>
        <v>YES</v>
      </c>
      <c r="W110" t="e">
        <f>IF(AND(ISNUMBER(L110),COUNTIF([2]Songs!$J:$J,L110)&gt;0),"YES","")</f>
        <v>#VALUE!</v>
      </c>
      <c r="X110" t="e">
        <f>IF(AND(ISNUMBER(L110),COUNTIF([3]CcliCombined!$D:$D,L110)&gt;0),"YES","")</f>
        <v>#VALUE!</v>
      </c>
      <c r="Y110" t="e">
        <f>IF(AND(ISNUMBER(L110),COUNTIF([4]Songs!$H:$H,L110)&gt;0),"YES","")</f>
        <v>#VALUE!</v>
      </c>
      <c r="Z110" t="s">
        <v>630</v>
      </c>
      <c r="AB110">
        <v>109</v>
      </c>
      <c r="AD110" t="str">
        <f t="shared" si="3"/>
        <v>A</v>
      </c>
    </row>
    <row r="111" spans="1:32" x14ac:dyDescent="0.25">
      <c r="A111">
        <f>INDEX(Albums!$A:$A, MATCH(C111,Albums!$C:$C,0))</f>
        <v>1</v>
      </c>
      <c r="B111">
        <f>INDEX(Albums!$B:$B, MATCH(C111,Albums!$C:$C,0))</f>
        <v>2015</v>
      </c>
      <c r="C111" t="s">
        <v>1</v>
      </c>
      <c r="D111">
        <v>10</v>
      </c>
      <c r="E111" t="s">
        <v>188</v>
      </c>
      <c r="F111" t="s">
        <v>23</v>
      </c>
      <c r="G111" s="28" t="s">
        <v>430</v>
      </c>
      <c r="H111" s="3" t="s">
        <v>176</v>
      </c>
      <c r="I111" s="3" t="s">
        <v>176</v>
      </c>
      <c r="J111" s="4">
        <v>72</v>
      </c>
      <c r="K111" s="4" t="s">
        <v>371</v>
      </c>
      <c r="L111" s="10">
        <v>6476063</v>
      </c>
      <c r="M111" s="4">
        <v>2012</v>
      </c>
      <c r="N111" s="4" t="s">
        <v>372</v>
      </c>
      <c r="O111" t="s">
        <v>1199</v>
      </c>
      <c r="P111" s="23" t="s">
        <v>24</v>
      </c>
      <c r="Q111">
        <v>71</v>
      </c>
      <c r="R111" t="s">
        <v>31</v>
      </c>
      <c r="S111" t="s">
        <v>31</v>
      </c>
      <c r="T111" s="1"/>
      <c r="U111" t="s">
        <v>478</v>
      </c>
      <c r="V111" t="str">
        <f>IF(AND(ISNUMBER(L111),COUNTIF([1]Songs!$L:$L,L111)&gt;0),"YES","")</f>
        <v>YES</v>
      </c>
      <c r="W111" t="e">
        <f>IF(AND(ISNUMBER(L111),COUNTIF([2]Songs!$J:$J,L111)&gt;0),"YES","")</f>
        <v>#VALUE!</v>
      </c>
      <c r="X111" t="e">
        <f>IF(AND(ISNUMBER(L111),COUNTIF([3]CcliCombined!$D:$D,L111)&gt;0),"YES","")</f>
        <v>#VALUE!</v>
      </c>
      <c r="Y111" t="e">
        <f>IF(AND(ISNUMBER(L111),COUNTIF([4]Songs!$H:$H,L111)&gt;0),"YES","")</f>
        <v>#VALUE!</v>
      </c>
      <c r="Z111" t="s">
        <v>630</v>
      </c>
      <c r="AB111">
        <v>110</v>
      </c>
      <c r="AD111" t="str">
        <f t="shared" si="3"/>
        <v>F B</v>
      </c>
    </row>
    <row r="112" spans="1:32" x14ac:dyDescent="0.25">
      <c r="A112">
        <f>INDEX(Albums!$A:$A, MATCH(C112,Albums!$C:$C,0))</f>
        <v>1</v>
      </c>
      <c r="B112">
        <f>INDEX(Albums!$B:$B, MATCH(C112,Albums!$C:$C,0))</f>
        <v>2016</v>
      </c>
      <c r="C112" t="s">
        <v>2</v>
      </c>
      <c r="D112">
        <v>1</v>
      </c>
      <c r="E112" t="s">
        <v>189</v>
      </c>
      <c r="F112" t="s">
        <v>23</v>
      </c>
      <c r="G112" s="28" t="s">
        <v>431</v>
      </c>
      <c r="H112" s="3" t="s">
        <v>31</v>
      </c>
      <c r="I112" s="3" t="s">
        <v>31</v>
      </c>
      <c r="J112" s="4">
        <v>140</v>
      </c>
      <c r="K112" s="5" t="s">
        <v>425</v>
      </c>
      <c r="L112" s="10">
        <v>7051511</v>
      </c>
      <c r="M112" s="4">
        <v>2015</v>
      </c>
      <c r="N112" s="4" t="s">
        <v>432</v>
      </c>
      <c r="O112" t="s">
        <v>1199</v>
      </c>
      <c r="P112" s="23" t="s">
        <v>190</v>
      </c>
      <c r="Q112">
        <v>70</v>
      </c>
      <c r="R112" t="s">
        <v>39</v>
      </c>
      <c r="S112" t="s">
        <v>39</v>
      </c>
      <c r="U112" t="s">
        <v>478</v>
      </c>
      <c r="V112" t="str">
        <f>IF(AND(ISNUMBER(L112),COUNTIF([1]Songs!$L:$L,L112)&gt;0),"YES","")</f>
        <v>YES</v>
      </c>
      <c r="W112" t="e">
        <f>IF(AND(ISNUMBER(L112),COUNTIF([2]Songs!$J:$J,L112)&gt;0),"YES","")</f>
        <v>#VALUE!</v>
      </c>
      <c r="X112" t="e">
        <f>IF(AND(ISNUMBER(L112),COUNTIF([3]CcliCombined!$D:$D,L112)&gt;0),"YES","")</f>
        <v>#VALUE!</v>
      </c>
      <c r="Y112" t="e">
        <f>IF(AND(ISNUMBER(L112),COUNTIF([4]Songs!$H:$H,L112)&gt;0),"YES","")</f>
        <v>#VALUE!</v>
      </c>
      <c r="Z112" t="s">
        <v>630</v>
      </c>
      <c r="AB112">
        <v>111</v>
      </c>
      <c r="AD112" t="str">
        <f t="shared" si="3"/>
        <v>B D</v>
      </c>
    </row>
    <row r="113" spans="1:32" x14ac:dyDescent="0.25">
      <c r="A113">
        <f>INDEX(Albums!$A:$A, MATCH(C113,Albums!$C:$C,0))</f>
        <v>1</v>
      </c>
      <c r="B113">
        <f>INDEX(Albums!$B:$B, MATCH(C113,Albums!$C:$C,0))</f>
        <v>2016</v>
      </c>
      <c r="C113" t="s">
        <v>2</v>
      </c>
      <c r="D113">
        <v>2</v>
      </c>
      <c r="E113" t="s">
        <v>191</v>
      </c>
      <c r="F113" t="s">
        <v>23</v>
      </c>
      <c r="G113" s="28" t="s">
        <v>1160</v>
      </c>
      <c r="I113" t="s">
        <v>28</v>
      </c>
      <c r="J113">
        <v>100</v>
      </c>
      <c r="K113" s="11" t="s">
        <v>371</v>
      </c>
      <c r="L113" s="10">
        <v>6304702</v>
      </c>
      <c r="M113" s="4">
        <v>2012</v>
      </c>
      <c r="N113" t="s">
        <v>457</v>
      </c>
      <c r="O113" t="s">
        <v>1199</v>
      </c>
      <c r="P113" s="23" t="s">
        <v>192</v>
      </c>
      <c r="Q113">
        <v>95</v>
      </c>
      <c r="R113" t="s">
        <v>39</v>
      </c>
      <c r="S113" t="s">
        <v>39</v>
      </c>
      <c r="U113" t="s">
        <v>478</v>
      </c>
      <c r="V113" t="str">
        <f>IF(AND(ISNUMBER(L113),COUNTIF([1]Songs!$L:$L,L113)&gt;0),"YES","")</f>
        <v/>
      </c>
      <c r="W113" t="e">
        <f>IF(AND(ISNUMBER(L113),COUNTIF([2]Songs!$J:$J,L113)&gt;0),"YES","")</f>
        <v>#VALUE!</v>
      </c>
      <c r="X113" t="e">
        <f>IF(AND(ISNUMBER(L113),COUNTIF([3]CcliCombined!$D:$D,L113)&gt;0),"YES","")</f>
        <v>#VALUE!</v>
      </c>
      <c r="Y113" t="e">
        <f>IF(AND(ISNUMBER(L113),COUNTIF([4]Songs!$H:$H,L113)&gt;0),"YES","")</f>
        <v>#VALUE!</v>
      </c>
      <c r="Z113" t="s">
        <v>630</v>
      </c>
      <c r="AB113">
        <v>112</v>
      </c>
      <c r="AD113" t="str">
        <f t="shared" si="3"/>
        <v>Bb  D</v>
      </c>
    </row>
    <row r="114" spans="1:32" x14ac:dyDescent="0.25">
      <c r="A114">
        <f>INDEX(Albums!$A:$A, MATCH(C114,Albums!$C:$C,0))</f>
        <v>1</v>
      </c>
      <c r="B114">
        <f>INDEX(Albums!$B:$B, MATCH(C114,Albums!$C:$C,0))</f>
        <v>2016</v>
      </c>
      <c r="C114" t="s">
        <v>2</v>
      </c>
      <c r="D114">
        <v>3</v>
      </c>
      <c r="E114" t="s">
        <v>193</v>
      </c>
      <c r="F114" t="s">
        <v>23</v>
      </c>
      <c r="G114" s="28" t="s">
        <v>433</v>
      </c>
      <c r="H114" s="3" t="s">
        <v>47</v>
      </c>
      <c r="I114" s="3" t="s">
        <v>93</v>
      </c>
      <c r="J114" s="4">
        <v>70</v>
      </c>
      <c r="K114" s="5" t="s">
        <v>371</v>
      </c>
      <c r="L114" s="10">
        <v>7054178</v>
      </c>
      <c r="M114" s="4">
        <v>2015</v>
      </c>
      <c r="N114" s="4" t="s">
        <v>434</v>
      </c>
      <c r="O114" t="s">
        <v>1199</v>
      </c>
      <c r="P114" s="23" t="s">
        <v>194</v>
      </c>
      <c r="Q114">
        <v>70</v>
      </c>
      <c r="R114" t="s">
        <v>47</v>
      </c>
      <c r="S114" t="s">
        <v>47</v>
      </c>
      <c r="U114" t="s">
        <v>478</v>
      </c>
      <c r="V114" t="str">
        <f>IF(AND(ISNUMBER(L114),COUNTIF([1]Songs!$L:$L,L114)&gt;0),"YES","")</f>
        <v>YES</v>
      </c>
      <c r="W114" t="e">
        <f>IF(AND(ISNUMBER(L114),COUNTIF([2]Songs!$J:$J,L114)&gt;0),"YES","")</f>
        <v>#VALUE!</v>
      </c>
      <c r="X114" t="e">
        <f>IF(AND(ISNUMBER(L114),COUNTIF([3]CcliCombined!$D:$D,L114)&gt;0),"YES","")</f>
        <v>#VALUE!</v>
      </c>
      <c r="Y114" t="e">
        <f>IF(AND(ISNUMBER(L114),COUNTIF([4]Songs!$H:$H,L114)&gt;0),"YES","")</f>
        <v>#VALUE!</v>
      </c>
      <c r="Z114" t="s">
        <v>630</v>
      </c>
      <c r="AB114">
        <v>113</v>
      </c>
      <c r="AD114" t="str">
        <f t="shared" si="3"/>
        <v>Db C</v>
      </c>
    </row>
    <row r="115" spans="1:32" x14ac:dyDescent="0.25">
      <c r="A115">
        <f>INDEX(Albums!$A:$A, MATCH(C115,Albums!$C:$C,0))</f>
        <v>1</v>
      </c>
      <c r="B115">
        <f>INDEX(Albums!$B:$B, MATCH(C115,Albums!$C:$C,0))</f>
        <v>2016</v>
      </c>
      <c r="C115" t="s">
        <v>2</v>
      </c>
      <c r="D115">
        <v>4</v>
      </c>
      <c r="E115" t="s">
        <v>195</v>
      </c>
      <c r="F115" t="s">
        <v>23</v>
      </c>
      <c r="G115" s="28" t="s">
        <v>435</v>
      </c>
      <c r="H115" s="3" t="s">
        <v>52</v>
      </c>
      <c r="I115" s="3" t="s">
        <v>52</v>
      </c>
      <c r="J115" s="4">
        <v>48</v>
      </c>
      <c r="K115" s="5" t="s">
        <v>425</v>
      </c>
      <c r="L115" s="10">
        <v>7036612</v>
      </c>
      <c r="M115" s="4">
        <v>2014</v>
      </c>
      <c r="N115" s="4" t="s">
        <v>436</v>
      </c>
      <c r="O115" t="s">
        <v>1199</v>
      </c>
      <c r="P115" s="23" t="s">
        <v>196</v>
      </c>
      <c r="Q115">
        <v>72.5</v>
      </c>
      <c r="R115" t="s">
        <v>52</v>
      </c>
      <c r="S115" t="s">
        <v>52</v>
      </c>
      <c r="U115" t="s">
        <v>478</v>
      </c>
      <c r="V115" t="str">
        <f>IF(AND(ISNUMBER(L115),COUNTIF([1]Songs!$L:$L,L115)&gt;0),"YES","")</f>
        <v>YES</v>
      </c>
      <c r="W115" t="e">
        <f>IF(AND(ISNUMBER(L115),COUNTIF([2]Songs!$J:$J,L115)&gt;0),"YES","")</f>
        <v>#VALUE!</v>
      </c>
      <c r="X115" t="e">
        <f>IF(AND(ISNUMBER(L115),COUNTIF([3]CcliCombined!$D:$D,L115)&gt;0),"YES","")</f>
        <v>#VALUE!</v>
      </c>
      <c r="Y115" t="e">
        <f>IF(AND(ISNUMBER(L115),COUNTIF([4]Songs!$H:$H,L115)&gt;0),"YES","")</f>
        <v>#VALUE!</v>
      </c>
      <c r="Z115" t="s">
        <v>630</v>
      </c>
      <c r="AB115">
        <v>114</v>
      </c>
      <c r="AD115" t="str">
        <f t="shared" si="3"/>
        <v>A</v>
      </c>
    </row>
    <row r="116" spans="1:32" x14ac:dyDescent="0.25">
      <c r="A116">
        <f>INDEX(Albums!$A:$A, MATCH(C116,Albums!$C:$C,0))</f>
        <v>1</v>
      </c>
      <c r="B116">
        <f>INDEX(Albums!$B:$B, MATCH(C116,Albums!$C:$C,0))</f>
        <v>2016</v>
      </c>
      <c r="C116" t="s">
        <v>2</v>
      </c>
      <c r="D116">
        <v>5</v>
      </c>
      <c r="E116" t="s">
        <v>197</v>
      </c>
      <c r="F116" t="s">
        <v>218</v>
      </c>
      <c r="G116" s="28" t="s">
        <v>1161</v>
      </c>
      <c r="I116" t="s">
        <v>52</v>
      </c>
      <c r="J116">
        <v>72</v>
      </c>
      <c r="K116" s="11" t="s">
        <v>371</v>
      </c>
      <c r="L116" s="10">
        <v>6087919</v>
      </c>
      <c r="M116" s="4">
        <v>2011</v>
      </c>
      <c r="N116" t="s">
        <v>666</v>
      </c>
      <c r="O116" t="s">
        <v>1199</v>
      </c>
      <c r="P116" s="23" t="s">
        <v>198</v>
      </c>
      <c r="Q116">
        <v>72</v>
      </c>
      <c r="R116" t="s">
        <v>52</v>
      </c>
      <c r="S116" t="s">
        <v>52</v>
      </c>
      <c r="U116" t="s">
        <v>478</v>
      </c>
      <c r="V116" t="str">
        <f>IF(AND(ISNUMBER(L116),COUNTIF([1]Songs!$L:$L,L116)&gt;0),"YES","")</f>
        <v/>
      </c>
      <c r="W116" t="e">
        <f>IF(AND(ISNUMBER(L116),COUNTIF([2]Songs!$J:$J,L116)&gt;0),"YES","")</f>
        <v>#VALUE!</v>
      </c>
      <c r="X116" t="e">
        <f>IF(AND(ISNUMBER(L116),COUNTIF([3]CcliCombined!$D:$D,L116)&gt;0),"YES","")</f>
        <v>#VALUE!</v>
      </c>
      <c r="Y116" t="e">
        <f>IF(AND(ISNUMBER(L116),COUNTIF([4]Songs!$H:$H,L116)&gt;0),"YES","")</f>
        <v>#VALUE!</v>
      </c>
      <c r="Z116" t="s">
        <v>630</v>
      </c>
      <c r="AB116">
        <v>115</v>
      </c>
      <c r="AD116" t="str">
        <f t="shared" si="3"/>
        <v xml:space="preserve">A </v>
      </c>
    </row>
    <row r="117" spans="1:32" hidden="1" x14ac:dyDescent="0.25">
      <c r="A117">
        <f>INDEX(Albums!$A:$A, MATCH(C117,Albums!$C:$C,0))</f>
        <v>1</v>
      </c>
      <c r="B117">
        <f>INDEX(Albums!$B:$B, MATCH(C117,Albums!$C:$C,0))</f>
        <v>2016</v>
      </c>
      <c r="C117" t="s">
        <v>2</v>
      </c>
      <c r="D117">
        <v>6</v>
      </c>
      <c r="E117" t="s">
        <v>197</v>
      </c>
      <c r="F117" t="s">
        <v>199</v>
      </c>
      <c r="G117" s="28" t="s">
        <v>1161</v>
      </c>
      <c r="I117" t="s">
        <v>52</v>
      </c>
      <c r="J117">
        <v>72</v>
      </c>
      <c r="K117" s="11" t="s">
        <v>371</v>
      </c>
      <c r="L117" s="10">
        <v>6087919</v>
      </c>
      <c r="M117" s="4">
        <v>2011</v>
      </c>
      <c r="N117" t="s">
        <v>666</v>
      </c>
      <c r="P117" s="23" t="s">
        <v>198</v>
      </c>
      <c r="Q117">
        <v>72</v>
      </c>
      <c r="R117" t="s">
        <v>39</v>
      </c>
      <c r="S117" t="s">
        <v>39</v>
      </c>
      <c r="U117" t="s">
        <v>478</v>
      </c>
      <c r="V117" t="str">
        <f>IF(AND(ISNUMBER(L117),COUNTIF([1]Songs!$L:$L,L117)&gt;0),"YES","")</f>
        <v/>
      </c>
      <c r="W117" t="e">
        <f>IF(AND(ISNUMBER(L117),COUNTIF([2]Songs!$J:$J,L117)&gt;0),"YES","")</f>
        <v>#VALUE!</v>
      </c>
      <c r="X117" t="e">
        <f>IF(AND(ISNUMBER(L117),COUNTIF([3]CcliCombined!$D:$D,L117)&gt;0),"YES","")</f>
        <v>#VALUE!</v>
      </c>
      <c r="Y117" t="e">
        <f>IF(AND(ISNUMBER(L117),COUNTIF([4]Songs!$H:$H,L117)&gt;0),"YES","")</f>
        <v>#VALUE!</v>
      </c>
      <c r="Z117" t="s">
        <v>630</v>
      </c>
      <c r="AB117">
        <v>116</v>
      </c>
      <c r="AD117" t="str">
        <f t="shared" si="3"/>
        <v>A  D</v>
      </c>
      <c r="AF117" t="s">
        <v>1197</v>
      </c>
    </row>
    <row r="118" spans="1:32" x14ac:dyDescent="0.25">
      <c r="A118">
        <f>INDEX(Albums!$A:$A, MATCH(C118,Albums!$C:$C,0))</f>
        <v>1</v>
      </c>
      <c r="B118">
        <f>INDEX(Albums!$B:$B, MATCH(C118,Albums!$C:$C,0))</f>
        <v>2016</v>
      </c>
      <c r="C118" t="s">
        <v>2</v>
      </c>
      <c r="D118">
        <v>7</v>
      </c>
      <c r="E118" t="s">
        <v>200</v>
      </c>
      <c r="F118" t="s">
        <v>23</v>
      </c>
      <c r="G118" s="28" t="s">
        <v>437</v>
      </c>
      <c r="H118" s="3" t="s">
        <v>52</v>
      </c>
      <c r="I118" s="3" t="s">
        <v>28</v>
      </c>
      <c r="J118" s="4">
        <v>74</v>
      </c>
      <c r="K118" s="5" t="s">
        <v>371</v>
      </c>
      <c r="L118" s="10">
        <v>7030123</v>
      </c>
      <c r="M118" s="4">
        <v>2014</v>
      </c>
      <c r="N118" s="6" t="s">
        <v>434</v>
      </c>
      <c r="O118" t="s">
        <v>1199</v>
      </c>
      <c r="P118" s="23" t="s">
        <v>201</v>
      </c>
      <c r="Q118">
        <v>74</v>
      </c>
      <c r="R118" t="s">
        <v>52</v>
      </c>
      <c r="S118" t="s">
        <v>52</v>
      </c>
      <c r="U118" t="s">
        <v>478</v>
      </c>
      <c r="V118" t="str">
        <f>IF(AND(ISNUMBER(L118),COUNTIF([1]Songs!$L:$L,L118)&gt;0),"YES","")</f>
        <v>YES</v>
      </c>
      <c r="W118" t="e">
        <f>IF(AND(ISNUMBER(L118),COUNTIF([2]Songs!$J:$J,L118)&gt;0),"YES","")</f>
        <v>#VALUE!</v>
      </c>
      <c r="X118" t="e">
        <f>IF(AND(ISNUMBER(L118),COUNTIF([3]CcliCombined!$D:$D,L118)&gt;0),"YES","")</f>
        <v>#VALUE!</v>
      </c>
      <c r="Y118" t="e">
        <f>IF(AND(ISNUMBER(L118),COUNTIF([4]Songs!$H:$H,L118)&gt;0),"YES","")</f>
        <v>#VALUE!</v>
      </c>
      <c r="Z118" t="s">
        <v>630</v>
      </c>
      <c r="AB118">
        <v>117</v>
      </c>
      <c r="AD118" t="str">
        <f t="shared" si="3"/>
        <v>Bb A</v>
      </c>
    </row>
    <row r="119" spans="1:32" x14ac:dyDescent="0.25">
      <c r="A119">
        <f>INDEX(Albums!$A:$A, MATCH(C119,Albums!$C:$C,0))</f>
        <v>1</v>
      </c>
      <c r="B119">
        <f>INDEX(Albums!$B:$B, MATCH(C119,Albums!$C:$C,0))</f>
        <v>2016</v>
      </c>
      <c r="C119" t="s">
        <v>2</v>
      </c>
      <c r="D119">
        <v>8</v>
      </c>
      <c r="E119" t="s">
        <v>202</v>
      </c>
      <c r="F119" t="s">
        <v>203</v>
      </c>
      <c r="G119" s="28" t="s">
        <v>384</v>
      </c>
      <c r="H119" s="3" t="s">
        <v>25</v>
      </c>
      <c r="I119" s="3" t="s">
        <v>25</v>
      </c>
      <c r="J119" s="4">
        <v>72</v>
      </c>
      <c r="K119" s="4" t="s">
        <v>371</v>
      </c>
      <c r="L119" s="10">
        <v>7017786</v>
      </c>
      <c r="M119" s="4">
        <v>2014</v>
      </c>
      <c r="N119" s="4" t="s">
        <v>438</v>
      </c>
      <c r="O119" t="s">
        <v>1199</v>
      </c>
      <c r="P119" s="23" t="s">
        <v>46</v>
      </c>
      <c r="Q119">
        <v>73</v>
      </c>
      <c r="R119" t="s">
        <v>25</v>
      </c>
      <c r="S119" t="s">
        <v>25</v>
      </c>
      <c r="U119" t="s">
        <v>478</v>
      </c>
      <c r="V119" t="str">
        <f>IF(AND(ISNUMBER(L119),COUNTIF([1]Songs!$L:$L,L119)&gt;0),"YES","")</f>
        <v>YES</v>
      </c>
      <c r="W119" t="e">
        <f>IF(AND(ISNUMBER(L119),COUNTIF([2]Songs!$J:$J,L119)&gt;0),"YES","")</f>
        <v>#VALUE!</v>
      </c>
      <c r="X119" t="e">
        <f>IF(AND(ISNUMBER(L119),COUNTIF([3]CcliCombined!$D:$D,L119)&gt;0),"YES","")</f>
        <v>#VALUE!</v>
      </c>
      <c r="Y119" t="e">
        <f>IF(AND(ISNUMBER(L119),COUNTIF([4]Songs!$H:$H,L119)&gt;0),"YES","")</f>
        <v>#VALUE!</v>
      </c>
      <c r="Z119" t="s">
        <v>630</v>
      </c>
      <c r="AB119">
        <v>118</v>
      </c>
      <c r="AD119" t="str">
        <f t="shared" si="3"/>
        <v>G</v>
      </c>
    </row>
    <row r="120" spans="1:32" x14ac:dyDescent="0.25">
      <c r="A120">
        <f>INDEX(Albums!$A:$A, MATCH(C120,Albums!$C:$C,0))</f>
        <v>1</v>
      </c>
      <c r="B120">
        <f>INDEX(Albums!$B:$B, MATCH(C120,Albums!$C:$C,0))</f>
        <v>2016</v>
      </c>
      <c r="C120" t="s">
        <v>2</v>
      </c>
      <c r="D120">
        <v>9</v>
      </c>
      <c r="E120" t="s">
        <v>204</v>
      </c>
      <c r="F120" t="s">
        <v>23</v>
      </c>
      <c r="G120" s="28" t="s">
        <v>1162</v>
      </c>
      <c r="I120" t="s">
        <v>47</v>
      </c>
      <c r="J120">
        <v>78</v>
      </c>
      <c r="K120" s="11" t="s">
        <v>371</v>
      </c>
      <c r="L120" s="10">
        <v>7032344</v>
      </c>
      <c r="M120" s="4">
        <v>2014</v>
      </c>
      <c r="N120" t="s">
        <v>1110</v>
      </c>
      <c r="O120" t="s">
        <v>1199</v>
      </c>
      <c r="P120" s="23" t="s">
        <v>205</v>
      </c>
      <c r="Q120">
        <v>78</v>
      </c>
      <c r="R120" t="s">
        <v>31</v>
      </c>
      <c r="S120" t="s">
        <v>31</v>
      </c>
      <c r="U120" t="s">
        <v>478</v>
      </c>
      <c r="V120" t="str">
        <f>IF(AND(ISNUMBER(L120),COUNTIF([1]Songs!$L:$L,L120)&gt;0),"YES","")</f>
        <v/>
      </c>
      <c r="W120" t="e">
        <f>IF(AND(ISNUMBER(L120),COUNTIF([2]Songs!$J:$J,L120)&gt;0),"YES","")</f>
        <v>#VALUE!</v>
      </c>
      <c r="X120" t="e">
        <f>IF(AND(ISNUMBER(L120),COUNTIF([3]CcliCombined!$D:$D,L120)&gt;0),"YES","")</f>
        <v>#VALUE!</v>
      </c>
      <c r="Y120" t="e">
        <f>IF(AND(ISNUMBER(L120),COUNTIF([4]Songs!$H:$H,L120)&gt;0),"YES","")</f>
        <v>#VALUE!</v>
      </c>
      <c r="Z120" t="s">
        <v>630</v>
      </c>
      <c r="AB120">
        <v>119</v>
      </c>
      <c r="AD120" t="str">
        <f t="shared" si="3"/>
        <v>C  B</v>
      </c>
    </row>
    <row r="121" spans="1:32" x14ac:dyDescent="0.25">
      <c r="A121">
        <f>INDEX(Albums!$A:$A, MATCH(C121,Albums!$C:$C,0))</f>
        <v>1</v>
      </c>
      <c r="B121">
        <f>INDEX(Albums!$B:$B, MATCH(C121,Albums!$C:$C,0))</f>
        <v>2016</v>
      </c>
      <c r="C121" t="s">
        <v>2</v>
      </c>
      <c r="D121">
        <v>10</v>
      </c>
      <c r="E121" t="s">
        <v>206</v>
      </c>
      <c r="F121" t="s">
        <v>23</v>
      </c>
      <c r="G121" s="28" t="s">
        <v>1163</v>
      </c>
      <c r="I121" t="s">
        <v>31</v>
      </c>
      <c r="J121">
        <v>80</v>
      </c>
      <c r="K121" s="11" t="s">
        <v>371</v>
      </c>
      <c r="L121" s="10">
        <v>6011370</v>
      </c>
      <c r="M121" s="4">
        <v>2011</v>
      </c>
      <c r="N121" t="s">
        <v>1109</v>
      </c>
      <c r="O121" t="s">
        <v>1199</v>
      </c>
      <c r="P121" s="23" t="s">
        <v>207</v>
      </c>
      <c r="Q121">
        <v>70</v>
      </c>
      <c r="R121" t="s">
        <v>31</v>
      </c>
      <c r="S121" t="s">
        <v>31</v>
      </c>
      <c r="U121" t="s">
        <v>478</v>
      </c>
      <c r="V121" t="str">
        <f>IF(AND(ISNUMBER(L121),COUNTIF([1]Songs!$L:$L,L121)&gt;0),"YES","")</f>
        <v/>
      </c>
      <c r="W121" t="e">
        <f>IF(AND(ISNUMBER(L121),COUNTIF([2]Songs!$J:$J,L121)&gt;0),"YES","")</f>
        <v>#VALUE!</v>
      </c>
      <c r="X121" t="e">
        <f>IF(AND(ISNUMBER(L121),COUNTIF([3]CcliCombined!$D:$D,L121)&gt;0),"YES","")</f>
        <v>#VALUE!</v>
      </c>
      <c r="Y121" t="e">
        <f>IF(AND(ISNUMBER(L121),COUNTIF([4]Songs!$H:$H,L121)&gt;0),"YES","")</f>
        <v>#VALUE!</v>
      </c>
      <c r="Z121" t="s">
        <v>630</v>
      </c>
      <c r="AB121">
        <v>120</v>
      </c>
      <c r="AD121" t="str">
        <f t="shared" si="3"/>
        <v xml:space="preserve">B </v>
      </c>
    </row>
    <row r="122" spans="1:32" x14ac:dyDescent="0.25">
      <c r="A122">
        <f>INDEX(Albums!$A:$A, MATCH(C122,Albums!$C:$C,0))</f>
        <v>1</v>
      </c>
      <c r="B122">
        <f>INDEX(Albums!$B:$B, MATCH(C122,Albums!$C:$C,0))</f>
        <v>2016</v>
      </c>
      <c r="C122" t="s">
        <v>2</v>
      </c>
      <c r="D122">
        <v>11</v>
      </c>
      <c r="E122" t="s">
        <v>208</v>
      </c>
      <c r="F122" t="s">
        <v>23</v>
      </c>
      <c r="G122" s="28" t="s">
        <v>1164</v>
      </c>
      <c r="I122" t="s">
        <v>31</v>
      </c>
      <c r="J122">
        <v>52</v>
      </c>
      <c r="K122" s="11" t="s">
        <v>425</v>
      </c>
      <c r="L122" s="10">
        <v>6327734</v>
      </c>
      <c r="M122" s="4">
        <v>2012</v>
      </c>
      <c r="N122" t="s">
        <v>666</v>
      </c>
      <c r="O122" t="s">
        <v>1199</v>
      </c>
      <c r="P122" s="23" t="s">
        <v>207</v>
      </c>
      <c r="Q122">
        <v>76.5</v>
      </c>
      <c r="R122" t="s">
        <v>31</v>
      </c>
      <c r="S122" t="s">
        <v>31</v>
      </c>
      <c r="U122" t="s">
        <v>478</v>
      </c>
      <c r="V122" t="str">
        <f>IF(AND(ISNUMBER(L122),COUNTIF([1]Songs!$L:$L,L122)&gt;0),"YES","")</f>
        <v/>
      </c>
      <c r="W122" t="e">
        <f>IF(AND(ISNUMBER(L122),COUNTIF([2]Songs!$J:$J,L122)&gt;0),"YES","")</f>
        <v>#VALUE!</v>
      </c>
      <c r="X122" t="e">
        <f>IF(AND(ISNUMBER(L122),COUNTIF([3]CcliCombined!$D:$D,L122)&gt;0),"YES","")</f>
        <v>#VALUE!</v>
      </c>
      <c r="Y122" t="e">
        <f>IF(AND(ISNUMBER(L122),COUNTIF([4]Songs!$H:$H,L122)&gt;0),"YES","")</f>
        <v>#VALUE!</v>
      </c>
      <c r="Z122" t="s">
        <v>630</v>
      </c>
      <c r="AB122">
        <v>121</v>
      </c>
      <c r="AD122" t="str">
        <f t="shared" si="3"/>
        <v xml:space="preserve">B </v>
      </c>
    </row>
    <row r="123" spans="1:32" hidden="1" x14ac:dyDescent="0.25">
      <c r="A123">
        <f>INDEX(Albums!$A:$A, MATCH(C123,Albums!$C:$C,0))</f>
        <v>1</v>
      </c>
      <c r="B123">
        <f>INDEX(Albums!$B:$B, MATCH(C123,Albums!$C:$C,0))</f>
        <v>2017</v>
      </c>
      <c r="C123" t="s">
        <v>3</v>
      </c>
      <c r="D123">
        <v>1</v>
      </c>
      <c r="E123" t="s">
        <v>209</v>
      </c>
      <c r="F123" t="s">
        <v>23</v>
      </c>
      <c r="G123" s="28" t="s">
        <v>1104</v>
      </c>
      <c r="L123" s="10">
        <v>7083703</v>
      </c>
      <c r="M123" s="4">
        <v>2016</v>
      </c>
      <c r="N123" t="s">
        <v>1105</v>
      </c>
      <c r="P123" s="23" t="s">
        <v>70</v>
      </c>
      <c r="Q123">
        <v>59.5</v>
      </c>
      <c r="R123" t="s">
        <v>52</v>
      </c>
      <c r="S123" t="s">
        <v>52</v>
      </c>
      <c r="V123" t="str">
        <f>IF(AND(ISNUMBER(L123),COUNTIF([1]Songs!$L:$L,L123)&gt;0),"YES","")</f>
        <v/>
      </c>
      <c r="W123" t="e">
        <f>IF(AND(ISNUMBER(L123),COUNTIF([2]Songs!$J:$J,L123)&gt;0),"YES","")</f>
        <v>#VALUE!</v>
      </c>
      <c r="X123" t="e">
        <f>IF(AND(ISNUMBER(L123),COUNTIF([3]CcliCombined!$D:$D,L123)&gt;0),"YES","")</f>
        <v>#VALUE!</v>
      </c>
      <c r="Y123" t="e">
        <f>IF(AND(ISNUMBER(L123),COUNTIF([4]Songs!$H:$H,L123)&gt;0),"YES","")</f>
        <v>#VALUE!</v>
      </c>
      <c r="Z123" t="s">
        <v>630</v>
      </c>
      <c r="AA123" t="s">
        <v>1196</v>
      </c>
      <c r="AB123">
        <v>122</v>
      </c>
      <c r="AC123" t="s">
        <v>1032</v>
      </c>
      <c r="AD123" t="str">
        <f t="shared" si="3"/>
        <v xml:space="preserve"> A</v>
      </c>
      <c r="AF123" t="s">
        <v>1197</v>
      </c>
    </row>
    <row r="124" spans="1:32" x14ac:dyDescent="0.25">
      <c r="A124">
        <f>INDEX(Albums!$A:$A, MATCH(C124,Albums!$C:$C,0))</f>
        <v>1</v>
      </c>
      <c r="B124">
        <f>INDEX(Albums!$B:$B, MATCH(C124,Albums!$C:$C,0))</f>
        <v>2017</v>
      </c>
      <c r="C124" t="s">
        <v>3</v>
      </c>
      <c r="D124">
        <v>2</v>
      </c>
      <c r="E124" t="s">
        <v>210</v>
      </c>
      <c r="F124" t="s">
        <v>23</v>
      </c>
      <c r="G124" s="28" t="s">
        <v>1165</v>
      </c>
      <c r="I124" t="s">
        <v>31</v>
      </c>
      <c r="J124">
        <v>116</v>
      </c>
      <c r="K124" s="11" t="s">
        <v>380</v>
      </c>
      <c r="L124" s="10">
        <v>7030068</v>
      </c>
      <c r="M124" s="4">
        <v>2014</v>
      </c>
      <c r="N124" t="s">
        <v>434</v>
      </c>
      <c r="O124" t="s">
        <v>1199</v>
      </c>
      <c r="P124" s="23" t="s">
        <v>211</v>
      </c>
      <c r="Q124">
        <v>58</v>
      </c>
      <c r="R124" t="s">
        <v>52</v>
      </c>
      <c r="S124" t="s">
        <v>52</v>
      </c>
      <c r="U124" t="s">
        <v>478</v>
      </c>
      <c r="V124" t="str">
        <f>IF(AND(ISNUMBER(L124),COUNTIF([1]Songs!$L:$L,L124)&gt;0),"YES","")</f>
        <v/>
      </c>
      <c r="W124" t="e">
        <f>IF(AND(ISNUMBER(L124),COUNTIF([2]Songs!$J:$J,L124)&gt;0),"YES","")</f>
        <v>#VALUE!</v>
      </c>
      <c r="X124" t="e">
        <f>IF(AND(ISNUMBER(L124),COUNTIF([3]CcliCombined!$D:$D,L124)&gt;0),"YES","")</f>
        <v>#VALUE!</v>
      </c>
      <c r="Y124" t="e">
        <f>IF(AND(ISNUMBER(L124),COUNTIF([4]Songs!$H:$H,L124)&gt;0),"YES","")</f>
        <v>#VALUE!</v>
      </c>
      <c r="Z124" t="s">
        <v>630</v>
      </c>
      <c r="AB124">
        <v>123</v>
      </c>
      <c r="AD124" t="str">
        <f t="shared" si="3"/>
        <v>B  A</v>
      </c>
    </row>
    <row r="125" spans="1:32" x14ac:dyDescent="0.25">
      <c r="A125">
        <f>INDEX(Albums!$A:$A, MATCH(C125,Albums!$C:$C,0))</f>
        <v>1</v>
      </c>
      <c r="B125">
        <f>INDEX(Albums!$B:$B, MATCH(C125,Albums!$C:$C,0))</f>
        <v>2017</v>
      </c>
      <c r="C125" t="s">
        <v>3</v>
      </c>
      <c r="D125">
        <v>3</v>
      </c>
      <c r="E125" t="s">
        <v>212</v>
      </c>
      <c r="F125" t="s">
        <v>23</v>
      </c>
      <c r="G125" s="28" t="s">
        <v>439</v>
      </c>
      <c r="H125" s="3" t="s">
        <v>31</v>
      </c>
      <c r="I125" s="3" t="s">
        <v>31</v>
      </c>
      <c r="J125" s="4">
        <v>90</v>
      </c>
      <c r="K125" s="5" t="s">
        <v>371</v>
      </c>
      <c r="L125" s="10">
        <v>7038281</v>
      </c>
      <c r="M125" s="4">
        <v>2015</v>
      </c>
      <c r="N125" s="6" t="s">
        <v>440</v>
      </c>
      <c r="O125" t="s">
        <v>1199</v>
      </c>
      <c r="P125" s="23" t="s">
        <v>213</v>
      </c>
      <c r="Q125">
        <v>90</v>
      </c>
      <c r="R125" t="s">
        <v>52</v>
      </c>
      <c r="S125" t="s">
        <v>52</v>
      </c>
      <c r="U125" t="s">
        <v>478</v>
      </c>
      <c r="V125" t="str">
        <f>IF(AND(ISNUMBER(L125),COUNTIF([1]Songs!$L:$L,L125)&gt;0),"YES","")</f>
        <v>YES</v>
      </c>
      <c r="W125" t="e">
        <f>IF(AND(ISNUMBER(L125),COUNTIF([2]Songs!$J:$J,L125)&gt;0),"YES","")</f>
        <v>#VALUE!</v>
      </c>
      <c r="X125" t="e">
        <f>IF(AND(ISNUMBER(L125),COUNTIF([3]CcliCombined!$D:$D,L125)&gt;0),"YES","")</f>
        <v>#VALUE!</v>
      </c>
      <c r="Y125" t="e">
        <f>IF(AND(ISNUMBER(L125),COUNTIF([4]Songs!$H:$H,L125)&gt;0),"YES","")</f>
        <v>#VALUE!</v>
      </c>
      <c r="Z125" t="s">
        <v>630</v>
      </c>
      <c r="AB125">
        <v>124</v>
      </c>
      <c r="AD125" t="str">
        <f t="shared" si="3"/>
        <v>B A</v>
      </c>
    </row>
    <row r="126" spans="1:32" x14ac:dyDescent="0.25">
      <c r="A126">
        <f>INDEX(Albums!$A:$A, MATCH(C126,Albums!$C:$C,0))</f>
        <v>1</v>
      </c>
      <c r="B126">
        <f>INDEX(Albums!$B:$B, MATCH(C126,Albums!$C:$C,0))</f>
        <v>2017</v>
      </c>
      <c r="C126" t="s">
        <v>3</v>
      </c>
      <c r="D126">
        <v>4</v>
      </c>
      <c r="E126" t="s">
        <v>214</v>
      </c>
      <c r="F126" t="s">
        <v>23</v>
      </c>
      <c r="G126" s="28" t="s">
        <v>1166</v>
      </c>
      <c r="I126" t="s">
        <v>28</v>
      </c>
      <c r="J126">
        <v>132</v>
      </c>
      <c r="K126" s="11" t="s">
        <v>371</v>
      </c>
      <c r="L126" s="10">
        <v>6605212</v>
      </c>
      <c r="M126" s="4">
        <v>2012</v>
      </c>
      <c r="N126" t="s">
        <v>372</v>
      </c>
      <c r="O126" t="s">
        <v>1199</v>
      </c>
      <c r="P126" s="23" t="s">
        <v>215</v>
      </c>
      <c r="Q126">
        <v>132</v>
      </c>
      <c r="R126" t="s">
        <v>39</v>
      </c>
      <c r="S126" t="s">
        <v>39</v>
      </c>
      <c r="U126" t="s">
        <v>478</v>
      </c>
      <c r="V126" t="str">
        <f>IF(AND(ISNUMBER(L126),COUNTIF([1]Songs!$L:$L,L126)&gt;0),"YES","")</f>
        <v/>
      </c>
      <c r="W126" t="e">
        <f>IF(AND(ISNUMBER(L126),COUNTIF([2]Songs!$J:$J,L126)&gt;0),"YES","")</f>
        <v>#VALUE!</v>
      </c>
      <c r="X126" t="e">
        <f>IF(AND(ISNUMBER(L126),COUNTIF([3]CcliCombined!$D:$D,L126)&gt;0),"YES","")</f>
        <v>#VALUE!</v>
      </c>
      <c r="Y126" t="e">
        <f>IF(AND(ISNUMBER(L126),COUNTIF([4]Songs!$H:$H,L126)&gt;0),"YES","")</f>
        <v>#VALUE!</v>
      </c>
      <c r="Z126" t="s">
        <v>630</v>
      </c>
      <c r="AB126">
        <v>125</v>
      </c>
      <c r="AD126" t="str">
        <f t="shared" si="3"/>
        <v>Bb  D</v>
      </c>
    </row>
    <row r="127" spans="1:32" hidden="1" x14ac:dyDescent="0.25">
      <c r="A127">
        <f>INDEX(Albums!$A:$A, MATCH(C127,Albums!$C:$C,0))</f>
        <v>1</v>
      </c>
      <c r="B127">
        <f>INDEX(Albums!$B:$B, MATCH(C127,Albums!$C:$C,0))</f>
        <v>2017</v>
      </c>
      <c r="C127" t="s">
        <v>3</v>
      </c>
      <c r="D127">
        <v>5</v>
      </c>
      <c r="E127" t="s">
        <v>216</v>
      </c>
      <c r="F127" t="s">
        <v>199</v>
      </c>
      <c r="G127" s="28" t="s">
        <v>845</v>
      </c>
      <c r="H127" s="3" t="s">
        <v>39</v>
      </c>
      <c r="I127" s="3" t="s">
        <v>39</v>
      </c>
      <c r="J127" s="4">
        <v>69</v>
      </c>
      <c r="K127" s="5" t="s">
        <v>371</v>
      </c>
      <c r="L127" s="9">
        <v>7030065</v>
      </c>
      <c r="M127" s="4">
        <v>2014</v>
      </c>
      <c r="N127" s="6" t="s">
        <v>434</v>
      </c>
      <c r="O127" t="s">
        <v>934</v>
      </c>
      <c r="P127" s="23" t="s">
        <v>217</v>
      </c>
      <c r="Q127">
        <v>69</v>
      </c>
      <c r="R127" t="s">
        <v>39</v>
      </c>
      <c r="S127" t="s">
        <v>39</v>
      </c>
      <c r="U127" t="s">
        <v>478</v>
      </c>
      <c r="V127" t="str">
        <f>IF(AND(ISNUMBER(L127),COUNTIF([1]Songs!$L:$L,L127)&gt;0),"YES","")</f>
        <v>YES</v>
      </c>
      <c r="W127" t="e">
        <f>IF(AND(ISNUMBER(L127),COUNTIF([2]Songs!$J:$J,L127)&gt;0),"YES","")</f>
        <v>#VALUE!</v>
      </c>
      <c r="X127" t="e">
        <f>IF(AND(ISNUMBER(L127),COUNTIF([3]CcliCombined!$D:$D,L127)&gt;0),"YES","")</f>
        <v>#VALUE!</v>
      </c>
      <c r="Y127" t="e">
        <f>IF(AND(ISNUMBER(L127),COUNTIF([4]Songs!$H:$H,L127)&gt;0),"YES","")</f>
        <v>#VALUE!</v>
      </c>
      <c r="Z127" t="s">
        <v>630</v>
      </c>
      <c r="AB127">
        <v>126</v>
      </c>
      <c r="AD127" t="str">
        <f t="shared" si="3"/>
        <v>D</v>
      </c>
      <c r="AF127" t="s">
        <v>1197</v>
      </c>
    </row>
    <row r="128" spans="1:32" x14ac:dyDescent="0.25">
      <c r="A128">
        <f>INDEX(Albums!$A:$A, MATCH(C128,Albums!$C:$C,0))</f>
        <v>1</v>
      </c>
      <c r="B128">
        <f>INDEX(Albums!$B:$B, MATCH(C128,Albums!$C:$C,0))</f>
        <v>2017</v>
      </c>
      <c r="C128" t="s">
        <v>3</v>
      </c>
      <c r="D128">
        <v>6</v>
      </c>
      <c r="E128" t="s">
        <v>216</v>
      </c>
      <c r="F128" t="s">
        <v>218</v>
      </c>
      <c r="G128" s="28" t="s">
        <v>845</v>
      </c>
      <c r="H128" s="3" t="s">
        <v>39</v>
      </c>
      <c r="I128" s="3" t="s">
        <v>39</v>
      </c>
      <c r="J128" s="4">
        <v>69</v>
      </c>
      <c r="K128" s="5" t="s">
        <v>371</v>
      </c>
      <c r="L128" s="9">
        <v>7030065</v>
      </c>
      <c r="M128" s="4">
        <v>2014</v>
      </c>
      <c r="N128" s="6" t="s">
        <v>434</v>
      </c>
      <c r="O128" t="s">
        <v>1199</v>
      </c>
      <c r="P128" s="23" t="s">
        <v>217</v>
      </c>
      <c r="Q128">
        <v>69</v>
      </c>
      <c r="R128" t="s">
        <v>52</v>
      </c>
      <c r="S128" t="s">
        <v>52</v>
      </c>
      <c r="U128" t="s">
        <v>478</v>
      </c>
      <c r="V128" t="str">
        <f>IF(AND(ISNUMBER(L128),COUNTIF([1]Songs!$L:$L,L128)&gt;0),"YES","")</f>
        <v>YES</v>
      </c>
      <c r="W128" t="e">
        <f>IF(AND(ISNUMBER(L128),COUNTIF([2]Songs!$J:$J,L128)&gt;0),"YES","")</f>
        <v>#VALUE!</v>
      </c>
      <c r="X128" t="e">
        <f>IF(AND(ISNUMBER(L128),COUNTIF([3]CcliCombined!$D:$D,L128)&gt;0),"YES","")</f>
        <v>#VALUE!</v>
      </c>
      <c r="Y128" t="e">
        <f>IF(AND(ISNUMBER(L128),COUNTIF([4]Songs!$H:$H,L128)&gt;0),"YES","")</f>
        <v>#VALUE!</v>
      </c>
      <c r="Z128" t="s">
        <v>630</v>
      </c>
      <c r="AB128">
        <v>127</v>
      </c>
      <c r="AD128" t="str">
        <f t="shared" si="3"/>
        <v>D A</v>
      </c>
    </row>
    <row r="129" spans="1:32" x14ac:dyDescent="0.25">
      <c r="A129">
        <f>INDEX(Albums!$A:$A, MATCH(C129,Albums!$C:$C,0))</f>
        <v>1</v>
      </c>
      <c r="B129">
        <f>INDEX(Albums!$B:$B, MATCH(C129,Albums!$C:$C,0))</f>
        <v>2017</v>
      </c>
      <c r="C129" t="s">
        <v>3</v>
      </c>
      <c r="D129">
        <v>7</v>
      </c>
      <c r="E129" t="s">
        <v>219</v>
      </c>
      <c r="F129" t="s">
        <v>23</v>
      </c>
      <c r="G129" s="28" t="s">
        <v>441</v>
      </c>
      <c r="H129" s="3" t="s">
        <v>39</v>
      </c>
      <c r="I129" s="3" t="s">
        <v>39</v>
      </c>
      <c r="J129" s="4">
        <v>68</v>
      </c>
      <c r="K129" s="5" t="s">
        <v>371</v>
      </c>
      <c r="L129" s="10">
        <v>7068424</v>
      </c>
      <c r="M129" s="4">
        <v>2016</v>
      </c>
      <c r="N129" s="4" t="s">
        <v>372</v>
      </c>
      <c r="O129" t="s">
        <v>1199</v>
      </c>
      <c r="P129" s="23" t="s">
        <v>220</v>
      </c>
      <c r="Q129">
        <v>68</v>
      </c>
      <c r="R129" t="s">
        <v>39</v>
      </c>
      <c r="S129" t="s">
        <v>39</v>
      </c>
      <c r="U129" t="s">
        <v>478</v>
      </c>
      <c r="V129" t="str">
        <f>IF(AND(ISNUMBER(L129),COUNTIF([1]Songs!$L:$L,L129)&gt;0),"YES","")</f>
        <v>YES</v>
      </c>
      <c r="W129" t="e">
        <f>IF(AND(ISNUMBER(L129),COUNTIF([2]Songs!$J:$J,L129)&gt;0),"YES","")</f>
        <v>#VALUE!</v>
      </c>
      <c r="X129" t="e">
        <f>IF(AND(ISNUMBER(L129),COUNTIF([3]CcliCombined!$D:$D,L129)&gt;0),"YES","")</f>
        <v>#VALUE!</v>
      </c>
      <c r="Y129" t="e">
        <f>IF(AND(ISNUMBER(L129),COUNTIF([4]Songs!$H:$H,L129)&gt;0),"YES","")</f>
        <v>#VALUE!</v>
      </c>
      <c r="Z129" t="s">
        <v>630</v>
      </c>
      <c r="AB129">
        <v>128</v>
      </c>
      <c r="AD129" t="str">
        <f t="shared" si="3"/>
        <v>D</v>
      </c>
    </row>
    <row r="130" spans="1:32" hidden="1" x14ac:dyDescent="0.25">
      <c r="A130">
        <f>INDEX(Albums!$A:$A, MATCH(C130,Albums!$C:$C,0))</f>
        <v>1</v>
      </c>
      <c r="B130">
        <f>INDEX(Albums!$B:$B, MATCH(C130,Albums!$C:$C,0))</f>
        <v>2017</v>
      </c>
      <c r="C130" t="s">
        <v>3</v>
      </c>
      <c r="D130">
        <v>8</v>
      </c>
      <c r="E130" t="s">
        <v>221</v>
      </c>
      <c r="F130" t="s">
        <v>23</v>
      </c>
      <c r="G130" s="28" t="s">
        <v>1108</v>
      </c>
      <c r="L130" s="10">
        <v>7083710</v>
      </c>
      <c r="M130" s="4">
        <v>2016</v>
      </c>
      <c r="N130" t="s">
        <v>1105</v>
      </c>
      <c r="P130" s="23" t="s">
        <v>70</v>
      </c>
      <c r="Q130">
        <v>67</v>
      </c>
      <c r="R130" t="s">
        <v>39</v>
      </c>
      <c r="S130" t="s">
        <v>39</v>
      </c>
      <c r="V130" t="str">
        <f>IF(AND(ISNUMBER(L130),COUNTIF([1]Songs!$L:$L,L130)&gt;0),"YES","")</f>
        <v/>
      </c>
      <c r="W130" t="e">
        <f>IF(AND(ISNUMBER(L130),COUNTIF([2]Songs!$J:$J,L130)&gt;0),"YES","")</f>
        <v>#VALUE!</v>
      </c>
      <c r="X130" t="e">
        <f>IF(AND(ISNUMBER(L130),COUNTIF([3]CcliCombined!$D:$D,L130)&gt;0),"YES","")</f>
        <v>#VALUE!</v>
      </c>
      <c r="Y130" t="e">
        <f>IF(AND(ISNUMBER(L130),COUNTIF([4]Songs!$H:$H,L130)&gt;0),"YES","")</f>
        <v>#VALUE!</v>
      </c>
      <c r="Z130" t="s">
        <v>630</v>
      </c>
      <c r="AA130" t="s">
        <v>1196</v>
      </c>
      <c r="AB130">
        <v>129</v>
      </c>
      <c r="AC130" t="s">
        <v>1032</v>
      </c>
      <c r="AD130" t="str">
        <f t="shared" ref="AD130:AD155" si="4">I130
&amp;IF(H130=I130,""," "&amp;H130)
&amp;IF(OR(R130=I130,R130=H130),""," "&amp;R130)
&amp;IF(R130=S130,""," "&amp;S130)</f>
        <v xml:space="preserve"> D</v>
      </c>
      <c r="AF130" t="s">
        <v>1197</v>
      </c>
    </row>
    <row r="131" spans="1:32" x14ac:dyDescent="0.25">
      <c r="A131">
        <f>INDEX(Albums!$A:$A, MATCH(C131,Albums!$C:$C,0))</f>
        <v>1</v>
      </c>
      <c r="B131">
        <f>INDEX(Albums!$B:$B, MATCH(C131,Albums!$C:$C,0))</f>
        <v>2017</v>
      </c>
      <c r="C131" t="s">
        <v>3</v>
      </c>
      <c r="D131">
        <v>9</v>
      </c>
      <c r="E131" t="s">
        <v>222</v>
      </c>
      <c r="F131" t="s">
        <v>23</v>
      </c>
      <c r="G131" s="28" t="s">
        <v>1167</v>
      </c>
      <c r="I131" t="s">
        <v>47</v>
      </c>
      <c r="J131">
        <v>135</v>
      </c>
      <c r="K131" s="11" t="s">
        <v>425</v>
      </c>
      <c r="L131" s="10">
        <v>7017790</v>
      </c>
      <c r="M131" s="4">
        <v>2014</v>
      </c>
      <c r="N131" t="s">
        <v>1107</v>
      </c>
      <c r="O131" t="s">
        <v>1199</v>
      </c>
      <c r="P131" s="23" t="s">
        <v>96</v>
      </c>
      <c r="Q131">
        <v>68</v>
      </c>
      <c r="R131" t="s">
        <v>31</v>
      </c>
      <c r="S131" t="s">
        <v>31</v>
      </c>
      <c r="U131" t="s">
        <v>478</v>
      </c>
      <c r="V131" t="str">
        <f>IF(AND(ISNUMBER(L131),COUNTIF([1]Songs!$L:$L,L131)&gt;0),"YES","")</f>
        <v/>
      </c>
      <c r="W131" t="e">
        <f>IF(AND(ISNUMBER(L131),COUNTIF([2]Songs!$J:$J,L131)&gt;0),"YES","")</f>
        <v>#VALUE!</v>
      </c>
      <c r="X131" t="e">
        <f>IF(AND(ISNUMBER(L131),COUNTIF([3]CcliCombined!$D:$D,L131)&gt;0),"YES","")</f>
        <v>#VALUE!</v>
      </c>
      <c r="Y131" t="e">
        <f>IF(AND(ISNUMBER(L131),COUNTIF([4]Songs!$H:$H,L131)&gt;0),"YES","")</f>
        <v>#VALUE!</v>
      </c>
      <c r="Z131" t="s">
        <v>630</v>
      </c>
      <c r="AB131">
        <v>130</v>
      </c>
      <c r="AD131" t="str">
        <f t="shared" si="4"/>
        <v>C  B</v>
      </c>
    </row>
    <row r="132" spans="1:32" x14ac:dyDescent="0.25">
      <c r="A132">
        <f>INDEX(Albums!$A:$A, MATCH(C132,Albums!$C:$C,0))</f>
        <v>1</v>
      </c>
      <c r="B132">
        <f>INDEX(Albums!$B:$B, MATCH(C132,Albums!$C:$C,0))</f>
        <v>2017</v>
      </c>
      <c r="C132" t="s">
        <v>3</v>
      </c>
      <c r="D132">
        <v>10</v>
      </c>
      <c r="E132" t="s">
        <v>223</v>
      </c>
      <c r="F132" t="s">
        <v>23</v>
      </c>
      <c r="G132" s="28" t="s">
        <v>442</v>
      </c>
      <c r="H132" s="3" t="s">
        <v>47</v>
      </c>
      <c r="I132" s="3" t="s">
        <v>47</v>
      </c>
      <c r="J132" s="4">
        <v>72</v>
      </c>
      <c r="K132" s="5" t="s">
        <v>371</v>
      </c>
      <c r="L132" s="10">
        <v>6518055</v>
      </c>
      <c r="M132" s="4">
        <v>2013</v>
      </c>
      <c r="N132" s="6" t="s">
        <v>378</v>
      </c>
      <c r="O132" t="s">
        <v>1199</v>
      </c>
      <c r="P132" s="23" t="s">
        <v>35</v>
      </c>
      <c r="Q132">
        <v>72</v>
      </c>
      <c r="R132" t="s">
        <v>31</v>
      </c>
      <c r="S132" t="s">
        <v>31</v>
      </c>
      <c r="U132" t="s">
        <v>478</v>
      </c>
      <c r="V132" t="str">
        <f>IF(AND(ISNUMBER(L132),COUNTIF([1]Songs!$L:$L,L132)&gt;0),"YES","")</f>
        <v>YES</v>
      </c>
      <c r="W132" t="e">
        <f>IF(AND(ISNUMBER(L132),COUNTIF([2]Songs!$J:$J,L132)&gt;0),"YES","")</f>
        <v>#VALUE!</v>
      </c>
      <c r="X132" t="e">
        <f>IF(AND(ISNUMBER(L132),COUNTIF([3]CcliCombined!$D:$D,L132)&gt;0),"YES","")</f>
        <v>#VALUE!</v>
      </c>
      <c r="Y132" t="e">
        <f>IF(AND(ISNUMBER(L132),COUNTIF([4]Songs!$H:$H,L132)&gt;0),"YES","")</f>
        <v>#VALUE!</v>
      </c>
      <c r="Z132" t="s">
        <v>630</v>
      </c>
      <c r="AB132">
        <v>131</v>
      </c>
      <c r="AD132" t="str">
        <f t="shared" si="4"/>
        <v>C B</v>
      </c>
    </row>
    <row r="133" spans="1:32" x14ac:dyDescent="0.25">
      <c r="A133">
        <f>INDEX(Albums!$A:$A, MATCH(C133,Albums!$C:$C,0))</f>
        <v>1</v>
      </c>
      <c r="B133">
        <f>INDEX(Albums!$B:$B, MATCH(C133,Albums!$C:$C,0))</f>
        <v>2017</v>
      </c>
      <c r="C133" t="s">
        <v>3</v>
      </c>
      <c r="D133">
        <v>11</v>
      </c>
      <c r="E133" t="s">
        <v>224</v>
      </c>
      <c r="F133" t="s">
        <v>23</v>
      </c>
      <c r="G133" s="28" t="s">
        <v>391</v>
      </c>
      <c r="H133" s="3" t="s">
        <v>25</v>
      </c>
      <c r="I133" s="3" t="s">
        <v>25</v>
      </c>
      <c r="J133" s="4">
        <v>163</v>
      </c>
      <c r="K133" s="5" t="s">
        <v>425</v>
      </c>
      <c r="L133" s="10">
        <v>7036288</v>
      </c>
      <c r="M133" s="4">
        <v>2015</v>
      </c>
      <c r="N133" s="6" t="s">
        <v>443</v>
      </c>
      <c r="O133" t="s">
        <v>1199</v>
      </c>
      <c r="P133" s="23" t="s">
        <v>35</v>
      </c>
      <c r="Q133">
        <v>81</v>
      </c>
      <c r="R133" t="s">
        <v>25</v>
      </c>
      <c r="S133" t="s">
        <v>25</v>
      </c>
      <c r="U133" t="s">
        <v>478</v>
      </c>
      <c r="V133" t="str">
        <f>IF(AND(ISNUMBER(L133),COUNTIF([1]Songs!$L:$L,L133)&gt;0),"YES","")</f>
        <v>YES</v>
      </c>
      <c r="W133" t="e">
        <f>IF(AND(ISNUMBER(L133),COUNTIF([2]Songs!$J:$J,L133)&gt;0),"YES","")</f>
        <v>#VALUE!</v>
      </c>
      <c r="X133" t="e">
        <f>IF(AND(ISNUMBER(L133),COUNTIF([3]CcliCombined!$D:$D,L133)&gt;0),"YES","")</f>
        <v>#VALUE!</v>
      </c>
      <c r="Y133" t="e">
        <f>IF(AND(ISNUMBER(L133),COUNTIF([4]Songs!$H:$H,L133)&gt;0),"YES","")</f>
        <v>#VALUE!</v>
      </c>
      <c r="Z133" t="s">
        <v>630</v>
      </c>
      <c r="AB133">
        <v>132</v>
      </c>
      <c r="AD133" t="str">
        <f t="shared" si="4"/>
        <v>G</v>
      </c>
    </row>
    <row r="134" spans="1:32" x14ac:dyDescent="0.25">
      <c r="A134">
        <f>INDEX(Albums!$A:$A, MATCH(C134,Albums!$C:$C,0))</f>
        <v>1</v>
      </c>
      <c r="B134">
        <f>INDEX(Albums!$B:$B, MATCH(C134,Albums!$C:$C,0))</f>
        <v>2017</v>
      </c>
      <c r="C134" t="s">
        <v>3</v>
      </c>
      <c r="D134">
        <v>12</v>
      </c>
      <c r="E134" t="s">
        <v>225</v>
      </c>
      <c r="F134" t="s">
        <v>23</v>
      </c>
      <c r="G134" s="28" t="s">
        <v>226</v>
      </c>
      <c r="H134" s="3" t="s">
        <v>39</v>
      </c>
      <c r="I134" s="3" t="s">
        <v>39</v>
      </c>
      <c r="J134" s="4">
        <v>80</v>
      </c>
      <c r="K134" s="5" t="s">
        <v>371</v>
      </c>
      <c r="L134" s="10">
        <v>5881491</v>
      </c>
      <c r="M134" s="4">
        <v>2011</v>
      </c>
      <c r="N134" s="6" t="s">
        <v>444</v>
      </c>
      <c r="O134" t="s">
        <v>1199</v>
      </c>
      <c r="P134" s="23" t="s">
        <v>226</v>
      </c>
      <c r="Q134">
        <v>80</v>
      </c>
      <c r="R134" t="s">
        <v>47</v>
      </c>
      <c r="S134" t="s">
        <v>47</v>
      </c>
      <c r="U134" t="s">
        <v>478</v>
      </c>
      <c r="V134" t="str">
        <f>IF(AND(ISNUMBER(L134),COUNTIF([1]Songs!$L:$L,L134)&gt;0),"YES","")</f>
        <v>YES</v>
      </c>
      <c r="W134" t="e">
        <f>IF(AND(ISNUMBER(L134),COUNTIF([2]Songs!$J:$J,L134)&gt;0),"YES","")</f>
        <v>#VALUE!</v>
      </c>
      <c r="X134" t="e">
        <f>IF(AND(ISNUMBER(L134),COUNTIF([3]CcliCombined!$D:$D,L134)&gt;0),"YES","")</f>
        <v>#VALUE!</v>
      </c>
      <c r="Y134" t="e">
        <f>IF(AND(ISNUMBER(L134),COUNTIF([4]Songs!$H:$H,L134)&gt;0),"YES","")</f>
        <v>#VALUE!</v>
      </c>
      <c r="Z134" t="s">
        <v>630</v>
      </c>
      <c r="AB134">
        <v>133</v>
      </c>
      <c r="AD134" t="str">
        <f t="shared" si="4"/>
        <v>D C</v>
      </c>
    </row>
    <row r="135" spans="1:32" x14ac:dyDescent="0.25">
      <c r="A135">
        <f>INDEX(Albums!$A:$A, MATCH(C135,Albums!$C:$C,0))</f>
        <v>1</v>
      </c>
      <c r="B135">
        <f>INDEX(Albums!$B:$B, MATCH(C135,Albums!$C:$C,0))</f>
        <v>2017</v>
      </c>
      <c r="C135" t="s">
        <v>3</v>
      </c>
      <c r="D135">
        <v>13</v>
      </c>
      <c r="E135" t="s">
        <v>227</v>
      </c>
      <c r="F135" t="s">
        <v>23</v>
      </c>
      <c r="G135" s="28" t="s">
        <v>445</v>
      </c>
      <c r="H135" s="3" t="s">
        <v>47</v>
      </c>
      <c r="I135" s="3" t="s">
        <v>47</v>
      </c>
      <c r="J135" s="4">
        <v>72</v>
      </c>
      <c r="K135" s="5" t="s">
        <v>371</v>
      </c>
      <c r="L135" s="10">
        <v>7037787</v>
      </c>
      <c r="M135" s="4">
        <v>2015</v>
      </c>
      <c r="N135" s="4" t="s">
        <v>372</v>
      </c>
      <c r="O135" t="s">
        <v>1199</v>
      </c>
      <c r="P135" s="23" t="s">
        <v>24</v>
      </c>
      <c r="Q135">
        <v>72</v>
      </c>
      <c r="R135" t="s">
        <v>47</v>
      </c>
      <c r="S135" t="s">
        <v>47</v>
      </c>
      <c r="U135" t="s">
        <v>478</v>
      </c>
      <c r="V135" t="str">
        <f>IF(AND(ISNUMBER(L135),COUNTIF([1]Songs!$L:$L,L135)&gt;0),"YES","")</f>
        <v>YES</v>
      </c>
      <c r="W135" t="e">
        <f>IF(AND(ISNUMBER(L135),COUNTIF([2]Songs!$J:$J,L135)&gt;0),"YES","")</f>
        <v>#VALUE!</v>
      </c>
      <c r="X135" t="e">
        <f>IF(AND(ISNUMBER(L135),COUNTIF([3]CcliCombined!$D:$D,L135)&gt;0),"YES","")</f>
        <v>#VALUE!</v>
      </c>
      <c r="Y135" t="e">
        <f>IF(AND(ISNUMBER(L135),COUNTIF([4]Songs!$H:$H,L135)&gt;0),"YES","")</f>
        <v>#VALUE!</v>
      </c>
      <c r="Z135" t="s">
        <v>630</v>
      </c>
      <c r="AB135">
        <v>134</v>
      </c>
      <c r="AD135" t="str">
        <f t="shared" si="4"/>
        <v>C</v>
      </c>
    </row>
    <row r="136" spans="1:32" x14ac:dyDescent="0.25">
      <c r="A136">
        <f>INDEX(Albums!$A:$A, MATCH(C136,Albums!$C:$C,0))</f>
        <v>1</v>
      </c>
      <c r="B136">
        <f>INDEX(Albums!$B:$B, MATCH(C136,Albums!$C:$C,0))</f>
        <v>2017</v>
      </c>
      <c r="C136" t="s">
        <v>4</v>
      </c>
      <c r="D136">
        <v>1</v>
      </c>
      <c r="E136" t="s">
        <v>228</v>
      </c>
      <c r="F136" t="s">
        <v>23</v>
      </c>
      <c r="G136" s="28" t="s">
        <v>1168</v>
      </c>
      <c r="I136" t="s">
        <v>25</v>
      </c>
      <c r="J136">
        <v>76</v>
      </c>
      <c r="K136" s="11" t="s">
        <v>371</v>
      </c>
      <c r="L136" s="10">
        <v>7023294</v>
      </c>
      <c r="M136" s="4">
        <v>2014</v>
      </c>
      <c r="N136" t="s">
        <v>1106</v>
      </c>
      <c r="O136" t="s">
        <v>1199</v>
      </c>
      <c r="P136" s="23" t="s">
        <v>229</v>
      </c>
      <c r="Q136">
        <v>76</v>
      </c>
      <c r="R136" t="s">
        <v>39</v>
      </c>
      <c r="S136" t="s">
        <v>39</v>
      </c>
      <c r="U136" t="s">
        <v>478</v>
      </c>
      <c r="V136" t="str">
        <f>IF(AND(ISNUMBER(L136),COUNTIF([1]Songs!$L:$L,L136)&gt;0),"YES","")</f>
        <v/>
      </c>
      <c r="W136" t="e">
        <f>IF(AND(ISNUMBER(L136),COUNTIF([2]Songs!$J:$J,L136)&gt;0),"YES","")</f>
        <v>#VALUE!</v>
      </c>
      <c r="X136" t="e">
        <f>IF(AND(ISNUMBER(L136),COUNTIF([3]CcliCombined!$D:$D,L136)&gt;0),"YES","")</f>
        <v>#VALUE!</v>
      </c>
      <c r="Y136" t="e">
        <f>IF(AND(ISNUMBER(L136),COUNTIF([4]Songs!$H:$H,L136)&gt;0),"YES","")</f>
        <v>#VALUE!</v>
      </c>
      <c r="Z136" t="s">
        <v>630</v>
      </c>
      <c r="AB136">
        <v>135</v>
      </c>
      <c r="AD136" t="str">
        <f t="shared" si="4"/>
        <v>G  D</v>
      </c>
    </row>
    <row r="137" spans="1:32" x14ac:dyDescent="0.25">
      <c r="A137">
        <f>INDEX(Albums!$A:$A, MATCH(C137,Albums!$C:$C,0))</f>
        <v>1</v>
      </c>
      <c r="B137">
        <f>INDEX(Albums!$B:$B, MATCH(C137,Albums!$C:$C,0))</f>
        <v>2017</v>
      </c>
      <c r="C137" t="s">
        <v>4</v>
      </c>
      <c r="D137">
        <v>2</v>
      </c>
      <c r="E137" t="s">
        <v>230</v>
      </c>
      <c r="F137" t="s">
        <v>23</v>
      </c>
      <c r="G137" s="28" t="s">
        <v>1169</v>
      </c>
      <c r="I137" t="s">
        <v>31</v>
      </c>
      <c r="J137">
        <v>94</v>
      </c>
      <c r="K137" s="11" t="s">
        <v>371</v>
      </c>
      <c r="L137" s="10">
        <v>7068428</v>
      </c>
      <c r="M137" s="4">
        <v>2016</v>
      </c>
      <c r="N137" t="s">
        <v>372</v>
      </c>
      <c r="O137" t="s">
        <v>1199</v>
      </c>
      <c r="P137" s="23" t="s">
        <v>24</v>
      </c>
      <c r="Q137">
        <v>94</v>
      </c>
      <c r="R137" t="s">
        <v>39</v>
      </c>
      <c r="S137" t="s">
        <v>39</v>
      </c>
      <c r="U137" t="s">
        <v>478</v>
      </c>
      <c r="V137" t="str">
        <f>IF(AND(ISNUMBER(L137),COUNTIF([1]Songs!$L:$L,L137)&gt;0),"YES","")</f>
        <v/>
      </c>
      <c r="W137" t="e">
        <f>IF(AND(ISNUMBER(L137),COUNTIF([2]Songs!$J:$J,L137)&gt;0),"YES","")</f>
        <v>#VALUE!</v>
      </c>
      <c r="X137" t="e">
        <f>IF(AND(ISNUMBER(L137),COUNTIF([3]CcliCombined!$D:$D,L137)&gt;0),"YES","")</f>
        <v>#VALUE!</v>
      </c>
      <c r="Y137" t="e">
        <f>IF(AND(ISNUMBER(L137),COUNTIF([4]Songs!$H:$H,L137)&gt;0),"YES","")</f>
        <v>#VALUE!</v>
      </c>
      <c r="Z137" t="s">
        <v>630</v>
      </c>
      <c r="AB137">
        <v>136</v>
      </c>
      <c r="AD137" t="str">
        <f t="shared" si="4"/>
        <v>B  D</v>
      </c>
    </row>
    <row r="138" spans="1:32" x14ac:dyDescent="0.25">
      <c r="A138">
        <f>INDEX(Albums!$A:$A, MATCH(C138,Albums!$C:$C,0))</f>
        <v>1</v>
      </c>
      <c r="B138">
        <f>INDEX(Albums!$B:$B, MATCH(C138,Albums!$C:$C,0))</f>
        <v>2017</v>
      </c>
      <c r="C138" t="s">
        <v>4</v>
      </c>
      <c r="D138">
        <v>3</v>
      </c>
      <c r="E138" t="s">
        <v>231</v>
      </c>
      <c r="F138" t="s">
        <v>23</v>
      </c>
      <c r="G138" s="28" t="s">
        <v>446</v>
      </c>
      <c r="H138" s="3" t="s">
        <v>39</v>
      </c>
      <c r="I138" s="3" t="s">
        <v>39</v>
      </c>
      <c r="J138" s="4">
        <v>110</v>
      </c>
      <c r="K138" s="5" t="s">
        <v>371</v>
      </c>
      <c r="L138" s="10">
        <v>7081388</v>
      </c>
      <c r="M138" s="4">
        <v>2017</v>
      </c>
      <c r="N138" s="6" t="s">
        <v>447</v>
      </c>
      <c r="O138" t="s">
        <v>1199</v>
      </c>
      <c r="P138" s="23" t="s">
        <v>35</v>
      </c>
      <c r="Q138">
        <v>110</v>
      </c>
      <c r="R138" t="s">
        <v>39</v>
      </c>
      <c r="S138" t="s">
        <v>39</v>
      </c>
      <c r="U138" t="s">
        <v>478</v>
      </c>
      <c r="V138" t="str">
        <f>IF(AND(ISNUMBER(L138),COUNTIF([1]Songs!$L:$L,L138)&gt;0),"YES","")</f>
        <v>YES</v>
      </c>
      <c r="W138" t="e">
        <f>IF(AND(ISNUMBER(L138),COUNTIF([2]Songs!$J:$J,L138)&gt;0),"YES","")</f>
        <v>#VALUE!</v>
      </c>
      <c r="X138" t="e">
        <f>IF(AND(ISNUMBER(L138),COUNTIF([3]CcliCombined!$D:$D,L138)&gt;0),"YES","")</f>
        <v>#VALUE!</v>
      </c>
      <c r="Y138" t="e">
        <f>IF(AND(ISNUMBER(L138),COUNTIF([4]Songs!$H:$H,L138)&gt;0),"YES","")</f>
        <v>#VALUE!</v>
      </c>
      <c r="Z138" t="s">
        <v>630</v>
      </c>
      <c r="AB138">
        <v>137</v>
      </c>
      <c r="AD138" t="str">
        <f t="shared" si="4"/>
        <v>D</v>
      </c>
    </row>
    <row r="139" spans="1:32" x14ac:dyDescent="0.25">
      <c r="A139">
        <f>INDEX(Albums!$A:$A, MATCH(C139,Albums!$C:$C,0))</f>
        <v>1</v>
      </c>
      <c r="B139">
        <f>INDEX(Albums!$B:$B, MATCH(C139,Albums!$C:$C,0))</f>
        <v>2017</v>
      </c>
      <c r="C139" t="s">
        <v>4</v>
      </c>
      <c r="D139">
        <v>4</v>
      </c>
      <c r="E139" t="s">
        <v>232</v>
      </c>
      <c r="F139" t="s">
        <v>23</v>
      </c>
      <c r="G139" s="28" t="s">
        <v>448</v>
      </c>
      <c r="H139" s="3" t="s">
        <v>52</v>
      </c>
      <c r="I139" s="3" t="s">
        <v>28</v>
      </c>
      <c r="J139" s="4">
        <v>68</v>
      </c>
      <c r="K139" s="5" t="s">
        <v>371</v>
      </c>
      <c r="L139" s="10">
        <v>7046145</v>
      </c>
      <c r="M139" s="4">
        <v>2015</v>
      </c>
      <c r="N139" s="6" t="s">
        <v>449</v>
      </c>
      <c r="O139" t="s">
        <v>1199</v>
      </c>
      <c r="P139" s="23" t="s">
        <v>233</v>
      </c>
      <c r="Q139">
        <v>68</v>
      </c>
      <c r="R139" t="s">
        <v>52</v>
      </c>
      <c r="S139" t="s">
        <v>52</v>
      </c>
      <c r="U139" t="s">
        <v>478</v>
      </c>
      <c r="V139" t="str">
        <f>IF(AND(ISNUMBER(L139),COUNTIF([1]Songs!$L:$L,L139)&gt;0),"YES","")</f>
        <v>YES</v>
      </c>
      <c r="W139" t="e">
        <f>IF(AND(ISNUMBER(L139),COUNTIF([2]Songs!$J:$J,L139)&gt;0),"YES","")</f>
        <v>#VALUE!</v>
      </c>
      <c r="X139" t="e">
        <f>IF(AND(ISNUMBER(L139),COUNTIF([3]CcliCombined!$D:$D,L139)&gt;0),"YES","")</f>
        <v>#VALUE!</v>
      </c>
      <c r="Y139" t="e">
        <f>IF(AND(ISNUMBER(L139),COUNTIF([4]Songs!$H:$H,L139)&gt;0),"YES","")</f>
        <v>#VALUE!</v>
      </c>
      <c r="Z139" t="s">
        <v>630</v>
      </c>
      <c r="AB139">
        <v>138</v>
      </c>
      <c r="AD139" t="str">
        <f t="shared" si="4"/>
        <v>Bb A</v>
      </c>
    </row>
    <row r="140" spans="1:32" x14ac:dyDescent="0.25">
      <c r="A140">
        <f>INDEX(Albums!$A:$A, MATCH(C140,Albums!$C:$C,0))</f>
        <v>1</v>
      </c>
      <c r="B140">
        <f>INDEX(Albums!$B:$B, MATCH(C140,Albums!$C:$C,0))</f>
        <v>2017</v>
      </c>
      <c r="C140" t="s">
        <v>4</v>
      </c>
      <c r="D140">
        <v>5</v>
      </c>
      <c r="E140" t="s">
        <v>234</v>
      </c>
      <c r="F140" t="s">
        <v>23</v>
      </c>
      <c r="G140" s="28" t="s">
        <v>1170</v>
      </c>
      <c r="I140" t="s">
        <v>31</v>
      </c>
      <c r="J140">
        <v>68</v>
      </c>
      <c r="K140" s="11" t="s">
        <v>371</v>
      </c>
      <c r="L140" s="10">
        <v>5858163</v>
      </c>
      <c r="M140" s="4">
        <v>2010</v>
      </c>
      <c r="N140" t="s">
        <v>434</v>
      </c>
      <c r="O140" t="s">
        <v>1199</v>
      </c>
      <c r="P140" s="23" t="s">
        <v>235</v>
      </c>
      <c r="Q140">
        <v>68</v>
      </c>
      <c r="R140" t="s">
        <v>36</v>
      </c>
      <c r="S140" t="s">
        <v>36</v>
      </c>
      <c r="U140" t="s">
        <v>478</v>
      </c>
      <c r="V140" t="str">
        <f>IF(AND(ISNUMBER(L140),COUNTIF([1]Songs!$L:$L,L140)&gt;0),"YES","")</f>
        <v/>
      </c>
      <c r="W140" t="e">
        <f>IF(AND(ISNUMBER(L140),COUNTIF([2]Songs!$J:$J,L140)&gt;0),"YES","")</f>
        <v>#VALUE!</v>
      </c>
      <c r="X140" t="e">
        <f>IF(AND(ISNUMBER(L140),COUNTIF([3]CcliCombined!$D:$D,L140)&gt;0),"YES","")</f>
        <v>#VALUE!</v>
      </c>
      <c r="Y140" t="e">
        <f>IF(AND(ISNUMBER(L140),COUNTIF([4]Songs!$H:$H,L140)&gt;0),"YES","")</f>
        <v>#VALUE!</v>
      </c>
      <c r="Z140" t="s">
        <v>630</v>
      </c>
      <c r="AB140">
        <v>139</v>
      </c>
      <c r="AD140" t="str">
        <f t="shared" si="4"/>
        <v>B  E</v>
      </c>
    </row>
    <row r="141" spans="1:32" x14ac:dyDescent="0.25">
      <c r="A141">
        <f>INDEX(Albums!$A:$A, MATCH(C141,Albums!$C:$C,0))</f>
        <v>1</v>
      </c>
      <c r="B141">
        <f>INDEX(Albums!$B:$B, MATCH(C141,Albums!$C:$C,0))</f>
        <v>2017</v>
      </c>
      <c r="C141" t="s">
        <v>5</v>
      </c>
      <c r="D141">
        <v>1</v>
      </c>
      <c r="E141" t="s">
        <v>236</v>
      </c>
      <c r="F141" t="s">
        <v>23</v>
      </c>
      <c r="G141" s="28" t="s">
        <v>1171</v>
      </c>
      <c r="I141" t="s">
        <v>67</v>
      </c>
      <c r="J141">
        <v>81</v>
      </c>
      <c r="K141" s="11" t="s">
        <v>371</v>
      </c>
      <c r="L141" s="10">
        <v>7052927</v>
      </c>
      <c r="M141" s="4">
        <v>2017</v>
      </c>
      <c r="N141" t="s">
        <v>378</v>
      </c>
      <c r="O141" t="s">
        <v>1199</v>
      </c>
      <c r="P141" s="23" t="s">
        <v>35</v>
      </c>
      <c r="Q141">
        <v>81</v>
      </c>
      <c r="R141" t="s">
        <v>47</v>
      </c>
      <c r="S141" t="s">
        <v>47</v>
      </c>
      <c r="U141" t="s">
        <v>478</v>
      </c>
      <c r="V141" t="str">
        <f>IF(AND(ISNUMBER(L141),COUNTIF([1]Songs!$L:$L,L141)&gt;0),"YES","")</f>
        <v/>
      </c>
      <c r="W141" t="e">
        <f>IF(AND(ISNUMBER(L141),COUNTIF([2]Songs!$J:$J,L141)&gt;0),"YES","")</f>
        <v>#VALUE!</v>
      </c>
      <c r="X141" t="e">
        <f>IF(AND(ISNUMBER(L141),COUNTIF([3]CcliCombined!$D:$D,L141)&gt;0),"YES","")</f>
        <v>#VALUE!</v>
      </c>
      <c r="Y141" t="e">
        <f>IF(AND(ISNUMBER(L141),COUNTIF([4]Songs!$H:$H,L141)&gt;0),"YES","")</f>
        <v>#VALUE!</v>
      </c>
      <c r="Z141" t="s">
        <v>630</v>
      </c>
      <c r="AB141">
        <v>140</v>
      </c>
      <c r="AD141" t="str">
        <f t="shared" si="4"/>
        <v>Ab  C</v>
      </c>
    </row>
    <row r="142" spans="1:32" x14ac:dyDescent="0.25">
      <c r="A142">
        <f>INDEX(Albums!$A:$A, MATCH(C142,Albums!$C:$C,0))</f>
        <v>1</v>
      </c>
      <c r="B142">
        <f>INDEX(Albums!$B:$B, MATCH(C142,Albums!$C:$C,0))</f>
        <v>2017</v>
      </c>
      <c r="C142" t="s">
        <v>5</v>
      </c>
      <c r="D142">
        <v>2</v>
      </c>
      <c r="E142" t="s">
        <v>237</v>
      </c>
      <c r="F142" t="s">
        <v>23</v>
      </c>
      <c r="G142" s="28" t="s">
        <v>450</v>
      </c>
      <c r="H142" s="3" t="s">
        <v>25</v>
      </c>
      <c r="I142" s="3" t="s">
        <v>25</v>
      </c>
      <c r="J142" s="4">
        <v>70</v>
      </c>
      <c r="K142" s="4" t="s">
        <v>371</v>
      </c>
      <c r="L142" s="10">
        <v>7070345</v>
      </c>
      <c r="M142" s="4">
        <v>2016</v>
      </c>
      <c r="N142" s="6" t="s">
        <v>451</v>
      </c>
      <c r="O142" t="s">
        <v>1199</v>
      </c>
      <c r="P142" s="23" t="s">
        <v>238</v>
      </c>
      <c r="Q142">
        <v>70</v>
      </c>
      <c r="R142" t="s">
        <v>25</v>
      </c>
      <c r="S142" t="s">
        <v>25</v>
      </c>
      <c r="U142" t="s">
        <v>478</v>
      </c>
      <c r="V142" t="str">
        <f>IF(AND(ISNUMBER(L142),COUNTIF([1]Songs!$L:$L,L142)&gt;0),"YES","")</f>
        <v>YES</v>
      </c>
      <c r="W142" t="e">
        <f>IF(AND(ISNUMBER(L142),COUNTIF([2]Songs!$J:$J,L142)&gt;0),"YES","")</f>
        <v>#VALUE!</v>
      </c>
      <c r="X142" t="e">
        <f>IF(AND(ISNUMBER(L142),COUNTIF([3]CcliCombined!$D:$D,L142)&gt;0),"YES","")</f>
        <v>#VALUE!</v>
      </c>
      <c r="Y142" t="e">
        <f>IF(AND(ISNUMBER(L142),COUNTIF([4]Songs!$H:$H,L142)&gt;0),"YES","")</f>
        <v>#VALUE!</v>
      </c>
      <c r="Z142" t="s">
        <v>630</v>
      </c>
      <c r="AB142">
        <v>141</v>
      </c>
      <c r="AD142" t="str">
        <f t="shared" si="4"/>
        <v>G</v>
      </c>
    </row>
    <row r="143" spans="1:32" x14ac:dyDescent="0.25">
      <c r="A143">
        <f>INDEX(Albums!$A:$A, MATCH(C143,Albums!$C:$C,0))</f>
        <v>1</v>
      </c>
      <c r="B143">
        <f>INDEX(Albums!$B:$B, MATCH(C143,Albums!$C:$C,0))</f>
        <v>2017</v>
      </c>
      <c r="C143" t="s">
        <v>5</v>
      </c>
      <c r="D143">
        <v>3</v>
      </c>
      <c r="E143" t="s">
        <v>239</v>
      </c>
      <c r="F143" t="s">
        <v>23</v>
      </c>
      <c r="G143" s="28" t="s">
        <v>1172</v>
      </c>
      <c r="I143" t="s">
        <v>31</v>
      </c>
      <c r="J143">
        <v>72</v>
      </c>
      <c r="K143" s="11" t="s">
        <v>371</v>
      </c>
      <c r="L143" s="10">
        <v>7032328</v>
      </c>
      <c r="M143" s="4">
        <v>2014</v>
      </c>
      <c r="N143" t="s">
        <v>457</v>
      </c>
      <c r="O143" t="s">
        <v>1199</v>
      </c>
      <c r="P143" s="23" t="s">
        <v>192</v>
      </c>
      <c r="Q143">
        <v>71</v>
      </c>
      <c r="R143" t="s">
        <v>31</v>
      </c>
      <c r="S143" t="s">
        <v>31</v>
      </c>
      <c r="U143" t="s">
        <v>478</v>
      </c>
      <c r="V143" t="str">
        <f>IF(AND(ISNUMBER(L143),COUNTIF([1]Songs!$L:$L,L143)&gt;0),"YES","")</f>
        <v/>
      </c>
      <c r="W143" t="e">
        <f>IF(AND(ISNUMBER(L143),COUNTIF([2]Songs!$J:$J,L143)&gt;0),"YES","")</f>
        <v>#VALUE!</v>
      </c>
      <c r="X143" t="e">
        <f>IF(AND(ISNUMBER(L143),COUNTIF([3]CcliCombined!$D:$D,L143)&gt;0),"YES","")</f>
        <v>#VALUE!</v>
      </c>
      <c r="Y143" t="e">
        <f>IF(AND(ISNUMBER(L143),COUNTIF([4]Songs!$H:$H,L143)&gt;0),"YES","")</f>
        <v>#VALUE!</v>
      </c>
      <c r="Z143" t="s">
        <v>630</v>
      </c>
      <c r="AB143">
        <v>142</v>
      </c>
      <c r="AD143" t="str">
        <f t="shared" si="4"/>
        <v xml:space="preserve">B </v>
      </c>
    </row>
    <row r="144" spans="1:32" x14ac:dyDescent="0.25">
      <c r="A144">
        <f>INDEX(Albums!$A:$A, MATCH(C144,Albums!$C:$C,0))</f>
        <v>1</v>
      </c>
      <c r="B144">
        <f>INDEX(Albums!$B:$B, MATCH(C144,Albums!$C:$C,0))</f>
        <v>2017</v>
      </c>
      <c r="C144" t="s">
        <v>5</v>
      </c>
      <c r="D144">
        <v>4</v>
      </c>
      <c r="E144" t="s">
        <v>240</v>
      </c>
      <c r="F144" t="s">
        <v>23</v>
      </c>
      <c r="G144" s="28" t="s">
        <v>1173</v>
      </c>
      <c r="I144" t="s">
        <v>31</v>
      </c>
      <c r="J144">
        <v>81</v>
      </c>
      <c r="K144" s="11" t="s">
        <v>371</v>
      </c>
      <c r="L144" s="10">
        <v>6517898</v>
      </c>
      <c r="M144" s="4">
        <v>2015</v>
      </c>
      <c r="N144" t="s">
        <v>443</v>
      </c>
      <c r="O144" t="s">
        <v>1199</v>
      </c>
      <c r="P144" s="23" t="s">
        <v>35</v>
      </c>
      <c r="Q144">
        <v>81</v>
      </c>
      <c r="R144" t="s">
        <v>31</v>
      </c>
      <c r="S144" t="s">
        <v>31</v>
      </c>
      <c r="U144" t="s">
        <v>478</v>
      </c>
      <c r="V144" t="str">
        <f>IF(AND(ISNUMBER(L144),COUNTIF([1]Songs!$L:$L,L144)&gt;0),"YES","")</f>
        <v/>
      </c>
      <c r="W144" t="e">
        <f>IF(AND(ISNUMBER(L144),COUNTIF([2]Songs!$J:$J,L144)&gt;0),"YES","")</f>
        <v>#VALUE!</v>
      </c>
      <c r="X144" t="e">
        <f>IF(AND(ISNUMBER(L144),COUNTIF([3]CcliCombined!$D:$D,L144)&gt;0),"YES","")</f>
        <v>#VALUE!</v>
      </c>
      <c r="Y144" t="e">
        <f>IF(AND(ISNUMBER(L144),COUNTIF([4]Songs!$H:$H,L144)&gt;0),"YES","")</f>
        <v>#VALUE!</v>
      </c>
      <c r="Z144" t="s">
        <v>630</v>
      </c>
      <c r="AB144">
        <v>143</v>
      </c>
      <c r="AD144" t="str">
        <f t="shared" si="4"/>
        <v xml:space="preserve">B </v>
      </c>
    </row>
    <row r="145" spans="1:30" x14ac:dyDescent="0.25">
      <c r="A145">
        <f>INDEX(Albums!$A:$A, MATCH(C145,Albums!$C:$C,0))</f>
        <v>1</v>
      </c>
      <c r="B145">
        <f>INDEX(Albums!$B:$B, MATCH(C145,Albums!$C:$C,0))</f>
        <v>2017</v>
      </c>
      <c r="C145" t="s">
        <v>5</v>
      </c>
      <c r="D145">
        <v>5</v>
      </c>
      <c r="E145" t="s">
        <v>241</v>
      </c>
      <c r="F145" t="s">
        <v>23</v>
      </c>
      <c r="G145" s="28" t="s">
        <v>843</v>
      </c>
      <c r="H145" s="3" t="s">
        <v>31</v>
      </c>
      <c r="I145" s="3" t="s">
        <v>31</v>
      </c>
      <c r="J145" s="4">
        <v>52</v>
      </c>
      <c r="K145" s="5" t="s">
        <v>425</v>
      </c>
      <c r="L145" s="10">
        <v>7046448</v>
      </c>
      <c r="M145" s="4">
        <v>2015</v>
      </c>
      <c r="N145" s="4" t="s">
        <v>844</v>
      </c>
      <c r="O145" t="s">
        <v>1199</v>
      </c>
      <c r="P145" s="23" t="s">
        <v>242</v>
      </c>
      <c r="Q145">
        <v>78</v>
      </c>
      <c r="R145" t="s">
        <v>31</v>
      </c>
      <c r="S145" t="s">
        <v>31</v>
      </c>
      <c r="U145" t="s">
        <v>478</v>
      </c>
      <c r="V145" t="str">
        <f>IF(AND(ISNUMBER(L145),COUNTIF([1]Songs!$L:$L,L145)&gt;0),"YES","")</f>
        <v>YES</v>
      </c>
      <c r="W145" t="e">
        <f>IF(AND(ISNUMBER(L145),COUNTIF([2]Songs!$J:$J,L145)&gt;0),"YES","")</f>
        <v>#VALUE!</v>
      </c>
      <c r="X145" t="e">
        <f>IF(AND(ISNUMBER(L145),COUNTIF([3]CcliCombined!$D:$D,L145)&gt;0),"YES","")</f>
        <v>#VALUE!</v>
      </c>
      <c r="Y145" t="e">
        <f>IF(AND(ISNUMBER(L145),COUNTIF([4]Songs!$H:$H,L145)&gt;0),"YES","")</f>
        <v>#VALUE!</v>
      </c>
      <c r="Z145" t="s">
        <v>630</v>
      </c>
      <c r="AB145">
        <v>144</v>
      </c>
      <c r="AD145" t="str">
        <f t="shared" si="4"/>
        <v>B</v>
      </c>
    </row>
    <row r="146" spans="1:30" x14ac:dyDescent="0.25">
      <c r="A146">
        <f>INDEX(Albums!$A:$A, MATCH(C146,Albums!$C:$C,0))</f>
        <v>1</v>
      </c>
      <c r="B146">
        <f>INDEX(Albums!$B:$B, MATCH(C146,Albums!$C:$C,0))</f>
        <v>2018</v>
      </c>
      <c r="C146" t="s">
        <v>6</v>
      </c>
      <c r="D146">
        <v>1</v>
      </c>
      <c r="E146" t="s">
        <v>243</v>
      </c>
      <c r="F146" t="s">
        <v>23</v>
      </c>
      <c r="G146" s="28" t="s">
        <v>452</v>
      </c>
      <c r="H146" s="3" t="s">
        <v>176</v>
      </c>
      <c r="I146" s="3" t="s">
        <v>84</v>
      </c>
      <c r="J146" s="4">
        <v>56</v>
      </c>
      <c r="K146" s="5" t="s">
        <v>425</v>
      </c>
      <c r="L146" s="10">
        <v>7089641</v>
      </c>
      <c r="M146" s="4">
        <v>2017</v>
      </c>
      <c r="N146" s="6" t="s">
        <v>453</v>
      </c>
      <c r="O146" t="s">
        <v>1199</v>
      </c>
      <c r="P146" s="23" t="s">
        <v>244</v>
      </c>
      <c r="Q146">
        <v>81</v>
      </c>
      <c r="R146" t="s">
        <v>84</v>
      </c>
      <c r="S146" t="s">
        <v>176</v>
      </c>
      <c r="U146" t="s">
        <v>478</v>
      </c>
      <c r="V146" t="str">
        <f>IF(AND(ISNUMBER(L146),COUNTIF([1]Songs!$L:$L,L146)&gt;0),"YES","")</f>
        <v>YES</v>
      </c>
      <c r="W146" t="e">
        <f>IF(AND(ISNUMBER(L146),COUNTIF([2]Songs!$J:$J,L146)&gt;0),"YES","")</f>
        <v>#VALUE!</v>
      </c>
      <c r="X146" t="e">
        <f>IF(AND(ISNUMBER(L146),COUNTIF([3]CcliCombined!$D:$D,L146)&gt;0),"YES","")</f>
        <v>#VALUE!</v>
      </c>
      <c r="Y146" t="e">
        <f>IF(AND(ISNUMBER(L146),COUNTIF([4]Songs!$H:$H,L146)&gt;0),"YES","")</f>
        <v>#VALUE!</v>
      </c>
      <c r="Z146" t="s">
        <v>630</v>
      </c>
      <c r="AB146">
        <v>145</v>
      </c>
      <c r="AD146" t="str">
        <f t="shared" si="4"/>
        <v>F# F F</v>
      </c>
    </row>
    <row r="147" spans="1:30" x14ac:dyDescent="0.25">
      <c r="A147">
        <f>INDEX(Albums!$A:$A, MATCH(C147,Albums!$C:$C,0))</f>
        <v>1</v>
      </c>
      <c r="B147">
        <f>INDEX(Albums!$B:$B, MATCH(C147,Albums!$C:$C,0))</f>
        <v>2018</v>
      </c>
      <c r="C147" t="s">
        <v>6</v>
      </c>
      <c r="D147">
        <v>2</v>
      </c>
      <c r="E147" t="s">
        <v>245</v>
      </c>
      <c r="F147" t="s">
        <v>23</v>
      </c>
      <c r="G147" s="28" t="s">
        <v>1174</v>
      </c>
      <c r="I147" t="s">
        <v>31</v>
      </c>
      <c r="J147">
        <v>100</v>
      </c>
      <c r="K147" s="11" t="s">
        <v>371</v>
      </c>
      <c r="L147" s="10">
        <v>7054720</v>
      </c>
      <c r="M147" s="4">
        <v>2016</v>
      </c>
      <c r="N147" t="s">
        <v>374</v>
      </c>
      <c r="O147" t="s">
        <v>1199</v>
      </c>
      <c r="P147" s="23" t="s">
        <v>27</v>
      </c>
      <c r="Q147">
        <v>101</v>
      </c>
      <c r="R147" t="s">
        <v>31</v>
      </c>
      <c r="S147" t="s">
        <v>31</v>
      </c>
      <c r="U147" t="s">
        <v>478</v>
      </c>
      <c r="V147" t="str">
        <f>IF(AND(ISNUMBER(L147),COUNTIF([1]Songs!$L:$L,L147)&gt;0),"YES","")</f>
        <v/>
      </c>
      <c r="W147" t="e">
        <f>IF(AND(ISNUMBER(L147),COUNTIF([2]Songs!$J:$J,L147)&gt;0),"YES","")</f>
        <v>#VALUE!</v>
      </c>
      <c r="X147" t="e">
        <f>IF(AND(ISNUMBER(L147),COUNTIF([3]CcliCombined!$D:$D,L147)&gt;0),"YES","")</f>
        <v>#VALUE!</v>
      </c>
      <c r="Y147" t="e">
        <f>IF(AND(ISNUMBER(L147),COUNTIF([4]Songs!$H:$H,L147)&gt;0),"YES","")</f>
        <v>#VALUE!</v>
      </c>
      <c r="Z147" t="s">
        <v>630</v>
      </c>
      <c r="AB147">
        <v>146</v>
      </c>
      <c r="AD147" t="str">
        <f t="shared" si="4"/>
        <v xml:space="preserve">B </v>
      </c>
    </row>
    <row r="148" spans="1:30" x14ac:dyDescent="0.25">
      <c r="A148">
        <f>INDEX(Albums!$A:$A, MATCH(C148,Albums!$C:$C,0))</f>
        <v>1</v>
      </c>
      <c r="B148">
        <f>INDEX(Albums!$B:$B, MATCH(C148,Albums!$C:$C,0))</f>
        <v>2018</v>
      </c>
      <c r="C148" t="s">
        <v>6</v>
      </c>
      <c r="D148">
        <v>3</v>
      </c>
      <c r="E148" t="s">
        <v>246</v>
      </c>
      <c r="F148" t="s">
        <v>23</v>
      </c>
      <c r="G148" s="28" t="s">
        <v>454</v>
      </c>
      <c r="H148" s="3" t="s">
        <v>31</v>
      </c>
      <c r="I148" s="3" t="s">
        <v>31</v>
      </c>
      <c r="J148" s="4">
        <v>82</v>
      </c>
      <c r="K148" s="4" t="s">
        <v>371</v>
      </c>
      <c r="L148" s="10">
        <v>6514035</v>
      </c>
      <c r="M148" s="4">
        <v>2012</v>
      </c>
      <c r="N148" s="4" t="s">
        <v>455</v>
      </c>
      <c r="O148" t="s">
        <v>1199</v>
      </c>
      <c r="P148" s="23" t="s">
        <v>24</v>
      </c>
      <c r="Q148">
        <v>80</v>
      </c>
      <c r="R148" t="s">
        <v>31</v>
      </c>
      <c r="S148" t="s">
        <v>31</v>
      </c>
      <c r="U148" t="s">
        <v>478</v>
      </c>
      <c r="V148" t="str">
        <f>IF(AND(ISNUMBER(L148),COUNTIF([1]Songs!$L:$L,L148)&gt;0),"YES","")</f>
        <v>YES</v>
      </c>
      <c r="W148" t="e">
        <f>IF(AND(ISNUMBER(L148),COUNTIF([2]Songs!$J:$J,L148)&gt;0),"YES","")</f>
        <v>#VALUE!</v>
      </c>
      <c r="X148" t="e">
        <f>IF(AND(ISNUMBER(L148),COUNTIF([3]CcliCombined!$D:$D,L148)&gt;0),"YES","")</f>
        <v>#VALUE!</v>
      </c>
      <c r="Y148" t="e">
        <f>IF(AND(ISNUMBER(L148),COUNTIF([4]Songs!$H:$H,L148)&gt;0),"YES","")</f>
        <v>#VALUE!</v>
      </c>
      <c r="Z148" t="s">
        <v>630</v>
      </c>
      <c r="AB148">
        <v>147</v>
      </c>
      <c r="AD148" t="str">
        <f t="shared" si="4"/>
        <v>B</v>
      </c>
    </row>
    <row r="149" spans="1:30" x14ac:dyDescent="0.25">
      <c r="A149">
        <f>INDEX(Albums!$A:$A, MATCH(C149,Albums!$C:$C,0))</f>
        <v>1</v>
      </c>
      <c r="B149">
        <f>INDEX(Albums!$B:$B, MATCH(C149,Albums!$C:$C,0))</f>
        <v>2018</v>
      </c>
      <c r="C149" t="s">
        <v>6</v>
      </c>
      <c r="D149">
        <v>4</v>
      </c>
      <c r="E149" t="s">
        <v>247</v>
      </c>
      <c r="F149" t="s">
        <v>23</v>
      </c>
      <c r="G149" s="28" t="s">
        <v>456</v>
      </c>
      <c r="H149" s="3" t="s">
        <v>47</v>
      </c>
      <c r="I149" s="3" t="s">
        <v>47</v>
      </c>
      <c r="J149" s="4">
        <v>74</v>
      </c>
      <c r="K149" s="5" t="s">
        <v>371</v>
      </c>
      <c r="L149" s="10">
        <v>7065049</v>
      </c>
      <c r="M149" s="4">
        <v>2016</v>
      </c>
      <c r="N149" s="6" t="s">
        <v>457</v>
      </c>
      <c r="O149" t="s">
        <v>1199</v>
      </c>
      <c r="P149" s="23" t="s">
        <v>248</v>
      </c>
      <c r="Q149">
        <v>74</v>
      </c>
      <c r="R149" t="s">
        <v>47</v>
      </c>
      <c r="S149" t="s">
        <v>47</v>
      </c>
      <c r="U149" t="s">
        <v>478</v>
      </c>
      <c r="V149" t="str">
        <f>IF(AND(ISNUMBER(L149),COUNTIF([1]Songs!$L:$L,L149)&gt;0),"YES","")</f>
        <v>YES</v>
      </c>
      <c r="W149" t="e">
        <f>IF(AND(ISNUMBER(L149),COUNTIF([2]Songs!$J:$J,L149)&gt;0),"YES","")</f>
        <v>#VALUE!</v>
      </c>
      <c r="X149" t="e">
        <f>IF(AND(ISNUMBER(L149),COUNTIF([3]CcliCombined!$D:$D,L149)&gt;0),"YES","")</f>
        <v>#VALUE!</v>
      </c>
      <c r="Y149" t="e">
        <f>IF(AND(ISNUMBER(L149),COUNTIF([4]Songs!$H:$H,L149)&gt;0),"YES","")</f>
        <v>#VALUE!</v>
      </c>
      <c r="Z149" t="s">
        <v>630</v>
      </c>
      <c r="AB149">
        <v>148</v>
      </c>
      <c r="AD149" t="str">
        <f t="shared" si="4"/>
        <v>C</v>
      </c>
    </row>
    <row r="150" spans="1:30" x14ac:dyDescent="0.25">
      <c r="A150">
        <f>INDEX(Albums!$A:$A, MATCH(C150,Albums!$C:$C,0))</f>
        <v>1</v>
      </c>
      <c r="B150">
        <f>INDEX(Albums!$B:$B, MATCH(C150,Albums!$C:$C,0))</f>
        <v>2018</v>
      </c>
      <c r="C150" t="s">
        <v>6</v>
      </c>
      <c r="D150">
        <v>5</v>
      </c>
      <c r="E150" t="s">
        <v>249</v>
      </c>
      <c r="F150" t="s">
        <v>23</v>
      </c>
      <c r="G150" s="28" t="s">
        <v>431</v>
      </c>
      <c r="H150" s="3" t="s">
        <v>47</v>
      </c>
      <c r="I150" s="3" t="s">
        <v>93</v>
      </c>
      <c r="J150" s="4">
        <v>74</v>
      </c>
      <c r="K150" s="5" t="s">
        <v>371</v>
      </c>
      <c r="L150" s="10">
        <v>7051507</v>
      </c>
      <c r="M150" s="4">
        <v>2015</v>
      </c>
      <c r="N150" s="6" t="s">
        <v>432</v>
      </c>
      <c r="O150" t="s">
        <v>1199</v>
      </c>
      <c r="P150" s="23" t="s">
        <v>250</v>
      </c>
      <c r="Q150">
        <v>75</v>
      </c>
      <c r="R150" t="s">
        <v>93</v>
      </c>
      <c r="S150" t="s">
        <v>47</v>
      </c>
      <c r="U150" t="s">
        <v>478</v>
      </c>
      <c r="V150" t="str">
        <f>IF(AND(ISNUMBER(L150),COUNTIF([1]Songs!$L:$L,L150)&gt;0),"YES","")</f>
        <v>YES</v>
      </c>
      <c r="W150" t="e">
        <f>IF(AND(ISNUMBER(L150),COUNTIF([2]Songs!$J:$J,L150)&gt;0),"YES","")</f>
        <v>#VALUE!</v>
      </c>
      <c r="X150" t="e">
        <f>IF(AND(ISNUMBER(L150),COUNTIF([3]CcliCombined!$D:$D,L150)&gt;0),"YES","")</f>
        <v>#VALUE!</v>
      </c>
      <c r="Y150" t="e">
        <f>IF(AND(ISNUMBER(L150),COUNTIF([4]Songs!$H:$H,L150)&gt;0),"YES","")</f>
        <v>#VALUE!</v>
      </c>
      <c r="Z150" t="s">
        <v>630</v>
      </c>
      <c r="AB150">
        <v>149</v>
      </c>
      <c r="AD150" t="str">
        <f t="shared" si="4"/>
        <v>Db C C</v>
      </c>
    </row>
    <row r="151" spans="1:30" x14ac:dyDescent="0.25">
      <c r="A151">
        <f>INDEX(Albums!$A:$A, MATCH(C151,Albums!$C:$C,0))</f>
        <v>1</v>
      </c>
      <c r="B151">
        <f>INDEX(Albums!$B:$B, MATCH(C151,Albums!$C:$C,0))</f>
        <v>2018</v>
      </c>
      <c r="C151" t="s">
        <v>7</v>
      </c>
      <c r="D151">
        <v>1</v>
      </c>
      <c r="E151" t="s">
        <v>251</v>
      </c>
      <c r="F151" t="s">
        <v>23</v>
      </c>
      <c r="G151" s="28" t="s">
        <v>1104</v>
      </c>
      <c r="I151" t="s">
        <v>25</v>
      </c>
      <c r="J151">
        <v>76</v>
      </c>
      <c r="K151" s="11" t="s">
        <v>371</v>
      </c>
      <c r="L151" s="10">
        <v>7107554</v>
      </c>
      <c r="M151" s="4">
        <v>2018</v>
      </c>
      <c r="N151" t="s">
        <v>1105</v>
      </c>
      <c r="O151" t="s">
        <v>1199</v>
      </c>
      <c r="P151" s="23" t="s">
        <v>70</v>
      </c>
      <c r="Q151">
        <v>76</v>
      </c>
      <c r="R151" t="s">
        <v>47</v>
      </c>
      <c r="S151" t="s">
        <v>47</v>
      </c>
      <c r="U151" t="s">
        <v>478</v>
      </c>
      <c r="V151" t="str">
        <f>IF(AND(ISNUMBER(L151),COUNTIF([1]Songs!$L:$L,L151)&gt;0),"YES","")</f>
        <v/>
      </c>
      <c r="W151" t="e">
        <f>IF(AND(ISNUMBER(L151),COUNTIF([2]Songs!$J:$J,L151)&gt;0),"YES","")</f>
        <v>#VALUE!</v>
      </c>
      <c r="X151" t="e">
        <f>IF(AND(ISNUMBER(L151),COUNTIF([3]CcliCombined!$D:$D,L151)&gt;0),"YES","")</f>
        <v>#VALUE!</v>
      </c>
      <c r="Y151" t="e">
        <f>IF(AND(ISNUMBER(L151),COUNTIF([4]Songs!$H:$H,L151)&gt;0),"YES","")</f>
        <v>#VALUE!</v>
      </c>
      <c r="Z151" t="s">
        <v>630</v>
      </c>
      <c r="AA151" t="s">
        <v>1196</v>
      </c>
      <c r="AB151">
        <v>150</v>
      </c>
      <c r="AD151" t="str">
        <f t="shared" si="4"/>
        <v>G  C</v>
      </c>
    </row>
    <row r="152" spans="1:30" x14ac:dyDescent="0.25">
      <c r="A152">
        <f>INDEX(Albums!$A:$A, MATCH(C152,Albums!$C:$C,0))</f>
        <v>1</v>
      </c>
      <c r="B152">
        <f>INDEX(Albums!$B:$B, MATCH(C152,Albums!$C:$C,0))</f>
        <v>2018</v>
      </c>
      <c r="C152" t="s">
        <v>7</v>
      </c>
      <c r="D152">
        <v>2</v>
      </c>
      <c r="E152" t="s">
        <v>252</v>
      </c>
      <c r="F152" t="s">
        <v>23</v>
      </c>
      <c r="G152" s="28" t="s">
        <v>458</v>
      </c>
      <c r="H152" s="3" t="s">
        <v>52</v>
      </c>
      <c r="I152" s="3" t="s">
        <v>28</v>
      </c>
      <c r="J152" s="4">
        <v>86</v>
      </c>
      <c r="K152" s="4" t="s">
        <v>371</v>
      </c>
      <c r="L152" s="10">
        <v>7067555</v>
      </c>
      <c r="M152" s="4">
        <v>2016</v>
      </c>
      <c r="N152" s="6" t="s">
        <v>459</v>
      </c>
      <c r="O152" t="s">
        <v>1199</v>
      </c>
      <c r="P152" s="23" t="s">
        <v>250</v>
      </c>
      <c r="Q152">
        <v>86</v>
      </c>
      <c r="R152" t="s">
        <v>28</v>
      </c>
      <c r="S152" t="s">
        <v>52</v>
      </c>
      <c r="U152" t="s">
        <v>478</v>
      </c>
      <c r="V152" t="str">
        <f>IF(AND(ISNUMBER(L152),COUNTIF([1]Songs!$L:$L,L152)&gt;0),"YES","")</f>
        <v>YES</v>
      </c>
      <c r="W152" t="e">
        <f>IF(AND(ISNUMBER(L152),COUNTIF([2]Songs!$J:$J,L152)&gt;0),"YES","")</f>
        <v>#VALUE!</v>
      </c>
      <c r="X152" t="e">
        <f>IF(AND(ISNUMBER(L152),COUNTIF([3]CcliCombined!$D:$D,L152)&gt;0),"YES","")</f>
        <v>#VALUE!</v>
      </c>
      <c r="Y152" t="e">
        <f>IF(AND(ISNUMBER(L152),COUNTIF([4]Songs!$H:$H,L152)&gt;0),"YES","")</f>
        <v>#VALUE!</v>
      </c>
      <c r="Z152" t="s">
        <v>630</v>
      </c>
      <c r="AB152">
        <v>151</v>
      </c>
      <c r="AD152" t="str">
        <f t="shared" si="4"/>
        <v>Bb A A</v>
      </c>
    </row>
    <row r="153" spans="1:30" x14ac:dyDescent="0.25">
      <c r="A153">
        <f>INDEX(Albums!$A:$A, MATCH(C153,Albums!$C:$C,0))</f>
        <v>1</v>
      </c>
      <c r="B153">
        <f>INDEX(Albums!$B:$B, MATCH(C153,Albums!$C:$C,0))</f>
        <v>2018</v>
      </c>
      <c r="C153" t="s">
        <v>7</v>
      </c>
      <c r="D153">
        <v>3</v>
      </c>
      <c r="E153" t="s">
        <v>253</v>
      </c>
      <c r="F153" t="s">
        <v>23</v>
      </c>
      <c r="G153" s="28" t="s">
        <v>460</v>
      </c>
      <c r="H153" s="3" t="s">
        <v>39</v>
      </c>
      <c r="I153" s="3" t="s">
        <v>78</v>
      </c>
      <c r="J153" s="4">
        <v>72</v>
      </c>
      <c r="K153" s="4" t="s">
        <v>371</v>
      </c>
      <c r="L153" s="10">
        <v>7106807</v>
      </c>
      <c r="M153" s="4">
        <v>2017</v>
      </c>
      <c r="N153" s="6" t="s">
        <v>374</v>
      </c>
      <c r="O153" t="s">
        <v>1199</v>
      </c>
      <c r="P153" s="23" t="s">
        <v>27</v>
      </c>
      <c r="Q153">
        <v>72</v>
      </c>
      <c r="R153" t="s">
        <v>78</v>
      </c>
      <c r="S153" t="s">
        <v>39</v>
      </c>
      <c r="U153" t="s">
        <v>478</v>
      </c>
      <c r="V153" t="str">
        <f>IF(AND(ISNUMBER(L153),COUNTIF([1]Songs!$L:$L,L153)&gt;0),"YES","")</f>
        <v>YES</v>
      </c>
      <c r="W153" t="e">
        <f>IF(AND(ISNUMBER(L153),COUNTIF([2]Songs!$J:$J,L153)&gt;0),"YES","")</f>
        <v>#VALUE!</v>
      </c>
      <c r="X153" t="e">
        <f>IF(AND(ISNUMBER(L153),COUNTIF([3]CcliCombined!$D:$D,L153)&gt;0),"YES","")</f>
        <v>#VALUE!</v>
      </c>
      <c r="Y153" t="e">
        <f>IF(AND(ISNUMBER(L153),COUNTIF([4]Songs!$H:$H,L153)&gt;0),"YES","")</f>
        <v>#VALUE!</v>
      </c>
      <c r="Z153" t="s">
        <v>630</v>
      </c>
      <c r="AB153">
        <v>152</v>
      </c>
      <c r="AD153" t="str">
        <f t="shared" si="4"/>
        <v>Eb D D</v>
      </c>
    </row>
    <row r="154" spans="1:30" x14ac:dyDescent="0.25">
      <c r="A154">
        <f>INDEX(Albums!$A:$A, MATCH(C154,Albums!$C:$C,0))</f>
        <v>1</v>
      </c>
      <c r="B154">
        <f>INDEX(Albums!$B:$B, MATCH(C154,Albums!$C:$C,0))</f>
        <v>2018</v>
      </c>
      <c r="C154" t="s">
        <v>7</v>
      </c>
      <c r="D154">
        <v>4</v>
      </c>
      <c r="E154" t="s">
        <v>254</v>
      </c>
      <c r="F154" t="s">
        <v>23</v>
      </c>
      <c r="G154" s="28" t="s">
        <v>413</v>
      </c>
      <c r="H154" s="3" t="s">
        <v>52</v>
      </c>
      <c r="I154" s="3" t="s">
        <v>52</v>
      </c>
      <c r="J154" s="4">
        <v>58</v>
      </c>
      <c r="K154" s="5" t="s">
        <v>425</v>
      </c>
      <c r="L154" s="10">
        <v>7102401</v>
      </c>
      <c r="M154" s="4">
        <v>2017</v>
      </c>
      <c r="N154" s="4" t="s">
        <v>372</v>
      </c>
      <c r="O154" t="s">
        <v>1199</v>
      </c>
      <c r="P154" s="23" t="s">
        <v>24</v>
      </c>
      <c r="Q154">
        <v>86</v>
      </c>
      <c r="R154" t="s">
        <v>84</v>
      </c>
      <c r="S154" t="s">
        <v>176</v>
      </c>
      <c r="U154" t="s">
        <v>478</v>
      </c>
      <c r="V154" t="str">
        <f>IF(AND(ISNUMBER(L154),COUNTIF([1]Songs!$L:$L,L154)&gt;0),"YES","")</f>
        <v>YES</v>
      </c>
      <c r="W154" t="e">
        <f>IF(AND(ISNUMBER(L154),COUNTIF([2]Songs!$J:$J,L154)&gt;0),"YES","")</f>
        <v>#VALUE!</v>
      </c>
      <c r="X154" t="e">
        <f>IF(AND(ISNUMBER(L154),COUNTIF([3]CcliCombined!$D:$D,L154)&gt;0),"YES","")</f>
        <v>#VALUE!</v>
      </c>
      <c r="Y154" t="e">
        <f>IF(AND(ISNUMBER(L154),COUNTIF([4]Songs!$H:$H,L154)&gt;0),"YES","")</f>
        <v>#VALUE!</v>
      </c>
      <c r="Z154" t="s">
        <v>630</v>
      </c>
      <c r="AB154">
        <v>153</v>
      </c>
      <c r="AD154" t="str">
        <f t="shared" si="4"/>
        <v>A F# F</v>
      </c>
    </row>
    <row r="155" spans="1:30" x14ac:dyDescent="0.25">
      <c r="A155">
        <f>INDEX(Albums!$A:$A, MATCH(C155,Albums!$C:$C,0))</f>
        <v>1</v>
      </c>
      <c r="B155">
        <f>INDEX(Albums!$B:$B, MATCH(C155,Albums!$C:$C,0))</f>
        <v>2018</v>
      </c>
      <c r="C155" t="s">
        <v>7</v>
      </c>
      <c r="D155">
        <v>5</v>
      </c>
      <c r="E155" t="s">
        <v>255</v>
      </c>
      <c r="F155" t="s">
        <v>23</v>
      </c>
      <c r="G155" s="28" t="s">
        <v>1175</v>
      </c>
      <c r="I155" t="s">
        <v>31</v>
      </c>
      <c r="J155">
        <v>74</v>
      </c>
      <c r="K155" s="11" t="s">
        <v>371</v>
      </c>
      <c r="L155" s="10">
        <v>7060709</v>
      </c>
      <c r="M155" s="4">
        <v>2017</v>
      </c>
      <c r="N155" t="s">
        <v>378</v>
      </c>
      <c r="O155" t="s">
        <v>1199</v>
      </c>
      <c r="P155" s="23" t="s">
        <v>35</v>
      </c>
      <c r="Q155">
        <v>75</v>
      </c>
      <c r="R155" t="s">
        <v>31</v>
      </c>
      <c r="S155" t="s">
        <v>31</v>
      </c>
      <c r="U155" t="s">
        <v>478</v>
      </c>
      <c r="V155" t="str">
        <f>IF(AND(ISNUMBER(L155),COUNTIF([1]Songs!$L:$L,L155)&gt;0),"YES","")</f>
        <v/>
      </c>
      <c r="W155" t="e">
        <f>IF(AND(ISNUMBER(L155),COUNTIF([2]Songs!$J:$J,L155)&gt;0),"YES","")</f>
        <v>#VALUE!</v>
      </c>
      <c r="X155" t="e">
        <f>IF(AND(ISNUMBER(L155),COUNTIF([3]CcliCombined!$D:$D,L155)&gt;0),"YES","")</f>
        <v>#VALUE!</v>
      </c>
      <c r="Y155" t="e">
        <f>IF(AND(ISNUMBER(L155),COUNTIF([4]Songs!$H:$H,L155)&gt;0),"YES","")</f>
        <v>#VALUE!</v>
      </c>
      <c r="Z155" t="s">
        <v>630</v>
      </c>
      <c r="AB155">
        <v>154</v>
      </c>
      <c r="AD155" t="str">
        <f t="shared" si="4"/>
        <v xml:space="preserve">B </v>
      </c>
    </row>
    <row r="156" spans="1:30" x14ac:dyDescent="0.25">
      <c r="A156">
        <f>INDEX(Albums!$A:$A, MATCH(C156,Albums!$C:$C,0))</f>
        <v>1</v>
      </c>
      <c r="B156">
        <f>INDEX(Albums!$B:$B, MATCH(C156,Albums!$C:$C,0))</f>
        <v>2018</v>
      </c>
      <c r="C156" t="s">
        <v>7</v>
      </c>
      <c r="D156">
        <v>6</v>
      </c>
      <c r="E156" t="s">
        <v>256</v>
      </c>
      <c r="F156" t="s">
        <v>257</v>
      </c>
      <c r="G156" s="28" t="s">
        <v>414</v>
      </c>
      <c r="I156" t="s">
        <v>31</v>
      </c>
      <c r="J156">
        <v>73</v>
      </c>
      <c r="K156" s="11" t="s">
        <v>371</v>
      </c>
      <c r="L156" s="10">
        <v>7068430</v>
      </c>
      <c r="M156" s="4">
        <v>2016</v>
      </c>
      <c r="N156" t="s">
        <v>372</v>
      </c>
      <c r="O156" t="s">
        <v>1199</v>
      </c>
      <c r="P156" s="23" t="s">
        <v>220</v>
      </c>
      <c r="Q156">
        <v>74</v>
      </c>
      <c r="R156" t="s">
        <v>31</v>
      </c>
      <c r="S156" t="s">
        <v>31</v>
      </c>
      <c r="U156" t="s">
        <v>478</v>
      </c>
      <c r="V156" t="str">
        <f>IF(AND(ISNUMBER(L156),COUNTIF([1]Songs!$L:$L,L156)&gt;0),"YES","")</f>
        <v/>
      </c>
      <c r="W156" t="e">
        <f>IF(AND(ISNUMBER(L156),COUNTIF([2]Songs!$J:$J,L156)&gt;0),"YES","")</f>
        <v>#VALUE!</v>
      </c>
      <c r="X156" t="e">
        <f>IF(AND(ISNUMBER(L156),COUNTIF([3]CcliCombined!$D:$D,L156)&gt;0),"YES","")</f>
        <v>#VALUE!</v>
      </c>
      <c r="Y156" t="e">
        <f>IF(AND(ISNUMBER(L156),COUNTIF([4]Songs!$H:$H,L156)&gt;0),"YES","")</f>
        <v>#VALUE!</v>
      </c>
      <c r="Z156" t="s">
        <v>630</v>
      </c>
      <c r="AB156">
        <v>155</v>
      </c>
      <c r="AD156" t="e">
        <f>#REF!
&amp;IF(H156=#REF!,""," "&amp;H156)
&amp;IF(OR(R156=#REF!,R156=H156),""," "&amp;R156)
&amp;IF(R156=S156,""," "&amp;S156)</f>
        <v>#REF!</v>
      </c>
    </row>
    <row r="157" spans="1:30" x14ac:dyDescent="0.25">
      <c r="A157">
        <f>INDEX(Albums!$A:$A, MATCH(C157,Albums!$C:$C,0))</f>
        <v>1</v>
      </c>
      <c r="B157">
        <f>INDEX(Albums!$B:$B, MATCH(C157,Albums!$C:$C,0))</f>
        <v>2018</v>
      </c>
      <c r="C157" t="s">
        <v>7</v>
      </c>
      <c r="D157">
        <v>7</v>
      </c>
      <c r="E157" t="s">
        <v>258</v>
      </c>
      <c r="F157" t="s">
        <v>259</v>
      </c>
      <c r="G157" s="28" t="s">
        <v>461</v>
      </c>
      <c r="H157" s="3" t="s">
        <v>52</v>
      </c>
      <c r="I157" s="3" t="s">
        <v>52</v>
      </c>
      <c r="J157" s="4">
        <v>64</v>
      </c>
      <c r="K157" s="5" t="s">
        <v>462</v>
      </c>
      <c r="L157" s="10">
        <v>7084123</v>
      </c>
      <c r="M157" s="4">
        <v>2017</v>
      </c>
      <c r="N157" s="4" t="s">
        <v>372</v>
      </c>
      <c r="O157" t="s">
        <v>1199</v>
      </c>
      <c r="P157" s="23" t="s">
        <v>220</v>
      </c>
      <c r="Q157">
        <v>64</v>
      </c>
      <c r="R157" t="s">
        <v>52</v>
      </c>
      <c r="S157" t="s">
        <v>52</v>
      </c>
      <c r="U157" t="s">
        <v>478</v>
      </c>
      <c r="V157" t="str">
        <f>IF(AND(ISNUMBER(L157),COUNTIF([1]Songs!$L:$L,L157)&gt;0),"YES","")</f>
        <v>YES</v>
      </c>
      <c r="W157" t="e">
        <f>IF(AND(ISNUMBER(L157),COUNTIF([2]Songs!$J:$J,L157)&gt;0),"YES","")</f>
        <v>#VALUE!</v>
      </c>
      <c r="X157" t="e">
        <f>IF(AND(ISNUMBER(L157),COUNTIF([3]CcliCombined!$D:$D,L157)&gt;0),"YES","")</f>
        <v>#VALUE!</v>
      </c>
      <c r="Y157" t="e">
        <f>IF(AND(ISNUMBER(L157),COUNTIF([4]Songs!$H:$H,L157)&gt;0),"YES","")</f>
        <v>#VALUE!</v>
      </c>
      <c r="Z157" t="s">
        <v>630</v>
      </c>
      <c r="AB157">
        <v>156</v>
      </c>
      <c r="AD157" t="str">
        <f t="shared" ref="AD157:AD220" si="5">I157
&amp;IF(H157=I157,""," "&amp;H157)
&amp;IF(OR(R157=I157,R157=H157),""," "&amp;R157)
&amp;IF(R157=S157,""," "&amp;S157)</f>
        <v>A</v>
      </c>
    </row>
    <row r="158" spans="1:30" x14ac:dyDescent="0.25">
      <c r="A158">
        <f>INDEX(Albums!$A:$A, MATCH(C158,Albums!$C:$C,0))</f>
        <v>1</v>
      </c>
      <c r="B158">
        <f>INDEX(Albums!$B:$B, MATCH(C158,Albums!$C:$C,0))</f>
        <v>2018</v>
      </c>
      <c r="C158" t="s">
        <v>7</v>
      </c>
      <c r="D158">
        <v>8</v>
      </c>
      <c r="E158" t="s">
        <v>260</v>
      </c>
      <c r="F158" t="s">
        <v>23</v>
      </c>
      <c r="G158" s="28" t="s">
        <v>1176</v>
      </c>
      <c r="I158" t="s">
        <v>67</v>
      </c>
      <c r="J158">
        <v>71</v>
      </c>
      <c r="K158" s="11" t="s">
        <v>371</v>
      </c>
      <c r="L158" s="10">
        <v>7017785</v>
      </c>
      <c r="M158" s="4">
        <v>2014</v>
      </c>
      <c r="N158" t="s">
        <v>1103</v>
      </c>
      <c r="O158" t="s">
        <v>1199</v>
      </c>
      <c r="P158" s="23" t="s">
        <v>35</v>
      </c>
      <c r="Q158">
        <v>71</v>
      </c>
      <c r="R158" t="s">
        <v>67</v>
      </c>
      <c r="S158" t="s">
        <v>25</v>
      </c>
      <c r="U158" t="s">
        <v>478</v>
      </c>
      <c r="V158" t="str">
        <f>IF(AND(ISNUMBER(L158),COUNTIF([1]Songs!$L:$L,L158)&gt;0),"YES","")</f>
        <v/>
      </c>
      <c r="W158" t="e">
        <f>IF(AND(ISNUMBER(L158),COUNTIF([2]Songs!$J:$J,L158)&gt;0),"YES","")</f>
        <v>#VALUE!</v>
      </c>
      <c r="X158" t="e">
        <f>IF(AND(ISNUMBER(L158),COUNTIF([3]CcliCombined!$D:$D,L158)&gt;0),"YES","")</f>
        <v>#VALUE!</v>
      </c>
      <c r="Y158" t="e">
        <f>IF(AND(ISNUMBER(L158),COUNTIF([4]Songs!$H:$H,L158)&gt;0),"YES","")</f>
        <v>#VALUE!</v>
      </c>
      <c r="Z158" t="s">
        <v>630</v>
      </c>
      <c r="AB158">
        <v>157</v>
      </c>
      <c r="AD158" t="str">
        <f t="shared" si="5"/>
        <v>Ab  G</v>
      </c>
    </row>
    <row r="159" spans="1:30" x14ac:dyDescent="0.25">
      <c r="A159">
        <f>INDEX(Albums!$A:$A, MATCH(C159,Albums!$C:$C,0))</f>
        <v>1</v>
      </c>
      <c r="B159">
        <f>INDEX(Albums!$B:$B, MATCH(C159,Albums!$C:$C,0))</f>
        <v>2018</v>
      </c>
      <c r="C159" t="s">
        <v>7</v>
      </c>
      <c r="D159">
        <v>9</v>
      </c>
      <c r="E159" t="s">
        <v>261</v>
      </c>
      <c r="F159" t="s">
        <v>23</v>
      </c>
      <c r="G159" s="28" t="s">
        <v>1177</v>
      </c>
      <c r="I159" t="s">
        <v>47</v>
      </c>
      <c r="J159">
        <v>124</v>
      </c>
      <c r="K159" s="11" t="s">
        <v>371</v>
      </c>
      <c r="L159" s="10">
        <v>7068422</v>
      </c>
      <c r="M159" s="4">
        <v>2016</v>
      </c>
      <c r="N159" t="s">
        <v>372</v>
      </c>
      <c r="O159" t="s">
        <v>1199</v>
      </c>
      <c r="P159" s="23" t="s">
        <v>24</v>
      </c>
      <c r="Q159">
        <v>122</v>
      </c>
      <c r="R159" t="s">
        <v>47</v>
      </c>
      <c r="S159" t="s">
        <v>47</v>
      </c>
      <c r="U159" t="s">
        <v>478</v>
      </c>
      <c r="V159" t="str">
        <f>IF(AND(ISNUMBER(L159),COUNTIF([1]Songs!$L:$L,L159)&gt;0),"YES","")</f>
        <v/>
      </c>
      <c r="W159" t="e">
        <f>IF(AND(ISNUMBER(L159),COUNTIF([2]Songs!$J:$J,L159)&gt;0),"YES","")</f>
        <v>#VALUE!</v>
      </c>
      <c r="X159" t="e">
        <f>IF(AND(ISNUMBER(L159),COUNTIF([3]CcliCombined!$D:$D,L159)&gt;0),"YES","")</f>
        <v>#VALUE!</v>
      </c>
      <c r="Y159" t="e">
        <f>IF(AND(ISNUMBER(L159),COUNTIF([4]Songs!$H:$H,L159)&gt;0),"YES","")</f>
        <v>#VALUE!</v>
      </c>
      <c r="Z159" t="s">
        <v>630</v>
      </c>
      <c r="AB159">
        <v>158</v>
      </c>
      <c r="AD159" t="str">
        <f t="shared" si="5"/>
        <v xml:space="preserve">C </v>
      </c>
    </row>
    <row r="160" spans="1:30" x14ac:dyDescent="0.25">
      <c r="A160">
        <f>INDEX(Albums!$A:$A, MATCH(C160,Albums!$C:$C,0))</f>
        <v>1</v>
      </c>
      <c r="B160">
        <f>INDEX(Albums!$B:$B, MATCH(C160,Albums!$C:$C,0))</f>
        <v>2018</v>
      </c>
      <c r="C160" t="s">
        <v>7</v>
      </c>
      <c r="D160">
        <v>10</v>
      </c>
      <c r="E160" t="s">
        <v>262</v>
      </c>
      <c r="F160" t="s">
        <v>23</v>
      </c>
      <c r="G160" s="28" t="s">
        <v>1178</v>
      </c>
      <c r="I160" t="s">
        <v>47</v>
      </c>
      <c r="J160">
        <v>78</v>
      </c>
      <c r="K160" s="11" t="s">
        <v>371</v>
      </c>
      <c r="L160" s="10">
        <v>7060031</v>
      </c>
      <c r="M160" s="4">
        <v>2015</v>
      </c>
      <c r="N160" t="s">
        <v>1102</v>
      </c>
      <c r="O160" t="s">
        <v>1199</v>
      </c>
      <c r="P160" s="23" t="s">
        <v>263</v>
      </c>
      <c r="Q160">
        <v>78</v>
      </c>
      <c r="R160" t="s">
        <v>47</v>
      </c>
      <c r="S160" t="s">
        <v>47</v>
      </c>
      <c r="U160" t="s">
        <v>478</v>
      </c>
      <c r="V160" t="str">
        <f>IF(AND(ISNUMBER(L160),COUNTIF([1]Songs!$L:$L,L160)&gt;0),"YES","")</f>
        <v/>
      </c>
      <c r="W160" t="e">
        <f>IF(AND(ISNUMBER(L160),COUNTIF([2]Songs!$J:$J,L160)&gt;0),"YES","")</f>
        <v>#VALUE!</v>
      </c>
      <c r="X160" t="e">
        <f>IF(AND(ISNUMBER(L160),COUNTIF([3]CcliCombined!$D:$D,L160)&gt;0),"YES","")</f>
        <v>#VALUE!</v>
      </c>
      <c r="Y160" t="e">
        <f>IF(AND(ISNUMBER(L160),COUNTIF([4]Songs!$H:$H,L160)&gt;0),"YES","")</f>
        <v>#VALUE!</v>
      </c>
      <c r="Z160" t="s">
        <v>630</v>
      </c>
      <c r="AB160">
        <v>159</v>
      </c>
      <c r="AD160" t="str">
        <f t="shared" si="5"/>
        <v xml:space="preserve">C </v>
      </c>
    </row>
    <row r="161" spans="1:30" x14ac:dyDescent="0.25">
      <c r="A161">
        <f>INDEX(Albums!$A:$A, MATCH(C161,Albums!$C:$C,0))</f>
        <v>1</v>
      </c>
      <c r="B161">
        <f>INDEX(Albums!$B:$B, MATCH(C161,Albums!$C:$C,0))</f>
        <v>2019</v>
      </c>
      <c r="C161" t="s">
        <v>8</v>
      </c>
      <c r="D161">
        <v>1</v>
      </c>
      <c r="E161" t="s">
        <v>264</v>
      </c>
      <c r="F161" t="s">
        <v>23</v>
      </c>
      <c r="G161" s="28" t="s">
        <v>1086</v>
      </c>
      <c r="I161" t="s">
        <v>67</v>
      </c>
      <c r="J161">
        <v>63</v>
      </c>
      <c r="K161" s="11" t="s">
        <v>371</v>
      </c>
      <c r="L161" s="10">
        <v>7117726</v>
      </c>
      <c r="M161" s="4">
        <v>2018</v>
      </c>
      <c r="N161" t="s">
        <v>385</v>
      </c>
      <c r="O161" t="s">
        <v>1199</v>
      </c>
      <c r="P161" s="23" t="s">
        <v>235</v>
      </c>
      <c r="Q161">
        <v>63</v>
      </c>
      <c r="R161" t="s">
        <v>67</v>
      </c>
      <c r="S161" t="s">
        <v>25</v>
      </c>
      <c r="U161" t="s">
        <v>478</v>
      </c>
      <c r="V161" t="str">
        <f>IF(AND(ISNUMBER(L161),COUNTIF([1]Songs!$L:$L,L161)&gt;0),"YES","")</f>
        <v/>
      </c>
      <c r="W161" t="e">
        <f>IF(AND(ISNUMBER(L161),COUNTIF([2]Songs!$J:$J,L161)&gt;0),"YES","")</f>
        <v>#VALUE!</v>
      </c>
      <c r="X161" t="e">
        <f>IF(AND(ISNUMBER(L161),COUNTIF([3]CcliCombined!$D:$D,L161)&gt;0),"YES","")</f>
        <v>#VALUE!</v>
      </c>
      <c r="Y161" t="e">
        <f>IF(AND(ISNUMBER(L161),COUNTIF([4]Songs!$H:$H,L161)&gt;0),"YES","")</f>
        <v>#VALUE!</v>
      </c>
      <c r="Z161" t="s">
        <v>630</v>
      </c>
      <c r="AB161">
        <v>160</v>
      </c>
      <c r="AD161" t="str">
        <f t="shared" si="5"/>
        <v>Ab  G</v>
      </c>
    </row>
    <row r="162" spans="1:30" x14ac:dyDescent="0.25">
      <c r="A162">
        <f>INDEX(Albums!$A:$A, MATCH(C162,Albums!$C:$C,0))</f>
        <v>1</v>
      </c>
      <c r="B162">
        <f>INDEX(Albums!$B:$B, MATCH(C162,Albums!$C:$C,0))</f>
        <v>2019</v>
      </c>
      <c r="C162" t="s">
        <v>8</v>
      </c>
      <c r="D162">
        <v>2</v>
      </c>
      <c r="E162" t="s">
        <v>265</v>
      </c>
      <c r="F162" t="s">
        <v>23</v>
      </c>
      <c r="G162" s="28" t="s">
        <v>1087</v>
      </c>
      <c r="I162" t="s">
        <v>52</v>
      </c>
      <c r="J162">
        <v>90</v>
      </c>
      <c r="K162" s="11" t="s">
        <v>371</v>
      </c>
      <c r="L162" s="10">
        <v>7033417</v>
      </c>
      <c r="M162" s="4">
        <v>2015</v>
      </c>
      <c r="N162" t="s">
        <v>1085</v>
      </c>
      <c r="O162" t="s">
        <v>1199</v>
      </c>
      <c r="P162" s="23" t="s">
        <v>215</v>
      </c>
      <c r="Q162">
        <v>90.5</v>
      </c>
      <c r="R162" t="s">
        <v>67</v>
      </c>
      <c r="S162" t="s">
        <v>25</v>
      </c>
      <c r="U162" t="s">
        <v>478</v>
      </c>
      <c r="V162" t="str">
        <f>IF(AND(ISNUMBER(L162),COUNTIF([1]Songs!$L:$L,L162)&gt;0),"YES","")</f>
        <v/>
      </c>
      <c r="W162" t="e">
        <f>IF(AND(ISNUMBER(L162),COUNTIF([2]Songs!$J:$J,L162)&gt;0),"YES","")</f>
        <v>#VALUE!</v>
      </c>
      <c r="X162" t="e">
        <f>IF(AND(ISNUMBER(L162),COUNTIF([3]CcliCombined!$D:$D,L162)&gt;0),"YES","")</f>
        <v>#VALUE!</v>
      </c>
      <c r="Y162" t="e">
        <f>IF(AND(ISNUMBER(L162),COUNTIF([4]Songs!$H:$H,L162)&gt;0),"YES","")</f>
        <v>#VALUE!</v>
      </c>
      <c r="Z162" t="s">
        <v>630</v>
      </c>
      <c r="AB162">
        <v>161</v>
      </c>
      <c r="AD162" t="str">
        <f t="shared" si="5"/>
        <v>A  Ab G</v>
      </c>
    </row>
    <row r="163" spans="1:30" x14ac:dyDescent="0.25">
      <c r="A163">
        <f>INDEX(Albums!$A:$A, MATCH(C163,Albums!$C:$C,0))</f>
        <v>1</v>
      </c>
      <c r="B163">
        <f>INDEX(Albums!$B:$B, MATCH(C163,Albums!$C:$C,0))</f>
        <v>2019</v>
      </c>
      <c r="C163" t="s">
        <v>8</v>
      </c>
      <c r="D163">
        <v>3</v>
      </c>
      <c r="E163" t="s">
        <v>266</v>
      </c>
      <c r="F163" t="s">
        <v>23</v>
      </c>
      <c r="G163" s="28" t="s">
        <v>1088</v>
      </c>
      <c r="I163" t="s">
        <v>31</v>
      </c>
      <c r="J163">
        <v>67</v>
      </c>
      <c r="K163" s="11" t="s">
        <v>371</v>
      </c>
      <c r="L163" s="10">
        <v>7104907</v>
      </c>
      <c r="M163" s="4">
        <v>2020</v>
      </c>
      <c r="N163" t="s">
        <v>1017</v>
      </c>
      <c r="O163" t="s">
        <v>1199</v>
      </c>
      <c r="P163" s="23" t="s">
        <v>267</v>
      </c>
      <c r="Q163">
        <v>67</v>
      </c>
      <c r="R163" t="s">
        <v>176</v>
      </c>
      <c r="S163" t="s">
        <v>176</v>
      </c>
      <c r="U163" t="s">
        <v>478</v>
      </c>
      <c r="V163" t="str">
        <f>IF(AND(ISNUMBER(L163),COUNTIF([1]Songs!$L:$L,L163)&gt;0),"YES","")</f>
        <v/>
      </c>
      <c r="W163" t="e">
        <f>IF(AND(ISNUMBER(L163),COUNTIF([2]Songs!$J:$J,L163)&gt;0),"YES","")</f>
        <v>#VALUE!</v>
      </c>
      <c r="X163" t="e">
        <f>IF(AND(ISNUMBER(L163),COUNTIF([3]CcliCombined!$D:$D,L163)&gt;0),"YES","")</f>
        <v>#VALUE!</v>
      </c>
      <c r="Y163" t="e">
        <f>IF(AND(ISNUMBER(L163),COUNTIF([4]Songs!$H:$H,L163)&gt;0),"YES","")</f>
        <v>#VALUE!</v>
      </c>
      <c r="Z163" t="s">
        <v>630</v>
      </c>
      <c r="AB163">
        <v>162</v>
      </c>
      <c r="AD163" t="str">
        <f t="shared" si="5"/>
        <v>B  F</v>
      </c>
    </row>
    <row r="164" spans="1:30" x14ac:dyDescent="0.25">
      <c r="A164">
        <f>INDEX(Albums!$A:$A, MATCH(C164,Albums!$C:$C,0))</f>
        <v>1</v>
      </c>
      <c r="B164">
        <f>INDEX(Albums!$B:$B, MATCH(C164,Albums!$C:$C,0))</f>
        <v>2019</v>
      </c>
      <c r="C164" t="s">
        <v>8</v>
      </c>
      <c r="D164">
        <v>4</v>
      </c>
      <c r="E164" t="s">
        <v>268</v>
      </c>
      <c r="F164" t="s">
        <v>23</v>
      </c>
      <c r="G164" s="28" t="s">
        <v>1089</v>
      </c>
      <c r="I164" t="s">
        <v>176</v>
      </c>
      <c r="J164">
        <v>148</v>
      </c>
      <c r="K164" s="11" t="s">
        <v>371</v>
      </c>
      <c r="L164" s="10">
        <v>7080403</v>
      </c>
      <c r="M164" s="4">
        <v>2016</v>
      </c>
      <c r="N164" t="s">
        <v>1084</v>
      </c>
      <c r="O164" t="s">
        <v>1199</v>
      </c>
      <c r="P164" s="23" t="s">
        <v>269</v>
      </c>
      <c r="Q164">
        <v>74</v>
      </c>
      <c r="R164" t="s">
        <v>176</v>
      </c>
      <c r="S164" t="s">
        <v>176</v>
      </c>
      <c r="U164" t="s">
        <v>478</v>
      </c>
      <c r="V164" t="str">
        <f>IF(AND(ISNUMBER(L164),COUNTIF([1]Songs!$L:$L,L164)&gt;0),"YES","")</f>
        <v/>
      </c>
      <c r="W164" t="e">
        <f>IF(AND(ISNUMBER(L164),COUNTIF([2]Songs!$J:$J,L164)&gt;0),"YES","")</f>
        <v>#VALUE!</v>
      </c>
      <c r="X164" t="e">
        <f>IF(AND(ISNUMBER(L164),COUNTIF([3]CcliCombined!$D:$D,L164)&gt;0),"YES","")</f>
        <v>#VALUE!</v>
      </c>
      <c r="Y164" t="e">
        <f>IF(AND(ISNUMBER(L164),COUNTIF([4]Songs!$H:$H,L164)&gt;0),"YES","")</f>
        <v>#VALUE!</v>
      </c>
      <c r="Z164" t="s">
        <v>630</v>
      </c>
      <c r="AB164">
        <v>163</v>
      </c>
      <c r="AD164" t="str">
        <f t="shared" si="5"/>
        <v xml:space="preserve">F </v>
      </c>
    </row>
    <row r="165" spans="1:30" x14ac:dyDescent="0.25">
      <c r="A165">
        <f>INDEX(Albums!$A:$A, MATCH(C165,Albums!$C:$C,0))</f>
        <v>1</v>
      </c>
      <c r="B165">
        <f>INDEX(Albums!$B:$B, MATCH(C165,Albums!$C:$C,0))</f>
        <v>2019</v>
      </c>
      <c r="C165" t="s">
        <v>8</v>
      </c>
      <c r="D165">
        <v>5</v>
      </c>
      <c r="E165" t="s">
        <v>270</v>
      </c>
      <c r="F165" t="s">
        <v>23</v>
      </c>
      <c r="G165" s="28" t="s">
        <v>1090</v>
      </c>
      <c r="I165" t="s">
        <v>67</v>
      </c>
      <c r="J165">
        <v>72</v>
      </c>
      <c r="K165" s="11" t="s">
        <v>371</v>
      </c>
      <c r="L165" s="10">
        <v>7100876</v>
      </c>
      <c r="M165" s="4">
        <v>2018</v>
      </c>
      <c r="N165" t="s">
        <v>1011</v>
      </c>
      <c r="O165" t="s">
        <v>1199</v>
      </c>
      <c r="P165" s="23" t="s">
        <v>271</v>
      </c>
      <c r="Q165">
        <v>70</v>
      </c>
      <c r="R165" t="s">
        <v>176</v>
      </c>
      <c r="S165" t="s">
        <v>176</v>
      </c>
      <c r="U165" t="s">
        <v>478</v>
      </c>
      <c r="V165" t="str">
        <f>IF(AND(ISNUMBER(L165),COUNTIF([1]Songs!$L:$L,L165)&gt;0),"YES","")</f>
        <v/>
      </c>
      <c r="W165" t="e">
        <f>IF(AND(ISNUMBER(L165),COUNTIF([2]Songs!$J:$J,L165)&gt;0),"YES","")</f>
        <v>#VALUE!</v>
      </c>
      <c r="X165" t="e">
        <f>IF(AND(ISNUMBER(L165),COUNTIF([3]CcliCombined!$D:$D,L165)&gt;0),"YES","")</f>
        <v>#VALUE!</v>
      </c>
      <c r="Y165" t="e">
        <f>IF(AND(ISNUMBER(L165),COUNTIF([4]Songs!$H:$H,L165)&gt;0),"YES","")</f>
        <v>#VALUE!</v>
      </c>
      <c r="Z165" t="s">
        <v>630</v>
      </c>
      <c r="AB165">
        <v>164</v>
      </c>
      <c r="AD165" t="str">
        <f t="shared" si="5"/>
        <v>Ab  F</v>
      </c>
    </row>
    <row r="166" spans="1:30" x14ac:dyDescent="0.25">
      <c r="A166">
        <f>INDEX(Albums!$A:$A, MATCH(C166,Albums!$C:$C,0))</f>
        <v>1</v>
      </c>
      <c r="B166">
        <f>INDEX(Albums!$B:$B, MATCH(C166,Albums!$C:$C,0))</f>
        <v>2019</v>
      </c>
      <c r="C166" t="s">
        <v>8</v>
      </c>
      <c r="D166">
        <v>6</v>
      </c>
      <c r="E166" t="s">
        <v>91</v>
      </c>
      <c r="F166" t="s">
        <v>23</v>
      </c>
      <c r="G166" s="28" t="s">
        <v>463</v>
      </c>
      <c r="H166" s="3" t="s">
        <v>25</v>
      </c>
      <c r="I166" s="3" t="s">
        <v>25</v>
      </c>
      <c r="J166" s="4">
        <v>65</v>
      </c>
      <c r="K166" s="4" t="s">
        <v>464</v>
      </c>
      <c r="L166" s="10">
        <v>7021972</v>
      </c>
      <c r="M166" s="4">
        <v>2013</v>
      </c>
      <c r="N166" s="4" t="s">
        <v>434</v>
      </c>
      <c r="O166" t="s">
        <v>1199</v>
      </c>
      <c r="P166" s="23" t="s">
        <v>272</v>
      </c>
      <c r="Q166">
        <v>65</v>
      </c>
      <c r="R166" t="s">
        <v>176</v>
      </c>
      <c r="S166" t="s">
        <v>176</v>
      </c>
      <c r="U166" t="s">
        <v>478</v>
      </c>
      <c r="V166" t="str">
        <f>IF(AND(ISNUMBER(L166),COUNTIF([1]Songs!$L:$L,L166)&gt;0),"YES","")</f>
        <v>YES</v>
      </c>
      <c r="W166" t="e">
        <f>IF(AND(ISNUMBER(L166),COUNTIF([2]Songs!$J:$J,L166)&gt;0),"YES","")</f>
        <v>#VALUE!</v>
      </c>
      <c r="X166" t="e">
        <f>IF(AND(ISNUMBER(L166),COUNTIF([3]CcliCombined!$D:$D,L166)&gt;0),"YES","")</f>
        <v>#VALUE!</v>
      </c>
      <c r="Y166" t="e">
        <f>IF(AND(ISNUMBER(L166),COUNTIF([4]Songs!$H:$H,L166)&gt;0),"YES","")</f>
        <v>#VALUE!</v>
      </c>
      <c r="Z166" t="s">
        <v>630</v>
      </c>
      <c r="AB166">
        <v>165</v>
      </c>
      <c r="AD166" t="str">
        <f t="shared" si="5"/>
        <v>G F</v>
      </c>
    </row>
    <row r="167" spans="1:30" x14ac:dyDescent="0.25">
      <c r="A167">
        <f>INDEX(Albums!$A:$A, MATCH(C167,Albums!$C:$C,0))</f>
        <v>1</v>
      </c>
      <c r="B167">
        <f>INDEX(Albums!$B:$B, MATCH(C167,Albums!$C:$C,0))</f>
        <v>2019</v>
      </c>
      <c r="C167" t="s">
        <v>8</v>
      </c>
      <c r="D167">
        <v>7</v>
      </c>
      <c r="E167" t="s">
        <v>273</v>
      </c>
      <c r="F167" t="s">
        <v>23</v>
      </c>
      <c r="G167" s="28" t="s">
        <v>1091</v>
      </c>
      <c r="I167" t="s">
        <v>47</v>
      </c>
      <c r="J167">
        <v>71</v>
      </c>
      <c r="K167" s="11" t="s">
        <v>371</v>
      </c>
      <c r="L167" s="10">
        <v>7006188</v>
      </c>
      <c r="M167" s="4">
        <v>2013</v>
      </c>
      <c r="N167" t="s">
        <v>1083</v>
      </c>
      <c r="O167" t="s">
        <v>1199</v>
      </c>
      <c r="P167" s="23" t="s">
        <v>274</v>
      </c>
      <c r="Q167">
        <v>71</v>
      </c>
      <c r="R167" t="s">
        <v>176</v>
      </c>
      <c r="S167" t="s">
        <v>176</v>
      </c>
      <c r="U167" t="s">
        <v>478</v>
      </c>
      <c r="V167" t="str">
        <f>IF(AND(ISNUMBER(L167),COUNTIF([1]Songs!$L:$L,L167)&gt;0),"YES","")</f>
        <v/>
      </c>
      <c r="W167" t="e">
        <f>IF(AND(ISNUMBER(L167),COUNTIF([2]Songs!$J:$J,L167)&gt;0),"YES","")</f>
        <v>#VALUE!</v>
      </c>
      <c r="X167" t="e">
        <f>IF(AND(ISNUMBER(L167),COUNTIF([3]CcliCombined!$D:$D,L167)&gt;0),"YES","")</f>
        <v>#VALUE!</v>
      </c>
      <c r="Y167" t="e">
        <f>IF(AND(ISNUMBER(L167),COUNTIF([4]Songs!$H:$H,L167)&gt;0),"YES","")</f>
        <v>#VALUE!</v>
      </c>
      <c r="Z167" t="s">
        <v>630</v>
      </c>
      <c r="AB167">
        <v>166</v>
      </c>
      <c r="AD167" t="str">
        <f t="shared" si="5"/>
        <v>C  F</v>
      </c>
    </row>
    <row r="168" spans="1:30" x14ac:dyDescent="0.25">
      <c r="A168">
        <f>INDEX(Albums!$A:$A, MATCH(C168,Albums!$C:$C,0))</f>
        <v>1</v>
      </c>
      <c r="B168">
        <f>INDEX(Albums!$B:$B, MATCH(C168,Albums!$C:$C,0))</f>
        <v>2019</v>
      </c>
      <c r="C168" t="s">
        <v>8</v>
      </c>
      <c r="D168">
        <v>8</v>
      </c>
      <c r="E168" t="s">
        <v>275</v>
      </c>
      <c r="F168" t="s">
        <v>23</v>
      </c>
      <c r="G168" s="28" t="s">
        <v>412</v>
      </c>
      <c r="H168" s="3" t="s">
        <v>52</v>
      </c>
      <c r="I168" s="3" t="s">
        <v>28</v>
      </c>
      <c r="J168" s="4">
        <v>77</v>
      </c>
      <c r="K168" s="5" t="s">
        <v>371</v>
      </c>
      <c r="L168" s="10">
        <v>7102397</v>
      </c>
      <c r="M168" s="4">
        <v>2017</v>
      </c>
      <c r="N168" s="4" t="s">
        <v>372</v>
      </c>
      <c r="O168" t="s">
        <v>1199</v>
      </c>
      <c r="P168" s="23" t="s">
        <v>24</v>
      </c>
      <c r="Q168">
        <v>70</v>
      </c>
      <c r="R168" t="s">
        <v>47</v>
      </c>
      <c r="S168" t="s">
        <v>47</v>
      </c>
      <c r="U168" t="s">
        <v>478</v>
      </c>
      <c r="V168" t="str">
        <f>IF(AND(ISNUMBER(L168),COUNTIF([1]Songs!$L:$L,L168)&gt;0),"YES","")</f>
        <v>YES</v>
      </c>
      <c r="W168" t="e">
        <f>IF(AND(ISNUMBER(L168),COUNTIF([2]Songs!$J:$J,L168)&gt;0),"YES","")</f>
        <v>#VALUE!</v>
      </c>
      <c r="X168" t="e">
        <f>IF(AND(ISNUMBER(L168),COUNTIF([3]CcliCombined!$D:$D,L168)&gt;0),"YES","")</f>
        <v>#VALUE!</v>
      </c>
      <c r="Y168" t="e">
        <f>IF(AND(ISNUMBER(L168),COUNTIF([4]Songs!$H:$H,L168)&gt;0),"YES","")</f>
        <v>#VALUE!</v>
      </c>
      <c r="Z168" t="s">
        <v>630</v>
      </c>
      <c r="AB168">
        <v>167</v>
      </c>
      <c r="AD168" t="str">
        <f t="shared" si="5"/>
        <v>Bb A C</v>
      </c>
    </row>
    <row r="169" spans="1:30" x14ac:dyDescent="0.25">
      <c r="A169">
        <f>INDEX(Albums!$A:$A, MATCH(C169,Albums!$C:$C,0))</f>
        <v>1</v>
      </c>
      <c r="B169">
        <f>INDEX(Albums!$B:$B, MATCH(C169,Albums!$C:$C,0))</f>
        <v>2019</v>
      </c>
      <c r="C169" t="s">
        <v>8</v>
      </c>
      <c r="D169">
        <v>9</v>
      </c>
      <c r="E169" t="s">
        <v>276</v>
      </c>
      <c r="F169" t="s">
        <v>23</v>
      </c>
      <c r="G169" s="28" t="s">
        <v>1092</v>
      </c>
      <c r="I169" t="s">
        <v>78</v>
      </c>
      <c r="J169">
        <v>60</v>
      </c>
      <c r="K169" s="11" t="s">
        <v>371</v>
      </c>
      <c r="L169" s="10">
        <v>7004369</v>
      </c>
      <c r="M169" s="4">
        <v>2013</v>
      </c>
      <c r="N169" t="s">
        <v>424</v>
      </c>
      <c r="O169" t="s">
        <v>1199</v>
      </c>
      <c r="P169" s="23" t="s">
        <v>277</v>
      </c>
      <c r="Q169">
        <v>58</v>
      </c>
      <c r="R169" t="s">
        <v>47</v>
      </c>
      <c r="S169" t="s">
        <v>47</v>
      </c>
      <c r="U169" t="s">
        <v>478</v>
      </c>
      <c r="V169" t="str">
        <f>IF(AND(ISNUMBER(L169),COUNTIF([1]Songs!$L:$L,L169)&gt;0),"YES","")</f>
        <v/>
      </c>
      <c r="W169" t="e">
        <f>IF(AND(ISNUMBER(L169),COUNTIF([2]Songs!$J:$J,L169)&gt;0),"YES","")</f>
        <v>#VALUE!</v>
      </c>
      <c r="X169" t="e">
        <f>IF(AND(ISNUMBER(L169),COUNTIF([3]CcliCombined!$D:$D,L169)&gt;0),"YES","")</f>
        <v>#VALUE!</v>
      </c>
      <c r="Y169" t="e">
        <f>IF(AND(ISNUMBER(L169),COUNTIF([4]Songs!$H:$H,L169)&gt;0),"YES","")</f>
        <v>#VALUE!</v>
      </c>
      <c r="Z169" t="s">
        <v>630</v>
      </c>
      <c r="AB169">
        <v>168</v>
      </c>
      <c r="AD169" t="str">
        <f t="shared" si="5"/>
        <v>Eb  C</v>
      </c>
    </row>
    <row r="170" spans="1:30" x14ac:dyDescent="0.25">
      <c r="A170">
        <f>INDEX(Albums!$A:$A, MATCH(C170,Albums!$C:$C,0))</f>
        <v>1</v>
      </c>
      <c r="B170">
        <f>INDEX(Albums!$B:$B, MATCH(C170,Albums!$C:$C,0))</f>
        <v>2019</v>
      </c>
      <c r="C170" t="s">
        <v>8</v>
      </c>
      <c r="D170">
        <v>10</v>
      </c>
      <c r="E170" t="s">
        <v>278</v>
      </c>
      <c r="F170" t="s">
        <v>23</v>
      </c>
      <c r="G170" s="28" t="s">
        <v>1093</v>
      </c>
      <c r="I170" t="s">
        <v>78</v>
      </c>
      <c r="J170">
        <v>72</v>
      </c>
      <c r="K170" s="11" t="s">
        <v>371</v>
      </c>
      <c r="L170" s="10">
        <v>7078152</v>
      </c>
      <c r="M170" s="4">
        <v>2017</v>
      </c>
      <c r="N170" t="s">
        <v>1082</v>
      </c>
      <c r="O170" t="s">
        <v>1199</v>
      </c>
      <c r="P170" s="23" t="s">
        <v>35</v>
      </c>
      <c r="Q170">
        <v>72</v>
      </c>
      <c r="R170" t="s">
        <v>39</v>
      </c>
      <c r="S170" t="s">
        <v>39</v>
      </c>
      <c r="U170" t="s">
        <v>478</v>
      </c>
      <c r="V170" t="str">
        <f>IF(AND(ISNUMBER(L170),COUNTIF([1]Songs!$L:$L,L170)&gt;0),"YES","")</f>
        <v/>
      </c>
      <c r="W170" t="e">
        <f>IF(AND(ISNUMBER(L170),COUNTIF([2]Songs!$J:$J,L170)&gt;0),"YES","")</f>
        <v>#VALUE!</v>
      </c>
      <c r="X170" t="e">
        <f>IF(AND(ISNUMBER(L170),COUNTIF([3]CcliCombined!$D:$D,L170)&gt;0),"YES","")</f>
        <v>#VALUE!</v>
      </c>
      <c r="Y170" t="e">
        <f>IF(AND(ISNUMBER(L170),COUNTIF([4]Songs!$H:$H,L170)&gt;0),"YES","")</f>
        <v>#VALUE!</v>
      </c>
      <c r="Z170" t="s">
        <v>630</v>
      </c>
      <c r="AB170">
        <v>169</v>
      </c>
      <c r="AD170" t="str">
        <f t="shared" si="5"/>
        <v>Eb  D</v>
      </c>
    </row>
    <row r="171" spans="1:30" x14ac:dyDescent="0.25">
      <c r="A171">
        <f>INDEX(Albums!$A:$A, MATCH(C171,Albums!$C:$C,0))</f>
        <v>1</v>
      </c>
      <c r="B171">
        <f>INDEX(Albums!$B:$B, MATCH(C171,Albums!$C:$C,0))</f>
        <v>2019</v>
      </c>
      <c r="C171" t="s">
        <v>8</v>
      </c>
      <c r="D171">
        <v>11</v>
      </c>
      <c r="E171" t="s">
        <v>279</v>
      </c>
      <c r="F171" t="s">
        <v>23</v>
      </c>
      <c r="G171" s="28" t="s">
        <v>1094</v>
      </c>
      <c r="I171" t="s">
        <v>25</v>
      </c>
      <c r="J171">
        <v>70</v>
      </c>
      <c r="K171" s="11" t="s">
        <v>371</v>
      </c>
      <c r="L171" s="10">
        <v>7081764</v>
      </c>
      <c r="M171" s="4">
        <v>2015</v>
      </c>
      <c r="N171" t="s">
        <v>436</v>
      </c>
      <c r="O171" t="s">
        <v>1199</v>
      </c>
      <c r="P171" s="23" t="s">
        <v>280</v>
      </c>
      <c r="Q171">
        <v>70</v>
      </c>
      <c r="R171" t="s">
        <v>36</v>
      </c>
      <c r="S171" t="s">
        <v>36</v>
      </c>
      <c r="U171" t="s">
        <v>478</v>
      </c>
      <c r="V171" t="str">
        <f>IF(AND(ISNUMBER(L171),COUNTIF([1]Songs!$L:$L,L171)&gt;0),"YES","")</f>
        <v/>
      </c>
      <c r="W171" t="e">
        <f>IF(AND(ISNUMBER(L171),COUNTIF([2]Songs!$J:$J,L171)&gt;0),"YES","")</f>
        <v>#VALUE!</v>
      </c>
      <c r="X171" t="e">
        <f>IF(AND(ISNUMBER(L171),COUNTIF([3]CcliCombined!$D:$D,L171)&gt;0),"YES","")</f>
        <v>#VALUE!</v>
      </c>
      <c r="Y171" t="e">
        <f>IF(AND(ISNUMBER(L171),COUNTIF([4]Songs!$H:$H,L171)&gt;0),"YES","")</f>
        <v>#VALUE!</v>
      </c>
      <c r="Z171" t="s">
        <v>630</v>
      </c>
      <c r="AB171">
        <v>170</v>
      </c>
      <c r="AD171" t="str">
        <f t="shared" si="5"/>
        <v>G  E</v>
      </c>
    </row>
    <row r="172" spans="1:30" x14ac:dyDescent="0.25">
      <c r="A172">
        <f>INDEX(Albums!$A:$A, MATCH(C172,Albums!$C:$C,0))</f>
        <v>1</v>
      </c>
      <c r="B172">
        <f>INDEX(Albums!$B:$B, MATCH(C172,Albums!$C:$C,0))</f>
        <v>2019</v>
      </c>
      <c r="C172" t="s">
        <v>8</v>
      </c>
      <c r="D172">
        <v>12</v>
      </c>
      <c r="E172" t="s">
        <v>281</v>
      </c>
      <c r="F172" t="s">
        <v>23</v>
      </c>
      <c r="G172" s="28" t="s">
        <v>465</v>
      </c>
      <c r="H172" s="3" t="s">
        <v>25</v>
      </c>
      <c r="I172" s="3" t="s">
        <v>25</v>
      </c>
      <c r="J172" s="4">
        <v>70</v>
      </c>
      <c r="K172" s="4" t="s">
        <v>371</v>
      </c>
      <c r="L172" s="10">
        <v>7019974</v>
      </c>
      <c r="M172" s="4">
        <v>2014</v>
      </c>
      <c r="N172" s="6" t="s">
        <v>372</v>
      </c>
      <c r="O172" t="s">
        <v>1199</v>
      </c>
      <c r="P172" s="23" t="s">
        <v>24</v>
      </c>
      <c r="Q172">
        <v>70.5</v>
      </c>
      <c r="R172" t="s">
        <v>36</v>
      </c>
      <c r="S172" t="s">
        <v>36</v>
      </c>
      <c r="U172" t="s">
        <v>478</v>
      </c>
      <c r="V172" t="str">
        <f>IF(AND(ISNUMBER(L172),COUNTIF([1]Songs!$L:$L,L172)&gt;0),"YES","")</f>
        <v>YES</v>
      </c>
      <c r="W172" t="e">
        <f>IF(AND(ISNUMBER(L172),COUNTIF([2]Songs!$J:$J,L172)&gt;0),"YES","")</f>
        <v>#VALUE!</v>
      </c>
      <c r="X172" t="e">
        <f>IF(AND(ISNUMBER(L172),COUNTIF([3]CcliCombined!$D:$D,L172)&gt;0),"YES","")</f>
        <v>#VALUE!</v>
      </c>
      <c r="Y172" t="e">
        <f>IF(AND(ISNUMBER(L172),COUNTIF([4]Songs!$H:$H,L172)&gt;0),"YES","")</f>
        <v>#VALUE!</v>
      </c>
      <c r="Z172" t="s">
        <v>630</v>
      </c>
      <c r="AB172">
        <v>171</v>
      </c>
      <c r="AD172" t="str">
        <f t="shared" si="5"/>
        <v>G E</v>
      </c>
    </row>
    <row r="173" spans="1:30" x14ac:dyDescent="0.25">
      <c r="A173">
        <f>INDEX(Albums!$A:$A, MATCH(C173,Albums!$C:$C,0))</f>
        <v>1</v>
      </c>
      <c r="B173">
        <f>INDEX(Albums!$B:$B, MATCH(C173,Albums!$C:$C,0))</f>
        <v>2020</v>
      </c>
      <c r="C173" t="s">
        <v>9</v>
      </c>
      <c r="D173">
        <v>1</v>
      </c>
      <c r="E173" t="s">
        <v>282</v>
      </c>
      <c r="F173" t="s">
        <v>23</v>
      </c>
      <c r="G173" s="28" t="s">
        <v>1095</v>
      </c>
      <c r="I173" t="s">
        <v>47</v>
      </c>
      <c r="J173">
        <v>74</v>
      </c>
      <c r="K173" s="11" t="s">
        <v>371</v>
      </c>
      <c r="L173" s="10">
        <v>7097216</v>
      </c>
      <c r="M173" s="4">
        <v>2017</v>
      </c>
      <c r="N173" t="s">
        <v>1081</v>
      </c>
      <c r="O173" t="s">
        <v>1199</v>
      </c>
      <c r="P173" s="23" t="s">
        <v>194</v>
      </c>
      <c r="Q173">
        <v>74</v>
      </c>
      <c r="R173" t="s">
        <v>47</v>
      </c>
      <c r="S173" t="s">
        <v>47</v>
      </c>
      <c r="U173" t="s">
        <v>478</v>
      </c>
      <c r="V173" t="str">
        <f>IF(AND(ISNUMBER(L173),COUNTIF([1]Songs!$L:$L,L173)&gt;0),"YES","")</f>
        <v/>
      </c>
      <c r="W173" t="e">
        <f>IF(AND(ISNUMBER(L173),COUNTIF([2]Songs!$J:$J,L173)&gt;0),"YES","")</f>
        <v>#VALUE!</v>
      </c>
      <c r="X173" t="e">
        <f>IF(AND(ISNUMBER(L173),COUNTIF([3]CcliCombined!$D:$D,L173)&gt;0),"YES","")</f>
        <v>#VALUE!</v>
      </c>
      <c r="Y173" t="e">
        <f>IF(AND(ISNUMBER(L173),COUNTIF([4]Songs!$H:$H,L173)&gt;0),"YES","")</f>
        <v>#VALUE!</v>
      </c>
      <c r="Z173" t="s">
        <v>630</v>
      </c>
      <c r="AB173">
        <v>172</v>
      </c>
      <c r="AD173" t="str">
        <f t="shared" si="5"/>
        <v xml:space="preserve">C </v>
      </c>
    </row>
    <row r="174" spans="1:30" x14ac:dyDescent="0.25">
      <c r="A174">
        <f>INDEX(Albums!$A:$A, MATCH(C174,Albums!$C:$C,0))</f>
        <v>1</v>
      </c>
      <c r="B174">
        <f>INDEX(Albums!$B:$B, MATCH(C174,Albums!$C:$C,0))</f>
        <v>2020</v>
      </c>
      <c r="C174" t="s">
        <v>9</v>
      </c>
      <c r="D174">
        <v>2</v>
      </c>
      <c r="E174" t="s">
        <v>283</v>
      </c>
      <c r="F174" t="s">
        <v>23</v>
      </c>
      <c r="G174" s="28" t="s">
        <v>466</v>
      </c>
      <c r="H174" s="3" t="s">
        <v>47</v>
      </c>
      <c r="I174" s="3" t="s">
        <v>47</v>
      </c>
      <c r="J174" s="4">
        <v>75</v>
      </c>
      <c r="K174" s="5" t="s">
        <v>371</v>
      </c>
      <c r="L174" s="10">
        <v>7121852</v>
      </c>
      <c r="M174" s="4">
        <v>2018</v>
      </c>
      <c r="N174" s="6" t="s">
        <v>467</v>
      </c>
      <c r="O174" t="s">
        <v>1199</v>
      </c>
      <c r="P174" s="23" t="s">
        <v>284</v>
      </c>
      <c r="Q174">
        <v>73</v>
      </c>
      <c r="R174" t="s">
        <v>31</v>
      </c>
      <c r="S174" t="s">
        <v>31</v>
      </c>
      <c r="U174" t="s">
        <v>478</v>
      </c>
      <c r="V174" t="str">
        <f>IF(AND(ISNUMBER(L174),COUNTIF([1]Songs!$L:$L,L174)&gt;0),"YES","")</f>
        <v>YES</v>
      </c>
      <c r="W174" t="e">
        <f>IF(AND(ISNUMBER(L174),COUNTIF([2]Songs!$J:$J,L174)&gt;0),"YES","")</f>
        <v>#VALUE!</v>
      </c>
      <c r="X174" t="e">
        <f>IF(AND(ISNUMBER(L174),COUNTIF([3]CcliCombined!$D:$D,L174)&gt;0),"YES","")</f>
        <v>#VALUE!</v>
      </c>
      <c r="Y174" t="e">
        <f>IF(AND(ISNUMBER(L174),COUNTIF([4]Songs!$H:$H,L174)&gt;0),"YES","")</f>
        <v>#VALUE!</v>
      </c>
      <c r="Z174" t="s">
        <v>630</v>
      </c>
      <c r="AB174">
        <v>173</v>
      </c>
      <c r="AD174" t="str">
        <f t="shared" si="5"/>
        <v>C B</v>
      </c>
    </row>
    <row r="175" spans="1:30" x14ac:dyDescent="0.25">
      <c r="A175">
        <f>INDEX(Albums!$A:$A, MATCH(C175,Albums!$C:$C,0))</f>
        <v>1</v>
      </c>
      <c r="B175">
        <f>INDEX(Albums!$B:$B, MATCH(C175,Albums!$C:$C,0))</f>
        <v>2020</v>
      </c>
      <c r="C175" t="s">
        <v>9</v>
      </c>
      <c r="D175">
        <v>3</v>
      </c>
      <c r="E175" t="s">
        <v>285</v>
      </c>
      <c r="F175" t="s">
        <v>23</v>
      </c>
      <c r="G175" s="28" t="s">
        <v>1096</v>
      </c>
      <c r="I175" t="s">
        <v>47</v>
      </c>
      <c r="J175">
        <v>74</v>
      </c>
      <c r="K175" s="11" t="s">
        <v>371</v>
      </c>
      <c r="L175" s="10">
        <v>7076958</v>
      </c>
      <c r="M175" s="4">
        <v>2018</v>
      </c>
      <c r="N175" t="s">
        <v>378</v>
      </c>
      <c r="O175" t="s">
        <v>1199</v>
      </c>
      <c r="P175" s="23" t="s">
        <v>27</v>
      </c>
      <c r="Q175">
        <v>74</v>
      </c>
      <c r="R175" t="s">
        <v>47</v>
      </c>
      <c r="S175" t="s">
        <v>47</v>
      </c>
      <c r="U175" t="s">
        <v>478</v>
      </c>
      <c r="V175" t="str">
        <f>IF(AND(ISNUMBER(L175),COUNTIF([1]Songs!$L:$L,L175)&gt;0),"YES","")</f>
        <v/>
      </c>
      <c r="W175" t="e">
        <f>IF(AND(ISNUMBER(L175),COUNTIF([2]Songs!$J:$J,L175)&gt;0),"YES","")</f>
        <v>#VALUE!</v>
      </c>
      <c r="X175" t="e">
        <f>IF(AND(ISNUMBER(L175),COUNTIF([3]CcliCombined!$D:$D,L175)&gt;0),"YES","")</f>
        <v>#VALUE!</v>
      </c>
      <c r="Y175" t="e">
        <f>IF(AND(ISNUMBER(L175),COUNTIF([4]Songs!$H:$H,L175)&gt;0),"YES","")</f>
        <v>#VALUE!</v>
      </c>
      <c r="Z175" t="s">
        <v>630</v>
      </c>
      <c r="AB175">
        <v>174</v>
      </c>
      <c r="AD175" t="str">
        <f t="shared" si="5"/>
        <v xml:space="preserve">C </v>
      </c>
    </row>
    <row r="176" spans="1:30" x14ac:dyDescent="0.25">
      <c r="A176">
        <f>INDEX(Albums!$A:$A, MATCH(C176,Albums!$C:$C,0))</f>
        <v>1</v>
      </c>
      <c r="B176">
        <f>INDEX(Albums!$B:$B, MATCH(C176,Albums!$C:$C,0))</f>
        <v>2020</v>
      </c>
      <c r="C176" t="s">
        <v>9</v>
      </c>
      <c r="D176">
        <v>4</v>
      </c>
      <c r="E176" t="s">
        <v>286</v>
      </c>
      <c r="F176" t="s">
        <v>23</v>
      </c>
      <c r="G176" s="28" t="s">
        <v>468</v>
      </c>
      <c r="H176" s="3" t="s">
        <v>39</v>
      </c>
      <c r="I176" s="3" t="s">
        <v>39</v>
      </c>
      <c r="J176" s="4">
        <v>68</v>
      </c>
      <c r="K176" s="5" t="s">
        <v>371</v>
      </c>
      <c r="L176" s="10">
        <v>7127647</v>
      </c>
      <c r="M176" s="4">
        <v>2019</v>
      </c>
      <c r="N176" s="6" t="s">
        <v>372</v>
      </c>
      <c r="O176" t="s">
        <v>1199</v>
      </c>
      <c r="P176" s="23" t="s">
        <v>220</v>
      </c>
      <c r="Q176">
        <v>68</v>
      </c>
      <c r="R176" t="s">
        <v>47</v>
      </c>
      <c r="S176" t="s">
        <v>47</v>
      </c>
      <c r="U176" t="s">
        <v>478</v>
      </c>
      <c r="V176" t="str">
        <f>IF(AND(ISNUMBER(L176),COUNTIF([1]Songs!$L:$L,L176)&gt;0),"YES","")</f>
        <v>YES</v>
      </c>
      <c r="W176" t="e">
        <f>IF(AND(ISNUMBER(L176),COUNTIF([2]Songs!$J:$J,L176)&gt;0),"YES","")</f>
        <v>#VALUE!</v>
      </c>
      <c r="X176" t="e">
        <f>IF(AND(ISNUMBER(L176),COUNTIF([3]CcliCombined!$D:$D,L176)&gt;0),"YES","")</f>
        <v>#VALUE!</v>
      </c>
      <c r="Y176" t="e">
        <f>IF(AND(ISNUMBER(L176),COUNTIF([4]Songs!$H:$H,L176)&gt;0),"YES","")</f>
        <v>#VALUE!</v>
      </c>
      <c r="Z176" t="s">
        <v>630</v>
      </c>
      <c r="AB176">
        <v>175</v>
      </c>
      <c r="AD176" t="str">
        <f t="shared" si="5"/>
        <v>D C</v>
      </c>
    </row>
    <row r="177" spans="1:32" x14ac:dyDescent="0.25">
      <c r="A177">
        <f>INDEX(Albums!$A:$A, MATCH(C177,Albums!$C:$C,0))</f>
        <v>1</v>
      </c>
      <c r="B177">
        <f>INDEX(Albums!$B:$B, MATCH(C177,Albums!$C:$C,0))</f>
        <v>2020</v>
      </c>
      <c r="C177" t="s">
        <v>9</v>
      </c>
      <c r="D177">
        <v>5</v>
      </c>
      <c r="E177" t="s">
        <v>287</v>
      </c>
      <c r="F177" t="s">
        <v>23</v>
      </c>
      <c r="G177" s="28" t="s">
        <v>1097</v>
      </c>
      <c r="I177" t="s">
        <v>78</v>
      </c>
      <c r="J177">
        <v>53</v>
      </c>
      <c r="K177" s="11" t="s">
        <v>425</v>
      </c>
      <c r="L177" s="10">
        <v>7120418</v>
      </c>
      <c r="M177" s="4">
        <v>2018</v>
      </c>
      <c r="N177" t="s">
        <v>1080</v>
      </c>
      <c r="O177" t="s">
        <v>1199</v>
      </c>
      <c r="P177" s="23" t="s">
        <v>288</v>
      </c>
      <c r="Q177">
        <v>80</v>
      </c>
      <c r="R177" t="s">
        <v>176</v>
      </c>
      <c r="S177" t="s">
        <v>176</v>
      </c>
      <c r="U177" t="s">
        <v>478</v>
      </c>
      <c r="V177" t="str">
        <f>IF(AND(ISNUMBER(L177),COUNTIF([1]Songs!$L:$L,L177)&gt;0),"YES","")</f>
        <v/>
      </c>
      <c r="W177" t="e">
        <f>IF(AND(ISNUMBER(L177),COUNTIF([2]Songs!$J:$J,L177)&gt;0),"YES","")</f>
        <v>#VALUE!</v>
      </c>
      <c r="X177" t="e">
        <f>IF(AND(ISNUMBER(L177),COUNTIF([3]CcliCombined!$D:$D,L177)&gt;0),"YES","")</f>
        <v>#VALUE!</v>
      </c>
      <c r="Y177" t="e">
        <f>IF(AND(ISNUMBER(L177),COUNTIF([4]Songs!$H:$H,L177)&gt;0),"YES","")</f>
        <v>#VALUE!</v>
      </c>
      <c r="Z177" t="s">
        <v>630</v>
      </c>
      <c r="AB177">
        <v>176</v>
      </c>
      <c r="AD177" t="str">
        <f t="shared" si="5"/>
        <v>Eb  F</v>
      </c>
    </row>
    <row r="178" spans="1:32" x14ac:dyDescent="0.25">
      <c r="A178">
        <f>INDEX(Albums!$A:$A, MATCH(C178,Albums!$C:$C,0))</f>
        <v>1</v>
      </c>
      <c r="B178">
        <f>INDEX(Albums!$B:$B, MATCH(C178,Albums!$C:$C,0))</f>
        <v>2020</v>
      </c>
      <c r="C178" t="s">
        <v>9</v>
      </c>
      <c r="D178">
        <v>6</v>
      </c>
      <c r="E178" t="s">
        <v>289</v>
      </c>
      <c r="F178" t="s">
        <v>23</v>
      </c>
      <c r="G178" s="28" t="s">
        <v>1098</v>
      </c>
      <c r="I178" t="s">
        <v>47</v>
      </c>
      <c r="J178">
        <v>72</v>
      </c>
      <c r="K178" s="11" t="s">
        <v>371</v>
      </c>
      <c r="L178" s="10">
        <v>7107821</v>
      </c>
      <c r="M178" s="4">
        <v>2018</v>
      </c>
      <c r="N178" t="s">
        <v>436</v>
      </c>
      <c r="O178" t="s">
        <v>1199</v>
      </c>
      <c r="P178" s="23" t="s">
        <v>290</v>
      </c>
      <c r="Q178">
        <v>72</v>
      </c>
      <c r="R178" t="s">
        <v>31</v>
      </c>
      <c r="S178" t="s">
        <v>31</v>
      </c>
      <c r="U178" t="s">
        <v>478</v>
      </c>
      <c r="V178" t="str">
        <f>IF(AND(ISNUMBER(L178),COUNTIF([1]Songs!$L:$L,L178)&gt;0),"YES","")</f>
        <v/>
      </c>
      <c r="W178" t="e">
        <f>IF(AND(ISNUMBER(L178),COUNTIF([2]Songs!$J:$J,L178)&gt;0),"YES","")</f>
        <v>#VALUE!</v>
      </c>
      <c r="X178" t="e">
        <f>IF(AND(ISNUMBER(L178),COUNTIF([3]CcliCombined!$D:$D,L178)&gt;0),"YES","")</f>
        <v>#VALUE!</v>
      </c>
      <c r="Y178" t="e">
        <f>IF(AND(ISNUMBER(L178),COUNTIF([4]Songs!$H:$H,L178)&gt;0),"YES","")</f>
        <v>#VALUE!</v>
      </c>
      <c r="Z178" t="s">
        <v>630</v>
      </c>
      <c r="AB178">
        <v>177</v>
      </c>
      <c r="AD178" t="str">
        <f t="shared" si="5"/>
        <v>C  B</v>
      </c>
    </row>
    <row r="179" spans="1:32" x14ac:dyDescent="0.25">
      <c r="A179">
        <f>INDEX(Albums!$A:$A, MATCH(C179,Albums!$C:$C,0))</f>
        <v>1</v>
      </c>
      <c r="B179">
        <f>INDEX(Albums!$B:$B, MATCH(C179,Albums!$C:$C,0))</f>
        <v>2020</v>
      </c>
      <c r="C179" t="s">
        <v>9</v>
      </c>
      <c r="D179">
        <v>7</v>
      </c>
      <c r="E179" t="s">
        <v>291</v>
      </c>
      <c r="F179" t="s">
        <v>292</v>
      </c>
      <c r="G179" s="28" t="s">
        <v>1099</v>
      </c>
      <c r="I179" t="s">
        <v>28</v>
      </c>
      <c r="J179">
        <v>80</v>
      </c>
      <c r="K179" s="11" t="s">
        <v>371</v>
      </c>
      <c r="L179" s="10">
        <v>7089024</v>
      </c>
      <c r="M179" s="4">
        <v>2018</v>
      </c>
      <c r="N179" t="s">
        <v>1079</v>
      </c>
      <c r="O179" t="s">
        <v>1199</v>
      </c>
      <c r="P179" s="23" t="s">
        <v>293</v>
      </c>
      <c r="Q179">
        <v>80</v>
      </c>
      <c r="R179" t="s">
        <v>28</v>
      </c>
      <c r="S179" t="s">
        <v>52</v>
      </c>
      <c r="U179" t="s">
        <v>478</v>
      </c>
      <c r="V179" t="str">
        <f>IF(AND(ISNUMBER(L179),COUNTIF([1]Songs!$L:$L,L179)&gt;0),"YES","")</f>
        <v/>
      </c>
      <c r="W179" t="e">
        <f>IF(AND(ISNUMBER(L179),COUNTIF([2]Songs!$J:$J,L179)&gt;0),"YES","")</f>
        <v>#VALUE!</v>
      </c>
      <c r="X179" t="e">
        <f>IF(AND(ISNUMBER(L179),COUNTIF([3]CcliCombined!$D:$D,L179)&gt;0),"YES","")</f>
        <v>#VALUE!</v>
      </c>
      <c r="Y179" t="e">
        <f>IF(AND(ISNUMBER(L179),COUNTIF([4]Songs!$H:$H,L179)&gt;0),"YES","")</f>
        <v>#VALUE!</v>
      </c>
      <c r="Z179" t="s">
        <v>630</v>
      </c>
      <c r="AB179">
        <v>178</v>
      </c>
      <c r="AD179" t="str">
        <f t="shared" si="5"/>
        <v>Bb  A</v>
      </c>
    </row>
    <row r="180" spans="1:32" x14ac:dyDescent="0.25">
      <c r="A180">
        <f>INDEX(Albums!$A:$A, MATCH(C180,Albums!$C:$C,0))</f>
        <v>1</v>
      </c>
      <c r="B180">
        <f>INDEX(Albums!$B:$B, MATCH(C180,Albums!$C:$C,0))</f>
        <v>2020</v>
      </c>
      <c r="C180" t="s">
        <v>9</v>
      </c>
      <c r="D180">
        <v>8</v>
      </c>
      <c r="E180" t="s">
        <v>294</v>
      </c>
      <c r="F180" t="s">
        <v>23</v>
      </c>
      <c r="G180" s="28" t="s">
        <v>1100</v>
      </c>
      <c r="I180" t="s">
        <v>47</v>
      </c>
      <c r="J180">
        <v>75</v>
      </c>
      <c r="K180" s="11" t="s">
        <v>371</v>
      </c>
      <c r="L180" s="10">
        <v>7105442</v>
      </c>
      <c r="M180" s="4">
        <v>2018</v>
      </c>
      <c r="N180" t="s">
        <v>457</v>
      </c>
      <c r="O180" t="s">
        <v>1199</v>
      </c>
      <c r="P180" s="23" t="s">
        <v>295</v>
      </c>
      <c r="Q180">
        <v>75</v>
      </c>
      <c r="R180" t="s">
        <v>47</v>
      </c>
      <c r="S180" t="s">
        <v>47</v>
      </c>
      <c r="U180" t="s">
        <v>478</v>
      </c>
      <c r="V180" t="str">
        <f>IF(AND(ISNUMBER(L180),COUNTIF([1]Songs!$L:$L,L180)&gt;0),"YES","")</f>
        <v/>
      </c>
      <c r="W180" t="e">
        <f>IF(AND(ISNUMBER(L180),COUNTIF([2]Songs!$J:$J,L180)&gt;0),"YES","")</f>
        <v>#VALUE!</v>
      </c>
      <c r="X180" t="e">
        <f>IF(AND(ISNUMBER(L180),COUNTIF([3]CcliCombined!$D:$D,L180)&gt;0),"YES","")</f>
        <v>#VALUE!</v>
      </c>
      <c r="Y180" t="e">
        <f>IF(AND(ISNUMBER(L180),COUNTIF([4]Songs!$H:$H,L180)&gt;0),"YES","")</f>
        <v>#VALUE!</v>
      </c>
      <c r="Z180" t="s">
        <v>630</v>
      </c>
      <c r="AB180">
        <v>179</v>
      </c>
      <c r="AD180" t="str">
        <f t="shared" si="5"/>
        <v xml:space="preserve">C </v>
      </c>
    </row>
    <row r="181" spans="1:32" x14ac:dyDescent="0.25">
      <c r="A181">
        <f>INDEX(Albums!$A:$A, MATCH(C181,Albums!$C:$C,0))</f>
        <v>1</v>
      </c>
      <c r="B181">
        <f>INDEX(Albums!$B:$B, MATCH(C181,Albums!$C:$C,0))</f>
        <v>2020</v>
      </c>
      <c r="C181" t="s">
        <v>9</v>
      </c>
      <c r="D181">
        <v>9</v>
      </c>
      <c r="E181" t="s">
        <v>296</v>
      </c>
      <c r="F181" t="s">
        <v>23</v>
      </c>
      <c r="G181" s="28" t="s">
        <v>469</v>
      </c>
      <c r="H181" s="3" t="s">
        <v>39</v>
      </c>
      <c r="I181" s="3" t="s">
        <v>39</v>
      </c>
      <c r="J181" s="4">
        <v>75</v>
      </c>
      <c r="K181" s="4" t="s">
        <v>371</v>
      </c>
      <c r="L181" s="10">
        <v>7107551</v>
      </c>
      <c r="M181" s="4">
        <v>2018</v>
      </c>
      <c r="N181" s="6" t="s">
        <v>470</v>
      </c>
      <c r="O181" t="s">
        <v>1199</v>
      </c>
      <c r="P181" s="23" t="s">
        <v>163</v>
      </c>
      <c r="Q181">
        <v>75</v>
      </c>
      <c r="R181" t="s">
        <v>47</v>
      </c>
      <c r="S181" t="s">
        <v>47</v>
      </c>
      <c r="U181" t="s">
        <v>478</v>
      </c>
      <c r="V181" t="str">
        <f>IF(AND(ISNUMBER(L181),COUNTIF([1]Songs!$L:$L,L181)&gt;0),"YES","")</f>
        <v>YES</v>
      </c>
      <c r="W181" t="e">
        <f>IF(AND(ISNUMBER(L181),COUNTIF([2]Songs!$J:$J,L181)&gt;0),"YES","")</f>
        <v>#VALUE!</v>
      </c>
      <c r="X181" t="e">
        <f>IF(AND(ISNUMBER(L181),COUNTIF([3]CcliCombined!$D:$D,L181)&gt;0),"YES","")</f>
        <v>#VALUE!</v>
      </c>
      <c r="Y181" t="e">
        <f>IF(AND(ISNUMBER(L181),COUNTIF([4]Songs!$H:$H,L181)&gt;0),"YES","")</f>
        <v>#VALUE!</v>
      </c>
      <c r="Z181" t="s">
        <v>630</v>
      </c>
      <c r="AB181">
        <v>180</v>
      </c>
      <c r="AD181" t="str">
        <f t="shared" si="5"/>
        <v>D C</v>
      </c>
    </row>
    <row r="182" spans="1:32" x14ac:dyDescent="0.25">
      <c r="A182">
        <f>INDEX(Albums!$A:$A, MATCH(C182,Albums!$C:$C,0))</f>
        <v>1</v>
      </c>
      <c r="B182">
        <f>INDEX(Albums!$B:$B, MATCH(C182,Albums!$C:$C,0))</f>
        <v>2020</v>
      </c>
      <c r="C182" t="s">
        <v>9</v>
      </c>
      <c r="D182">
        <v>10</v>
      </c>
      <c r="E182" t="s">
        <v>297</v>
      </c>
      <c r="F182" t="s">
        <v>23</v>
      </c>
      <c r="G182" s="28" t="s">
        <v>1101</v>
      </c>
      <c r="I182" t="s">
        <v>25</v>
      </c>
      <c r="J182">
        <v>102</v>
      </c>
      <c r="K182" s="11" t="s">
        <v>371</v>
      </c>
      <c r="L182" s="10">
        <v>7111321</v>
      </c>
      <c r="M182" s="4">
        <v>2018</v>
      </c>
      <c r="N182" t="s">
        <v>436</v>
      </c>
      <c r="O182" t="s">
        <v>1199</v>
      </c>
      <c r="P182" s="23" t="s">
        <v>27</v>
      </c>
      <c r="Q182">
        <v>102</v>
      </c>
      <c r="R182" t="s">
        <v>31</v>
      </c>
      <c r="S182" t="s">
        <v>31</v>
      </c>
      <c r="U182" t="s">
        <v>478</v>
      </c>
      <c r="V182" t="str">
        <f>IF(AND(ISNUMBER(L182),COUNTIF([1]Songs!$L:$L,L182)&gt;0),"YES","")</f>
        <v/>
      </c>
      <c r="W182" t="e">
        <f>IF(AND(ISNUMBER(L182),COUNTIF([2]Songs!$J:$J,L182)&gt;0),"YES","")</f>
        <v>#VALUE!</v>
      </c>
      <c r="X182" t="e">
        <f>IF(AND(ISNUMBER(L182),COUNTIF([3]CcliCombined!$D:$D,L182)&gt;0),"YES","")</f>
        <v>#VALUE!</v>
      </c>
      <c r="Y182" t="e">
        <f>IF(AND(ISNUMBER(L182),COUNTIF([4]Songs!$H:$H,L182)&gt;0),"YES","")</f>
        <v>#VALUE!</v>
      </c>
      <c r="Z182" t="s">
        <v>630</v>
      </c>
      <c r="AB182">
        <v>181</v>
      </c>
      <c r="AD182" t="str">
        <f t="shared" si="5"/>
        <v>G  B</v>
      </c>
    </row>
    <row r="183" spans="1:32" x14ac:dyDescent="0.25">
      <c r="A183">
        <f>INDEX(Albums!$A:$A, MATCH(C183,Albums!$C:$C,0))</f>
        <v>1</v>
      </c>
      <c r="B183">
        <f>INDEX(Albums!$B:$B, MATCH(C183,Albums!$C:$C,0))</f>
        <v>2020</v>
      </c>
      <c r="C183" t="s">
        <v>10</v>
      </c>
      <c r="D183">
        <v>1</v>
      </c>
      <c r="E183" t="s">
        <v>298</v>
      </c>
      <c r="F183" t="s">
        <v>23</v>
      </c>
      <c r="G183" s="28" t="s">
        <v>471</v>
      </c>
      <c r="H183" s="3" t="s">
        <v>47</v>
      </c>
      <c r="I183" s="3" t="s">
        <v>47</v>
      </c>
      <c r="J183" s="4">
        <v>67</v>
      </c>
      <c r="K183" s="5" t="s">
        <v>371</v>
      </c>
      <c r="L183" s="10">
        <v>7124907</v>
      </c>
      <c r="M183" s="4">
        <v>2018</v>
      </c>
      <c r="N183" s="6" t="s">
        <v>372</v>
      </c>
      <c r="O183" t="s">
        <v>1199</v>
      </c>
      <c r="P183" s="23" t="s">
        <v>181</v>
      </c>
      <c r="Q183">
        <v>67</v>
      </c>
      <c r="R183" t="s">
        <v>47</v>
      </c>
      <c r="S183" t="s">
        <v>47</v>
      </c>
      <c r="U183" t="s">
        <v>478</v>
      </c>
      <c r="V183" t="str">
        <f>IF(AND(ISNUMBER(L183),COUNTIF([1]Songs!$L:$L,L183)&gt;0),"YES","")</f>
        <v>YES</v>
      </c>
      <c r="W183" t="e">
        <f>IF(AND(ISNUMBER(L183),COUNTIF([2]Songs!$J:$J,L183)&gt;0),"YES","")</f>
        <v>#VALUE!</v>
      </c>
      <c r="X183" t="e">
        <f>IF(AND(ISNUMBER(L183),COUNTIF([3]CcliCombined!$D:$D,L183)&gt;0),"YES","")</f>
        <v>#VALUE!</v>
      </c>
      <c r="Y183" t="e">
        <f>IF(AND(ISNUMBER(L183),COUNTIF([4]Songs!$H:$H,L183)&gt;0),"YES","")</f>
        <v>#VALUE!</v>
      </c>
      <c r="Z183" t="s">
        <v>630</v>
      </c>
      <c r="AB183">
        <v>182</v>
      </c>
      <c r="AD183" t="str">
        <f t="shared" si="5"/>
        <v>C</v>
      </c>
    </row>
    <row r="184" spans="1:32" x14ac:dyDescent="0.25">
      <c r="A184">
        <f>INDEX(Albums!$A:$A, MATCH(C184,Albums!$C:$C,0))</f>
        <v>1</v>
      </c>
      <c r="B184">
        <f>INDEX(Albums!$B:$B, MATCH(C184,Albums!$C:$C,0))</f>
        <v>2020</v>
      </c>
      <c r="C184" t="s">
        <v>10</v>
      </c>
      <c r="D184">
        <v>2</v>
      </c>
      <c r="E184" t="s">
        <v>299</v>
      </c>
      <c r="F184" t="s">
        <v>23</v>
      </c>
      <c r="G184" s="28" t="s">
        <v>1043</v>
      </c>
      <c r="I184" t="s">
        <v>39</v>
      </c>
      <c r="J184">
        <v>69</v>
      </c>
      <c r="K184" s="11" t="s">
        <v>371</v>
      </c>
      <c r="L184" s="10">
        <v>7133375</v>
      </c>
      <c r="M184" s="4">
        <v>2019</v>
      </c>
      <c r="N184" t="s">
        <v>392</v>
      </c>
      <c r="O184" t="s">
        <v>1199</v>
      </c>
      <c r="P184" s="23" t="s">
        <v>300</v>
      </c>
      <c r="Q184">
        <v>69</v>
      </c>
      <c r="R184" t="s">
        <v>47</v>
      </c>
      <c r="S184" t="s">
        <v>47</v>
      </c>
      <c r="U184" t="s">
        <v>478</v>
      </c>
      <c r="V184" t="str">
        <f>IF(AND(ISNUMBER(L184),COUNTIF([1]Songs!$L:$L,L184)&gt;0),"YES","")</f>
        <v/>
      </c>
      <c r="W184" t="e">
        <f>IF(AND(ISNUMBER(L184),COUNTIF([2]Songs!$J:$J,L184)&gt;0),"YES","")</f>
        <v>#VALUE!</v>
      </c>
      <c r="X184" t="e">
        <f>IF(AND(ISNUMBER(L184),COUNTIF([3]CcliCombined!$D:$D,L184)&gt;0),"YES","")</f>
        <v>#VALUE!</v>
      </c>
      <c r="Y184" t="e">
        <f>IF(AND(ISNUMBER(L184),COUNTIF([4]Songs!$H:$H,L184)&gt;0),"YES","")</f>
        <v>#VALUE!</v>
      </c>
      <c r="Z184" t="s">
        <v>630</v>
      </c>
      <c r="AB184">
        <v>183</v>
      </c>
      <c r="AD184" t="str">
        <f t="shared" si="5"/>
        <v>D  C</v>
      </c>
    </row>
    <row r="185" spans="1:32" x14ac:dyDescent="0.25">
      <c r="A185">
        <f>INDEX(Albums!$A:$A, MATCH(C185,Albums!$C:$C,0))</f>
        <v>1</v>
      </c>
      <c r="B185">
        <f>INDEX(Albums!$B:$B, MATCH(C185,Albums!$C:$C,0))</f>
        <v>2020</v>
      </c>
      <c r="C185" t="s">
        <v>10</v>
      </c>
      <c r="D185">
        <v>3</v>
      </c>
      <c r="E185" t="s">
        <v>301</v>
      </c>
      <c r="F185" t="s">
        <v>23</v>
      </c>
      <c r="G185" s="28" t="s">
        <v>1044</v>
      </c>
      <c r="I185" t="s">
        <v>39</v>
      </c>
      <c r="J185">
        <v>76</v>
      </c>
      <c r="K185" s="11" t="s">
        <v>371</v>
      </c>
      <c r="L185" s="10">
        <v>7048885</v>
      </c>
      <c r="M185" s="4">
        <v>2016</v>
      </c>
      <c r="N185" t="s">
        <v>1017</v>
      </c>
      <c r="O185" t="s">
        <v>1199</v>
      </c>
      <c r="P185" s="23" t="s">
        <v>196</v>
      </c>
      <c r="Q185">
        <v>73</v>
      </c>
      <c r="R185" t="s">
        <v>47</v>
      </c>
      <c r="S185" t="s">
        <v>47</v>
      </c>
      <c r="U185" t="s">
        <v>478</v>
      </c>
      <c r="V185" t="str">
        <f>IF(AND(ISNUMBER(L185),COUNTIF([1]Songs!$L:$L,L185)&gt;0),"YES","")</f>
        <v/>
      </c>
      <c r="W185" t="e">
        <f>IF(AND(ISNUMBER(L185),COUNTIF([2]Songs!$J:$J,L185)&gt;0),"YES","")</f>
        <v>#VALUE!</v>
      </c>
      <c r="X185" t="e">
        <f>IF(AND(ISNUMBER(L185),COUNTIF([3]CcliCombined!$D:$D,L185)&gt;0),"YES","")</f>
        <v>#VALUE!</v>
      </c>
      <c r="Y185" t="e">
        <f>IF(AND(ISNUMBER(L185),COUNTIF([4]Songs!$H:$H,L185)&gt;0),"YES","")</f>
        <v>#VALUE!</v>
      </c>
      <c r="Z185" t="s">
        <v>630</v>
      </c>
      <c r="AB185">
        <v>184</v>
      </c>
      <c r="AD185" t="str">
        <f t="shared" si="5"/>
        <v>D  C</v>
      </c>
    </row>
    <row r="186" spans="1:32" x14ac:dyDescent="0.25">
      <c r="A186">
        <f>INDEX(Albums!$A:$A, MATCH(C186,Albums!$C:$C,0))</f>
        <v>1</v>
      </c>
      <c r="B186">
        <f>INDEX(Albums!$B:$B, MATCH(C186,Albums!$C:$C,0))</f>
        <v>2020</v>
      </c>
      <c r="C186" t="s">
        <v>10</v>
      </c>
      <c r="D186">
        <v>4</v>
      </c>
      <c r="E186" t="s">
        <v>302</v>
      </c>
      <c r="F186" t="s">
        <v>23</v>
      </c>
      <c r="G186" s="28" t="s">
        <v>1045</v>
      </c>
      <c r="I186" t="s">
        <v>47</v>
      </c>
      <c r="J186">
        <v>71</v>
      </c>
      <c r="K186" s="11" t="s">
        <v>1041</v>
      </c>
      <c r="L186" s="10">
        <v>7109453</v>
      </c>
      <c r="M186" s="4">
        <v>2018</v>
      </c>
      <c r="N186" t="s">
        <v>1042</v>
      </c>
      <c r="O186" t="s">
        <v>1199</v>
      </c>
      <c r="P186" s="23" t="s">
        <v>215</v>
      </c>
      <c r="Q186">
        <v>71</v>
      </c>
      <c r="R186" t="s">
        <v>47</v>
      </c>
      <c r="S186" t="s">
        <v>47</v>
      </c>
      <c r="U186" t="s">
        <v>478</v>
      </c>
      <c r="V186" t="str">
        <f>IF(AND(ISNUMBER(L186),COUNTIF([1]Songs!$L:$L,L186)&gt;0),"YES","")</f>
        <v/>
      </c>
      <c r="W186" t="e">
        <f>IF(AND(ISNUMBER(L186),COUNTIF([2]Songs!$J:$J,L186)&gt;0),"YES","")</f>
        <v>#VALUE!</v>
      </c>
      <c r="X186" t="e">
        <f>IF(AND(ISNUMBER(L186),COUNTIF([3]CcliCombined!$D:$D,L186)&gt;0),"YES","")</f>
        <v>#VALUE!</v>
      </c>
      <c r="Y186" t="e">
        <f>IF(AND(ISNUMBER(L186),COUNTIF([4]Songs!$H:$H,L186)&gt;0),"YES","")</f>
        <v>#VALUE!</v>
      </c>
      <c r="Z186" t="s">
        <v>630</v>
      </c>
      <c r="AB186">
        <v>185</v>
      </c>
      <c r="AD186" t="str">
        <f t="shared" si="5"/>
        <v xml:space="preserve">C </v>
      </c>
    </row>
    <row r="187" spans="1:32" x14ac:dyDescent="0.25">
      <c r="A187">
        <f>INDEX(Albums!$A:$A, MATCH(C187,Albums!$C:$C,0))</f>
        <v>1</v>
      </c>
      <c r="B187">
        <f>INDEX(Albums!$B:$B, MATCH(C187,Albums!$C:$C,0))</f>
        <v>2020</v>
      </c>
      <c r="C187" t="s">
        <v>10</v>
      </c>
      <c r="D187">
        <v>5</v>
      </c>
      <c r="E187" t="s">
        <v>303</v>
      </c>
      <c r="F187" t="s">
        <v>23</v>
      </c>
      <c r="G187" s="28" t="s">
        <v>1046</v>
      </c>
      <c r="I187" t="s">
        <v>39</v>
      </c>
      <c r="J187">
        <v>50</v>
      </c>
      <c r="K187" s="11" t="s">
        <v>425</v>
      </c>
      <c r="L187" s="10">
        <v>7073332</v>
      </c>
      <c r="M187" s="4">
        <v>2016</v>
      </c>
      <c r="N187" t="s">
        <v>467</v>
      </c>
      <c r="O187" t="s">
        <v>1199</v>
      </c>
      <c r="P187" s="23" t="s">
        <v>284</v>
      </c>
      <c r="Q187">
        <v>75</v>
      </c>
      <c r="R187" t="s">
        <v>176</v>
      </c>
      <c r="S187" t="s">
        <v>176</v>
      </c>
      <c r="U187" t="s">
        <v>478</v>
      </c>
      <c r="V187" t="str">
        <f>IF(AND(ISNUMBER(L187),COUNTIF([1]Songs!$L:$L,L187)&gt;0),"YES","")</f>
        <v/>
      </c>
      <c r="W187" t="e">
        <f>IF(AND(ISNUMBER(L187),COUNTIF([2]Songs!$J:$J,L187)&gt;0),"YES","")</f>
        <v>#VALUE!</v>
      </c>
      <c r="X187" t="e">
        <f>IF(AND(ISNUMBER(L187),COUNTIF([3]CcliCombined!$D:$D,L187)&gt;0),"YES","")</f>
        <v>#VALUE!</v>
      </c>
      <c r="Y187" t="e">
        <f>IF(AND(ISNUMBER(L187),COUNTIF([4]Songs!$H:$H,L187)&gt;0),"YES","")</f>
        <v>#VALUE!</v>
      </c>
      <c r="Z187" t="s">
        <v>630</v>
      </c>
      <c r="AB187">
        <v>186</v>
      </c>
      <c r="AD187" t="str">
        <f t="shared" si="5"/>
        <v>D  F</v>
      </c>
    </row>
    <row r="188" spans="1:32" x14ac:dyDescent="0.25">
      <c r="A188">
        <f>INDEX(Albums!$A:$A, MATCH(C188,Albums!$C:$C,0))</f>
        <v>1</v>
      </c>
      <c r="B188">
        <f>INDEX(Albums!$B:$B, MATCH(C188,Albums!$C:$C,0))</f>
        <v>2020</v>
      </c>
      <c r="C188" t="s">
        <v>10</v>
      </c>
      <c r="D188">
        <v>6</v>
      </c>
      <c r="E188" t="s">
        <v>304</v>
      </c>
      <c r="F188" t="s">
        <v>23</v>
      </c>
      <c r="G188" s="28" t="s">
        <v>1047</v>
      </c>
      <c r="I188" t="s">
        <v>28</v>
      </c>
      <c r="J188">
        <v>72</v>
      </c>
      <c r="K188" s="11" t="s">
        <v>380</v>
      </c>
      <c r="L188" s="10">
        <v>7036096</v>
      </c>
      <c r="M188" s="4">
        <v>2016</v>
      </c>
      <c r="N188" t="s">
        <v>467</v>
      </c>
      <c r="O188" t="s">
        <v>1199</v>
      </c>
      <c r="P188" s="23" t="s">
        <v>284</v>
      </c>
      <c r="Q188">
        <v>72</v>
      </c>
      <c r="R188" t="s">
        <v>28</v>
      </c>
      <c r="S188" t="s">
        <v>52</v>
      </c>
      <c r="U188" t="s">
        <v>478</v>
      </c>
      <c r="V188" t="str">
        <f>IF(AND(ISNUMBER(L188),COUNTIF([1]Songs!$L:$L,L188)&gt;0),"YES","")</f>
        <v/>
      </c>
      <c r="W188" t="e">
        <f>IF(AND(ISNUMBER(L188),COUNTIF([2]Songs!$J:$J,L188)&gt;0),"YES","")</f>
        <v>#VALUE!</v>
      </c>
      <c r="X188" t="e">
        <f>IF(AND(ISNUMBER(L188),COUNTIF([3]CcliCombined!$D:$D,L188)&gt;0),"YES","")</f>
        <v>#VALUE!</v>
      </c>
      <c r="Y188" t="e">
        <f>IF(AND(ISNUMBER(L188),COUNTIF([4]Songs!$H:$H,L188)&gt;0),"YES","")</f>
        <v>#VALUE!</v>
      </c>
      <c r="Z188" t="s">
        <v>630</v>
      </c>
      <c r="AB188">
        <v>187</v>
      </c>
      <c r="AD188" t="str">
        <f t="shared" si="5"/>
        <v>Bb  A</v>
      </c>
    </row>
    <row r="189" spans="1:32" x14ac:dyDescent="0.25">
      <c r="A189">
        <f>INDEX(Albums!$A:$A, MATCH(C189,Albums!$C:$C,0))</f>
        <v>1</v>
      </c>
      <c r="B189">
        <f>INDEX(Albums!$B:$B, MATCH(C189,Albums!$C:$C,0))</f>
        <v>2020</v>
      </c>
      <c r="C189" t="s">
        <v>10</v>
      </c>
      <c r="D189">
        <v>7</v>
      </c>
      <c r="E189" t="s">
        <v>305</v>
      </c>
      <c r="F189" t="s">
        <v>23</v>
      </c>
      <c r="G189" s="28" t="s">
        <v>1040</v>
      </c>
      <c r="I189" t="s">
        <v>39</v>
      </c>
      <c r="J189">
        <v>76</v>
      </c>
      <c r="K189" s="11" t="s">
        <v>380</v>
      </c>
      <c r="L189" s="10">
        <v>5174122</v>
      </c>
      <c r="M189" s="4">
        <v>2008</v>
      </c>
      <c r="N189" t="s">
        <v>660</v>
      </c>
      <c r="O189" t="s">
        <v>1199</v>
      </c>
      <c r="P189" s="23" t="s">
        <v>306</v>
      </c>
      <c r="Q189">
        <v>65</v>
      </c>
      <c r="R189" t="s">
        <v>78</v>
      </c>
      <c r="S189" t="s">
        <v>39</v>
      </c>
      <c r="U189" t="s">
        <v>478</v>
      </c>
      <c r="V189" t="str">
        <f>IF(AND(ISNUMBER(L189),COUNTIF([1]Songs!$L:$L,L189)&gt;0),"YES","")</f>
        <v/>
      </c>
      <c r="W189" t="e">
        <f>IF(AND(ISNUMBER(L189),COUNTIF([2]Songs!$J:$J,L189)&gt;0),"YES","")</f>
        <v>#VALUE!</v>
      </c>
      <c r="X189" t="e">
        <f>IF(AND(ISNUMBER(L189),COUNTIF([3]CcliCombined!$D:$D,L189)&gt;0),"YES","")</f>
        <v>#VALUE!</v>
      </c>
      <c r="Y189" t="e">
        <f>IF(AND(ISNUMBER(L189),COUNTIF([4]Songs!$H:$H,L189)&gt;0),"YES","")</f>
        <v>#VALUE!</v>
      </c>
      <c r="Z189" t="s">
        <v>630</v>
      </c>
      <c r="AB189">
        <v>188</v>
      </c>
      <c r="AD189" t="str">
        <f t="shared" si="5"/>
        <v>D  Eb D</v>
      </c>
    </row>
    <row r="190" spans="1:32" hidden="1" x14ac:dyDescent="0.25">
      <c r="A190">
        <f>INDEX(Albums!$A:$A, MATCH(C190,Albums!$C:$C,0))</f>
        <v>1</v>
      </c>
      <c r="B190">
        <f>INDEX(Albums!$B:$B, MATCH(C190,Albums!$C:$C,0))</f>
        <v>2020</v>
      </c>
      <c r="C190" t="s">
        <v>10</v>
      </c>
      <c r="D190">
        <v>8</v>
      </c>
      <c r="E190" t="s">
        <v>307</v>
      </c>
      <c r="F190" t="s">
        <v>23</v>
      </c>
      <c r="G190" s="28" t="s">
        <v>1039</v>
      </c>
      <c r="L190" s="10">
        <v>7098243</v>
      </c>
      <c r="M190" s="4">
        <v>2017</v>
      </c>
      <c r="N190" t="s">
        <v>436</v>
      </c>
      <c r="P190" s="23" t="s">
        <v>308</v>
      </c>
      <c r="Q190">
        <v>72</v>
      </c>
      <c r="R190" t="s">
        <v>31</v>
      </c>
      <c r="S190" t="s">
        <v>31</v>
      </c>
      <c r="V190" t="str">
        <f>IF(AND(ISNUMBER(L190),COUNTIF([1]Songs!$L:$L,L190)&gt;0),"YES","")</f>
        <v/>
      </c>
      <c r="W190" t="e">
        <f>IF(AND(ISNUMBER(L190),COUNTIF([2]Songs!$J:$J,L190)&gt;0),"YES","")</f>
        <v>#VALUE!</v>
      </c>
      <c r="X190" t="e">
        <f>IF(AND(ISNUMBER(L190),COUNTIF([3]CcliCombined!$D:$D,L190)&gt;0),"YES","")</f>
        <v>#VALUE!</v>
      </c>
      <c r="Y190" t="e">
        <f>IF(AND(ISNUMBER(L190),COUNTIF([4]Songs!$H:$H,L190)&gt;0),"YES","")</f>
        <v>#VALUE!</v>
      </c>
      <c r="Z190" t="s">
        <v>630</v>
      </c>
      <c r="AB190">
        <v>189</v>
      </c>
      <c r="AC190" t="s">
        <v>1032</v>
      </c>
      <c r="AD190" t="str">
        <f t="shared" si="5"/>
        <v xml:space="preserve"> B</v>
      </c>
      <c r="AF190" t="s">
        <v>1197</v>
      </c>
    </row>
    <row r="191" spans="1:32" x14ac:dyDescent="0.25">
      <c r="A191">
        <f>INDEX(Albums!$A:$A, MATCH(C191,Albums!$C:$C,0))</f>
        <v>1</v>
      </c>
      <c r="B191">
        <f>INDEX(Albums!$B:$B, MATCH(C191,Albums!$C:$C,0))</f>
        <v>2020</v>
      </c>
      <c r="C191" t="s">
        <v>10</v>
      </c>
      <c r="D191">
        <v>9</v>
      </c>
      <c r="E191" t="s">
        <v>309</v>
      </c>
      <c r="F191" t="s">
        <v>23</v>
      </c>
      <c r="G191" s="28" t="s">
        <v>1048</v>
      </c>
      <c r="I191" t="s">
        <v>78</v>
      </c>
      <c r="J191">
        <v>46</v>
      </c>
      <c r="K191" s="11" t="s">
        <v>425</v>
      </c>
      <c r="L191" s="10">
        <v>7011451</v>
      </c>
      <c r="M191" s="4">
        <v>2013</v>
      </c>
      <c r="N191" t="s">
        <v>1014</v>
      </c>
      <c r="O191" t="s">
        <v>1199</v>
      </c>
      <c r="P191" s="23" t="s">
        <v>190</v>
      </c>
      <c r="Q191">
        <v>70</v>
      </c>
      <c r="R191" t="s">
        <v>39</v>
      </c>
      <c r="S191" t="s">
        <v>39</v>
      </c>
      <c r="U191" t="s">
        <v>478</v>
      </c>
      <c r="V191" t="str">
        <f>IF(AND(ISNUMBER(L191),COUNTIF([1]Songs!$L:$L,L191)&gt;0),"YES","")</f>
        <v/>
      </c>
      <c r="W191" t="e">
        <f>IF(AND(ISNUMBER(L191),COUNTIF([2]Songs!$J:$J,L191)&gt;0),"YES","")</f>
        <v>#VALUE!</v>
      </c>
      <c r="X191" t="e">
        <f>IF(AND(ISNUMBER(L191),COUNTIF([3]CcliCombined!$D:$D,L191)&gt;0),"YES","")</f>
        <v>#VALUE!</v>
      </c>
      <c r="Y191" t="e">
        <f>IF(AND(ISNUMBER(L191),COUNTIF([4]Songs!$H:$H,L191)&gt;0),"YES","")</f>
        <v>#VALUE!</v>
      </c>
      <c r="Z191" t="s">
        <v>630</v>
      </c>
      <c r="AB191">
        <v>190</v>
      </c>
      <c r="AD191" t="str">
        <f t="shared" si="5"/>
        <v>Eb  D</v>
      </c>
    </row>
    <row r="192" spans="1:32" x14ac:dyDescent="0.25">
      <c r="A192">
        <f>INDEX(Albums!$A:$A, MATCH(C192,Albums!$C:$C,0))</f>
        <v>1</v>
      </c>
      <c r="B192">
        <f>INDEX(Albums!$B:$B, MATCH(C192,Albums!$C:$C,0))</f>
        <v>2020</v>
      </c>
      <c r="C192" t="s">
        <v>10</v>
      </c>
      <c r="D192">
        <v>10</v>
      </c>
      <c r="E192" t="s">
        <v>310</v>
      </c>
      <c r="F192" t="s">
        <v>23</v>
      </c>
      <c r="G192" s="28" t="s">
        <v>1049</v>
      </c>
      <c r="I192" t="s">
        <v>25</v>
      </c>
      <c r="J192">
        <v>86</v>
      </c>
      <c r="K192" s="11" t="s">
        <v>371</v>
      </c>
      <c r="L192" s="10">
        <v>7142008</v>
      </c>
      <c r="M192" s="4">
        <v>2019</v>
      </c>
      <c r="N192" t="s">
        <v>788</v>
      </c>
      <c r="O192" t="s">
        <v>1199</v>
      </c>
      <c r="P192" s="23" t="s">
        <v>311</v>
      </c>
      <c r="Q192">
        <v>86</v>
      </c>
      <c r="R192" t="s">
        <v>28</v>
      </c>
      <c r="S192" t="s">
        <v>52</v>
      </c>
      <c r="U192" t="s">
        <v>478</v>
      </c>
      <c r="V192" t="str">
        <f>IF(AND(ISNUMBER(L192),COUNTIF([1]Songs!$L:$L,L192)&gt;0),"YES","")</f>
        <v/>
      </c>
      <c r="W192" t="e">
        <f>IF(AND(ISNUMBER(L192),COUNTIF([2]Songs!$J:$J,L192)&gt;0),"YES","")</f>
        <v>#VALUE!</v>
      </c>
      <c r="X192" t="e">
        <f>IF(AND(ISNUMBER(L192),COUNTIF([3]CcliCombined!$D:$D,L192)&gt;0),"YES","")</f>
        <v>#VALUE!</v>
      </c>
      <c r="Y192" t="e">
        <f>IF(AND(ISNUMBER(L192),COUNTIF([4]Songs!$H:$H,L192)&gt;0),"YES","")</f>
        <v>#VALUE!</v>
      </c>
      <c r="Z192" t="s">
        <v>630</v>
      </c>
      <c r="AB192">
        <v>191</v>
      </c>
      <c r="AD192" t="str">
        <f t="shared" si="5"/>
        <v>G  Bb A</v>
      </c>
    </row>
    <row r="193" spans="1:32" x14ac:dyDescent="0.25">
      <c r="A193">
        <f>INDEX(Albums!$A:$A, MATCH(C193,Albums!$C:$C,0))</f>
        <v>1</v>
      </c>
      <c r="B193">
        <f>INDEX(Albums!$B:$B, MATCH(C193,Albums!$C:$C,0))</f>
        <v>2020</v>
      </c>
      <c r="C193" t="s">
        <v>11</v>
      </c>
      <c r="D193">
        <v>1</v>
      </c>
      <c r="E193" t="s">
        <v>312</v>
      </c>
      <c r="F193" t="s">
        <v>23</v>
      </c>
      <c r="G193" s="28" t="s">
        <v>1050</v>
      </c>
      <c r="I193" t="s">
        <v>47</v>
      </c>
      <c r="J193">
        <v>75</v>
      </c>
      <c r="K193" s="11" t="s">
        <v>371</v>
      </c>
      <c r="L193" s="10">
        <v>7122996</v>
      </c>
      <c r="M193" s="4">
        <v>2019</v>
      </c>
      <c r="N193" t="s">
        <v>447</v>
      </c>
      <c r="O193" t="s">
        <v>1199</v>
      </c>
      <c r="P193" s="23" t="s">
        <v>311</v>
      </c>
      <c r="Q193">
        <v>75</v>
      </c>
      <c r="R193" t="s">
        <v>47</v>
      </c>
      <c r="S193" t="s">
        <v>47</v>
      </c>
      <c r="U193" t="s">
        <v>478</v>
      </c>
      <c r="V193" t="str">
        <f>IF(AND(ISNUMBER(L193),COUNTIF([1]Songs!$L:$L,L193)&gt;0),"YES","")</f>
        <v/>
      </c>
      <c r="W193" t="e">
        <f>IF(AND(ISNUMBER(L193),COUNTIF([2]Songs!$J:$J,L193)&gt;0),"YES","")</f>
        <v>#VALUE!</v>
      </c>
      <c r="X193" t="e">
        <f>IF(AND(ISNUMBER(L193),COUNTIF([3]CcliCombined!$D:$D,L193)&gt;0),"YES","")</f>
        <v>#VALUE!</v>
      </c>
      <c r="Y193" t="e">
        <f>IF(AND(ISNUMBER(L193),COUNTIF([4]Songs!$H:$H,L193)&gt;0),"YES","")</f>
        <v>#VALUE!</v>
      </c>
      <c r="Z193" t="s">
        <v>630</v>
      </c>
      <c r="AB193">
        <v>192</v>
      </c>
      <c r="AD193" t="str">
        <f t="shared" si="5"/>
        <v xml:space="preserve">C </v>
      </c>
    </row>
    <row r="194" spans="1:32" x14ac:dyDescent="0.25">
      <c r="A194">
        <f>INDEX(Albums!$A:$A, MATCH(C194,Albums!$C:$C,0))</f>
        <v>1</v>
      </c>
      <c r="B194">
        <f>INDEX(Albums!$B:$B, MATCH(C194,Albums!$C:$C,0))</f>
        <v>2020</v>
      </c>
      <c r="C194" t="s">
        <v>11</v>
      </c>
      <c r="D194">
        <v>2</v>
      </c>
      <c r="E194" t="s">
        <v>313</v>
      </c>
      <c r="F194" t="s">
        <v>23</v>
      </c>
      <c r="G194" s="28" t="s">
        <v>1051</v>
      </c>
      <c r="I194" t="s">
        <v>39</v>
      </c>
      <c r="J194">
        <v>70</v>
      </c>
      <c r="K194" s="11" t="s">
        <v>371</v>
      </c>
      <c r="L194" s="10">
        <v>7102399</v>
      </c>
      <c r="M194" s="4">
        <v>2017</v>
      </c>
      <c r="N194" t="s">
        <v>372</v>
      </c>
      <c r="O194" t="s">
        <v>1199</v>
      </c>
      <c r="P194" s="23" t="s">
        <v>24</v>
      </c>
      <c r="Q194">
        <v>70</v>
      </c>
      <c r="R194" t="s">
        <v>39</v>
      </c>
      <c r="S194" t="s">
        <v>39</v>
      </c>
      <c r="U194" t="s">
        <v>478</v>
      </c>
      <c r="V194" t="str">
        <f>IF(AND(ISNUMBER(L194),COUNTIF([1]Songs!$L:$L,L194)&gt;0),"YES","")</f>
        <v/>
      </c>
      <c r="W194" t="e">
        <f>IF(AND(ISNUMBER(L194),COUNTIF([2]Songs!$J:$J,L194)&gt;0),"YES","")</f>
        <v>#VALUE!</v>
      </c>
      <c r="X194" t="e">
        <f>IF(AND(ISNUMBER(L194),COUNTIF([3]CcliCombined!$D:$D,L194)&gt;0),"YES","")</f>
        <v>#VALUE!</v>
      </c>
      <c r="Y194" t="e">
        <f>IF(AND(ISNUMBER(L194),COUNTIF([4]Songs!$H:$H,L194)&gt;0),"YES","")</f>
        <v>#VALUE!</v>
      </c>
      <c r="Z194" t="s">
        <v>630</v>
      </c>
      <c r="AB194">
        <v>193</v>
      </c>
      <c r="AD194" t="str">
        <f t="shared" si="5"/>
        <v xml:space="preserve">D </v>
      </c>
    </row>
    <row r="195" spans="1:32" x14ac:dyDescent="0.25">
      <c r="A195">
        <f>INDEX(Albums!$A:$A, MATCH(C195,Albums!$C:$C,0))</f>
        <v>1</v>
      </c>
      <c r="B195">
        <f>INDEX(Albums!$B:$B, MATCH(C195,Albums!$C:$C,0))</f>
        <v>2020</v>
      </c>
      <c r="C195" t="s">
        <v>11</v>
      </c>
      <c r="D195">
        <v>3</v>
      </c>
      <c r="E195" t="s">
        <v>314</v>
      </c>
      <c r="F195" t="s">
        <v>23</v>
      </c>
      <c r="G195" s="28" t="s">
        <v>1052</v>
      </c>
      <c r="I195" t="s">
        <v>176</v>
      </c>
      <c r="J195">
        <v>91</v>
      </c>
      <c r="K195" s="11" t="s">
        <v>371</v>
      </c>
      <c r="L195" s="10">
        <v>7127096</v>
      </c>
      <c r="M195" s="4">
        <v>2019</v>
      </c>
      <c r="N195" t="s">
        <v>788</v>
      </c>
      <c r="O195" t="s">
        <v>1199</v>
      </c>
      <c r="P195" s="23" t="s">
        <v>315</v>
      </c>
      <c r="Q195">
        <v>91</v>
      </c>
      <c r="R195" t="s">
        <v>47</v>
      </c>
      <c r="S195" t="s">
        <v>47</v>
      </c>
      <c r="U195" t="s">
        <v>478</v>
      </c>
      <c r="V195" t="str">
        <f>IF(AND(ISNUMBER(L195),COUNTIF([1]Songs!$L:$L,L195)&gt;0),"YES","")</f>
        <v/>
      </c>
      <c r="W195" t="e">
        <f>IF(AND(ISNUMBER(L195),COUNTIF([2]Songs!$J:$J,L195)&gt;0),"YES","")</f>
        <v>#VALUE!</v>
      </c>
      <c r="X195" t="e">
        <f>IF(AND(ISNUMBER(L195),COUNTIF([3]CcliCombined!$D:$D,L195)&gt;0),"YES","")</f>
        <v>#VALUE!</v>
      </c>
      <c r="Y195" t="e">
        <f>IF(AND(ISNUMBER(L195),COUNTIF([4]Songs!$H:$H,L195)&gt;0),"YES","")</f>
        <v>#VALUE!</v>
      </c>
      <c r="Z195" t="s">
        <v>630</v>
      </c>
      <c r="AB195">
        <v>194</v>
      </c>
      <c r="AD195" t="str">
        <f t="shared" si="5"/>
        <v>F  C</v>
      </c>
    </row>
    <row r="196" spans="1:32" x14ac:dyDescent="0.25">
      <c r="A196">
        <f>INDEX(Albums!$A:$A, MATCH(C196,Albums!$C:$C,0))</f>
        <v>1</v>
      </c>
      <c r="B196">
        <f>INDEX(Albums!$B:$B, MATCH(C196,Albums!$C:$C,0))</f>
        <v>2020</v>
      </c>
      <c r="C196" t="s">
        <v>11</v>
      </c>
      <c r="D196">
        <v>4</v>
      </c>
      <c r="E196" t="s">
        <v>316</v>
      </c>
      <c r="F196" t="s">
        <v>23</v>
      </c>
      <c r="G196" s="28" t="s">
        <v>1037</v>
      </c>
      <c r="I196" t="s">
        <v>52</v>
      </c>
      <c r="J196">
        <v>98</v>
      </c>
      <c r="K196" s="11" t="s">
        <v>371</v>
      </c>
      <c r="L196" s="10">
        <v>7110696</v>
      </c>
      <c r="M196" s="4">
        <v>2018</v>
      </c>
      <c r="N196" t="s">
        <v>1038</v>
      </c>
      <c r="O196" t="s">
        <v>1199</v>
      </c>
      <c r="P196" s="23" t="s">
        <v>317</v>
      </c>
      <c r="Q196">
        <v>98</v>
      </c>
      <c r="R196" t="s">
        <v>47</v>
      </c>
      <c r="S196" t="s">
        <v>47</v>
      </c>
      <c r="U196" t="s">
        <v>478</v>
      </c>
      <c r="V196" t="str">
        <f>IF(AND(ISNUMBER(L196),COUNTIF([1]Songs!$L:$L,L196)&gt;0),"YES","")</f>
        <v/>
      </c>
      <c r="W196" t="e">
        <f>IF(AND(ISNUMBER(L196),COUNTIF([2]Songs!$J:$J,L196)&gt;0),"YES","")</f>
        <v>#VALUE!</v>
      </c>
      <c r="X196" t="e">
        <f>IF(AND(ISNUMBER(L196),COUNTIF([3]CcliCombined!$D:$D,L196)&gt;0),"YES","")</f>
        <v>#VALUE!</v>
      </c>
      <c r="Y196" t="e">
        <f>IF(AND(ISNUMBER(L196),COUNTIF([4]Songs!$H:$H,L196)&gt;0),"YES","")</f>
        <v>#VALUE!</v>
      </c>
      <c r="Z196" t="s">
        <v>630</v>
      </c>
      <c r="AB196">
        <v>195</v>
      </c>
      <c r="AD196" t="str">
        <f t="shared" si="5"/>
        <v>A  C</v>
      </c>
    </row>
    <row r="197" spans="1:32" x14ac:dyDescent="0.25">
      <c r="A197">
        <f>INDEX(Albums!$A:$A, MATCH(C197,Albums!$C:$C,0))</f>
        <v>1</v>
      </c>
      <c r="B197">
        <f>INDEX(Albums!$B:$B, MATCH(C197,Albums!$C:$C,0))</f>
        <v>2020</v>
      </c>
      <c r="C197" t="s">
        <v>11</v>
      </c>
      <c r="D197">
        <v>5</v>
      </c>
      <c r="E197" t="s">
        <v>318</v>
      </c>
      <c r="F197" t="s">
        <v>23</v>
      </c>
      <c r="G197" s="28" t="s">
        <v>1053</v>
      </c>
      <c r="I197" t="s">
        <v>28</v>
      </c>
      <c r="J197">
        <v>65</v>
      </c>
      <c r="K197" s="11" t="s">
        <v>380</v>
      </c>
      <c r="L197" s="10">
        <v>6517269</v>
      </c>
      <c r="M197" s="4">
        <v>2013</v>
      </c>
      <c r="N197" t="s">
        <v>443</v>
      </c>
      <c r="O197" t="s">
        <v>1199</v>
      </c>
      <c r="P197" s="23" t="s">
        <v>311</v>
      </c>
      <c r="Q197">
        <v>65</v>
      </c>
      <c r="R197" t="s">
        <v>25</v>
      </c>
      <c r="S197" t="s">
        <v>25</v>
      </c>
      <c r="U197" t="s">
        <v>478</v>
      </c>
      <c r="V197" t="str">
        <f>IF(AND(ISNUMBER(L197),COUNTIF([1]Songs!$L:$L,L197)&gt;0),"YES","")</f>
        <v/>
      </c>
      <c r="W197" t="e">
        <f>IF(AND(ISNUMBER(L197),COUNTIF([2]Songs!$J:$J,L197)&gt;0),"YES","")</f>
        <v>#VALUE!</v>
      </c>
      <c r="X197" t="e">
        <f>IF(AND(ISNUMBER(L197),COUNTIF([3]CcliCombined!$D:$D,L197)&gt;0),"YES","")</f>
        <v>#VALUE!</v>
      </c>
      <c r="Y197" t="e">
        <f>IF(AND(ISNUMBER(L197),COUNTIF([4]Songs!$H:$H,L197)&gt;0),"YES","")</f>
        <v>#VALUE!</v>
      </c>
      <c r="Z197" t="s">
        <v>630</v>
      </c>
      <c r="AB197">
        <v>196</v>
      </c>
      <c r="AD197" t="str">
        <f t="shared" si="5"/>
        <v>Bb  G</v>
      </c>
    </row>
    <row r="198" spans="1:32" x14ac:dyDescent="0.25">
      <c r="A198">
        <f>INDEX(Albums!$A:$A, MATCH(C198,Albums!$C:$C,0))</f>
        <v>1</v>
      </c>
      <c r="B198">
        <f>INDEX(Albums!$B:$B, MATCH(C198,Albums!$C:$C,0))</f>
        <v>2020</v>
      </c>
      <c r="C198" t="s">
        <v>11</v>
      </c>
      <c r="D198">
        <v>6</v>
      </c>
      <c r="E198" t="s">
        <v>319</v>
      </c>
      <c r="F198" t="s">
        <v>23</v>
      </c>
      <c r="G198" s="28" t="s">
        <v>1054</v>
      </c>
      <c r="I198" t="s">
        <v>176</v>
      </c>
      <c r="J198">
        <v>76</v>
      </c>
      <c r="K198" s="11" t="s">
        <v>380</v>
      </c>
      <c r="L198" s="10">
        <v>7147502</v>
      </c>
      <c r="M198" s="4">
        <v>2020</v>
      </c>
      <c r="N198" t="s">
        <v>1008</v>
      </c>
      <c r="O198" t="s">
        <v>1199</v>
      </c>
      <c r="P198" s="23" t="s">
        <v>320</v>
      </c>
      <c r="Q198">
        <v>71</v>
      </c>
      <c r="R198" t="s">
        <v>67</v>
      </c>
      <c r="S198" t="s">
        <v>25</v>
      </c>
      <c r="U198" t="s">
        <v>478</v>
      </c>
      <c r="V198" t="str">
        <f>IF(AND(ISNUMBER(L198),COUNTIF([1]Songs!$L:$L,L198)&gt;0),"YES","")</f>
        <v/>
      </c>
      <c r="W198" t="e">
        <f>IF(AND(ISNUMBER(L198),COUNTIF([2]Songs!$J:$J,L198)&gt;0),"YES","")</f>
        <v>#VALUE!</v>
      </c>
      <c r="X198" t="e">
        <f>IF(AND(ISNUMBER(L198),COUNTIF([3]CcliCombined!$D:$D,L198)&gt;0),"YES","")</f>
        <v>#VALUE!</v>
      </c>
      <c r="Y198" t="e">
        <f>IF(AND(ISNUMBER(L198),COUNTIF([4]Songs!$H:$H,L198)&gt;0),"YES","")</f>
        <v>#VALUE!</v>
      </c>
      <c r="Z198" t="s">
        <v>630</v>
      </c>
      <c r="AB198">
        <v>197</v>
      </c>
      <c r="AD198" t="str">
        <f t="shared" si="5"/>
        <v>F  Ab G</v>
      </c>
    </row>
    <row r="199" spans="1:32" x14ac:dyDescent="0.25">
      <c r="A199">
        <f>INDEX(Albums!$A:$A, MATCH(C199,Albums!$C:$C,0))</f>
        <v>1</v>
      </c>
      <c r="B199">
        <f>INDEX(Albums!$B:$B, MATCH(C199,Albums!$C:$C,0))</f>
        <v>2020</v>
      </c>
      <c r="C199" t="s">
        <v>11</v>
      </c>
      <c r="D199">
        <v>7</v>
      </c>
      <c r="E199" t="s">
        <v>321</v>
      </c>
      <c r="F199" t="s">
        <v>23</v>
      </c>
      <c r="G199" s="28" t="s">
        <v>1055</v>
      </c>
      <c r="I199" t="s">
        <v>47</v>
      </c>
      <c r="J199">
        <v>74</v>
      </c>
      <c r="K199" s="11" t="s">
        <v>371</v>
      </c>
      <c r="L199" s="10">
        <v>7054548</v>
      </c>
      <c r="M199" s="4">
        <v>2016</v>
      </c>
      <c r="N199" t="s">
        <v>385</v>
      </c>
      <c r="O199" t="s">
        <v>1199</v>
      </c>
      <c r="P199" s="23" t="s">
        <v>96</v>
      </c>
      <c r="Q199">
        <v>74</v>
      </c>
      <c r="R199" t="s">
        <v>31</v>
      </c>
      <c r="S199" t="s">
        <v>31</v>
      </c>
      <c r="U199" t="s">
        <v>478</v>
      </c>
      <c r="V199" t="str">
        <f>IF(AND(ISNUMBER(L199),COUNTIF([1]Songs!$L:$L,L199)&gt;0),"YES","")</f>
        <v/>
      </c>
      <c r="W199" t="e">
        <f>IF(AND(ISNUMBER(L199),COUNTIF([2]Songs!$J:$J,L199)&gt;0),"YES","")</f>
        <v>#VALUE!</v>
      </c>
      <c r="X199" t="e">
        <f>IF(AND(ISNUMBER(L199),COUNTIF([3]CcliCombined!$D:$D,L199)&gt;0),"YES","")</f>
        <v>#VALUE!</v>
      </c>
      <c r="Y199" t="e">
        <f>IF(AND(ISNUMBER(L199),COUNTIF([4]Songs!$H:$H,L199)&gt;0),"YES","")</f>
        <v>#VALUE!</v>
      </c>
      <c r="Z199" t="s">
        <v>630</v>
      </c>
      <c r="AB199">
        <v>198</v>
      </c>
      <c r="AD199" t="str">
        <f t="shared" si="5"/>
        <v>C  B</v>
      </c>
    </row>
    <row r="200" spans="1:32" x14ac:dyDescent="0.25">
      <c r="A200">
        <f>INDEX(Albums!$A:$A, MATCH(C200,Albums!$C:$C,0))</f>
        <v>1</v>
      </c>
      <c r="B200">
        <f>INDEX(Albums!$B:$B, MATCH(C200,Albums!$C:$C,0))</f>
        <v>2020</v>
      </c>
      <c r="C200" t="s">
        <v>11</v>
      </c>
      <c r="D200">
        <v>8</v>
      </c>
      <c r="E200" t="s">
        <v>231</v>
      </c>
      <c r="F200" t="s">
        <v>322</v>
      </c>
      <c r="G200" s="28" t="s">
        <v>472</v>
      </c>
      <c r="H200" s="3" t="s">
        <v>31</v>
      </c>
      <c r="I200" s="3" t="s">
        <v>31</v>
      </c>
      <c r="J200" s="4">
        <v>120</v>
      </c>
      <c r="K200" s="5" t="s">
        <v>371</v>
      </c>
      <c r="L200" s="10">
        <v>5638022</v>
      </c>
      <c r="M200" s="4">
        <v>2009</v>
      </c>
      <c r="N200" s="6" t="s">
        <v>473</v>
      </c>
      <c r="O200" t="s">
        <v>1199</v>
      </c>
      <c r="P200" s="23" t="s">
        <v>323</v>
      </c>
      <c r="Q200">
        <v>74</v>
      </c>
      <c r="R200" t="s">
        <v>47</v>
      </c>
      <c r="S200" t="s">
        <v>47</v>
      </c>
      <c r="U200" t="s">
        <v>478</v>
      </c>
      <c r="V200" t="str">
        <f>IF(AND(ISNUMBER(L200),COUNTIF([1]Songs!$L:$L,L200)&gt;0),"YES","")</f>
        <v>YES</v>
      </c>
      <c r="W200" t="e">
        <f>IF(AND(ISNUMBER(L200),COUNTIF([2]Songs!$J:$J,L200)&gt;0),"YES","")</f>
        <v>#VALUE!</v>
      </c>
      <c r="X200" t="e">
        <f>IF(AND(ISNUMBER(L200),COUNTIF([3]CcliCombined!$D:$D,L200)&gt;0),"YES","")</f>
        <v>#VALUE!</v>
      </c>
      <c r="Y200" t="e">
        <f>IF(AND(ISNUMBER(L200),COUNTIF([4]Songs!$H:$H,L200)&gt;0),"YES","")</f>
        <v>#VALUE!</v>
      </c>
      <c r="Z200" t="s">
        <v>630</v>
      </c>
      <c r="AB200">
        <v>199</v>
      </c>
      <c r="AD200" t="str">
        <f t="shared" si="5"/>
        <v>B C</v>
      </c>
    </row>
    <row r="201" spans="1:32" x14ac:dyDescent="0.25">
      <c r="A201">
        <f>INDEX(Albums!$A:$A, MATCH(C201,Albums!$C:$C,0))</f>
        <v>1</v>
      </c>
      <c r="B201">
        <f>INDEX(Albums!$B:$B, MATCH(C201,Albums!$C:$C,0))</f>
        <v>2020</v>
      </c>
      <c r="C201" t="s">
        <v>11</v>
      </c>
      <c r="D201">
        <v>9</v>
      </c>
      <c r="E201" t="s">
        <v>324</v>
      </c>
      <c r="F201" t="s">
        <v>23</v>
      </c>
      <c r="G201" s="28" t="s">
        <v>1056</v>
      </c>
      <c r="I201" t="s">
        <v>52</v>
      </c>
      <c r="J201">
        <v>80</v>
      </c>
      <c r="K201" s="11" t="s">
        <v>371</v>
      </c>
      <c r="L201" s="10">
        <v>7067561</v>
      </c>
      <c r="M201" s="4">
        <v>2017</v>
      </c>
      <c r="N201" t="s">
        <v>432</v>
      </c>
      <c r="O201" t="s">
        <v>1199</v>
      </c>
      <c r="P201" s="23" t="s">
        <v>190</v>
      </c>
      <c r="Q201">
        <v>80</v>
      </c>
      <c r="R201" t="s">
        <v>47</v>
      </c>
      <c r="S201" t="s">
        <v>47</v>
      </c>
      <c r="U201" t="s">
        <v>478</v>
      </c>
      <c r="V201" t="str">
        <f>IF(AND(ISNUMBER(L201),COUNTIF([1]Songs!$L:$L,L201)&gt;0),"YES","")</f>
        <v/>
      </c>
      <c r="W201" t="e">
        <f>IF(AND(ISNUMBER(L201),COUNTIF([2]Songs!$J:$J,L201)&gt;0),"YES","")</f>
        <v>#VALUE!</v>
      </c>
      <c r="X201" t="e">
        <f>IF(AND(ISNUMBER(L201),COUNTIF([3]CcliCombined!$D:$D,L201)&gt;0),"YES","")</f>
        <v>#VALUE!</v>
      </c>
      <c r="Y201" t="e">
        <f>IF(AND(ISNUMBER(L201),COUNTIF([4]Songs!$H:$H,L201)&gt;0),"YES","")</f>
        <v>#VALUE!</v>
      </c>
      <c r="Z201" t="s">
        <v>630</v>
      </c>
      <c r="AB201">
        <v>200</v>
      </c>
      <c r="AD201" t="str">
        <f t="shared" si="5"/>
        <v>A  C</v>
      </c>
    </row>
    <row r="202" spans="1:32" x14ac:dyDescent="0.25">
      <c r="A202">
        <f>INDEX(Albums!$A:$A, MATCH(C202,Albums!$C:$C,0))</f>
        <v>1</v>
      </c>
      <c r="B202">
        <f>INDEX(Albums!$B:$B, MATCH(C202,Albums!$C:$C,0))</f>
        <v>2020</v>
      </c>
      <c r="C202" t="s">
        <v>11</v>
      </c>
      <c r="D202">
        <v>10</v>
      </c>
      <c r="E202" t="s">
        <v>155</v>
      </c>
      <c r="F202" t="s">
        <v>23</v>
      </c>
      <c r="G202" s="28" t="s">
        <v>1057</v>
      </c>
      <c r="I202" t="s">
        <v>31</v>
      </c>
      <c r="J202">
        <v>70</v>
      </c>
      <c r="K202" s="11" t="s">
        <v>371</v>
      </c>
      <c r="L202" s="10">
        <v>7107548</v>
      </c>
      <c r="M202" s="4">
        <v>2017</v>
      </c>
      <c r="N202" t="s">
        <v>436</v>
      </c>
      <c r="O202" t="s">
        <v>1199</v>
      </c>
      <c r="P202" s="23" t="s">
        <v>27</v>
      </c>
      <c r="Q202">
        <v>70</v>
      </c>
      <c r="R202" t="s">
        <v>31</v>
      </c>
      <c r="S202" t="s">
        <v>31</v>
      </c>
      <c r="U202" t="s">
        <v>478</v>
      </c>
      <c r="V202" t="str">
        <f>IF(AND(ISNUMBER(L202),COUNTIF([1]Songs!$L:$L,L202)&gt;0),"YES","")</f>
        <v/>
      </c>
      <c r="W202" t="e">
        <f>IF(AND(ISNUMBER(L202),COUNTIF([2]Songs!$J:$J,L202)&gt;0),"YES","")</f>
        <v>#VALUE!</v>
      </c>
      <c r="X202" t="e">
        <f>IF(AND(ISNUMBER(L202),COUNTIF([3]CcliCombined!$D:$D,L202)&gt;0),"YES","")</f>
        <v>#VALUE!</v>
      </c>
      <c r="Y202" t="e">
        <f>IF(AND(ISNUMBER(L202),COUNTIF([4]Songs!$H:$H,L202)&gt;0),"YES","")</f>
        <v>#VALUE!</v>
      </c>
      <c r="Z202" t="s">
        <v>630</v>
      </c>
      <c r="AB202">
        <v>201</v>
      </c>
      <c r="AD202" t="str">
        <f t="shared" si="5"/>
        <v xml:space="preserve">B </v>
      </c>
    </row>
    <row r="203" spans="1:32" hidden="1" x14ac:dyDescent="0.25">
      <c r="A203">
        <f>INDEX(Albums!$A:$A, MATCH(C203,Albums!$C:$C,0))</f>
        <v>1</v>
      </c>
      <c r="B203">
        <f>INDEX(Albums!$B:$B, MATCH(C203,Albums!$C:$C,0))</f>
        <v>2020</v>
      </c>
      <c r="C203" t="s">
        <v>12</v>
      </c>
      <c r="D203">
        <v>1</v>
      </c>
      <c r="E203" t="s">
        <v>325</v>
      </c>
      <c r="F203" t="s">
        <v>23</v>
      </c>
      <c r="L203" s="10" t="s">
        <v>327</v>
      </c>
      <c r="P203" s="23" t="s">
        <v>326</v>
      </c>
      <c r="Q203">
        <v>76</v>
      </c>
      <c r="R203" t="s">
        <v>47</v>
      </c>
      <c r="S203" t="s">
        <v>47</v>
      </c>
      <c r="U203" t="s">
        <v>478</v>
      </c>
      <c r="V203" t="str">
        <f>IF(AND(ISNUMBER(L203),COUNTIF([1]Songs!$L:$L,L203)&gt;0),"YES","")</f>
        <v/>
      </c>
      <c r="W203" t="e">
        <f>IF(AND(ISNUMBER(L203),COUNTIF([2]Songs!$J:$J,L203)&gt;0),"YES","")</f>
        <v>#VALUE!</v>
      </c>
      <c r="X203" t="e">
        <f>IF(AND(ISNUMBER(L203),COUNTIF([3]CcliCombined!$D:$D,L203)&gt;0),"YES","")</f>
        <v>#VALUE!</v>
      </c>
      <c r="Y203" t="e">
        <f>IF(AND(ISNUMBER(L203),COUNTIF([4]Songs!$H:$H,L203)&gt;0),"YES","")</f>
        <v>#VALUE!</v>
      </c>
      <c r="Z203" t="s">
        <v>630</v>
      </c>
      <c r="AB203">
        <v>202</v>
      </c>
      <c r="AD203" t="str">
        <f t="shared" si="5"/>
        <v xml:space="preserve"> C</v>
      </c>
      <c r="AF203" t="s">
        <v>1197</v>
      </c>
    </row>
    <row r="204" spans="1:32" x14ac:dyDescent="0.25">
      <c r="A204">
        <f>INDEX(Albums!$A:$A, MATCH(C204,Albums!$C:$C,0))</f>
        <v>1</v>
      </c>
      <c r="B204">
        <f>INDEX(Albums!$B:$B, MATCH(C204,Albums!$C:$C,0))</f>
        <v>2020</v>
      </c>
      <c r="C204" t="s">
        <v>12</v>
      </c>
      <c r="D204">
        <v>2</v>
      </c>
      <c r="E204" t="s">
        <v>328</v>
      </c>
      <c r="F204" t="s">
        <v>23</v>
      </c>
      <c r="G204" s="28" t="s">
        <v>1058</v>
      </c>
      <c r="I204" t="s">
        <v>28</v>
      </c>
      <c r="J204">
        <v>73</v>
      </c>
      <c r="K204" s="11" t="s">
        <v>371</v>
      </c>
      <c r="L204" s="10">
        <v>7059306</v>
      </c>
      <c r="M204" s="4">
        <v>2016</v>
      </c>
      <c r="N204" t="s">
        <v>374</v>
      </c>
      <c r="O204" t="s">
        <v>1199</v>
      </c>
      <c r="P204" s="23" t="s">
        <v>27</v>
      </c>
      <c r="Q204">
        <v>73.5</v>
      </c>
      <c r="R204" t="s">
        <v>47</v>
      </c>
      <c r="S204" t="s">
        <v>47</v>
      </c>
      <c r="U204" t="s">
        <v>478</v>
      </c>
      <c r="V204" t="str">
        <f>IF(AND(ISNUMBER(L204),COUNTIF([1]Songs!$L:$L,L204)&gt;0),"YES","")</f>
        <v/>
      </c>
      <c r="W204" t="e">
        <f>IF(AND(ISNUMBER(L204),COUNTIF([2]Songs!$J:$J,L204)&gt;0),"YES","")</f>
        <v>#VALUE!</v>
      </c>
      <c r="X204" t="e">
        <f>IF(AND(ISNUMBER(L204),COUNTIF([3]CcliCombined!$D:$D,L204)&gt;0),"YES","")</f>
        <v>#VALUE!</v>
      </c>
      <c r="Y204" t="e">
        <f>IF(AND(ISNUMBER(L204),COUNTIF([4]Songs!$H:$H,L204)&gt;0),"YES","")</f>
        <v>#VALUE!</v>
      </c>
      <c r="Z204" t="s">
        <v>630</v>
      </c>
      <c r="AB204">
        <v>203</v>
      </c>
      <c r="AD204" t="str">
        <f t="shared" si="5"/>
        <v>Bb  C</v>
      </c>
    </row>
    <row r="205" spans="1:32" x14ac:dyDescent="0.25">
      <c r="A205">
        <f>INDEX(Albums!$A:$A, MATCH(C205,Albums!$C:$C,0))</f>
        <v>1</v>
      </c>
      <c r="B205">
        <f>INDEX(Albums!$B:$B, MATCH(C205,Albums!$C:$C,0))</f>
        <v>2020</v>
      </c>
      <c r="C205" t="s">
        <v>12</v>
      </c>
      <c r="D205">
        <v>3</v>
      </c>
      <c r="E205" t="s">
        <v>329</v>
      </c>
      <c r="F205" t="s">
        <v>23</v>
      </c>
      <c r="G205" s="28" t="s">
        <v>1059</v>
      </c>
      <c r="I205" t="s">
        <v>78</v>
      </c>
      <c r="J205">
        <v>46</v>
      </c>
      <c r="K205" s="11" t="s">
        <v>425</v>
      </c>
      <c r="L205" s="10">
        <v>7138219</v>
      </c>
      <c r="M205" s="4">
        <v>2019</v>
      </c>
      <c r="N205" t="s">
        <v>432</v>
      </c>
      <c r="O205" t="s">
        <v>1199</v>
      </c>
      <c r="P205" s="23" t="s">
        <v>190</v>
      </c>
      <c r="Q205">
        <v>70</v>
      </c>
      <c r="R205" t="s">
        <v>31</v>
      </c>
      <c r="S205" t="s">
        <v>31</v>
      </c>
      <c r="U205" t="s">
        <v>478</v>
      </c>
      <c r="V205" t="str">
        <f>IF(AND(ISNUMBER(L205),COUNTIF([1]Songs!$L:$L,L205)&gt;0),"YES","")</f>
        <v/>
      </c>
      <c r="W205" t="e">
        <f>IF(AND(ISNUMBER(L205),COUNTIF([2]Songs!$J:$J,L205)&gt;0),"YES","")</f>
        <v>#VALUE!</v>
      </c>
      <c r="X205" t="e">
        <f>IF(AND(ISNUMBER(L205),COUNTIF([3]CcliCombined!$D:$D,L205)&gt;0),"YES","")</f>
        <v>#VALUE!</v>
      </c>
      <c r="Y205" t="e">
        <f>IF(AND(ISNUMBER(L205),COUNTIF([4]Songs!$H:$H,L205)&gt;0),"YES","")</f>
        <v>#VALUE!</v>
      </c>
      <c r="Z205" t="s">
        <v>630</v>
      </c>
      <c r="AB205">
        <v>204</v>
      </c>
      <c r="AD205" t="str">
        <f t="shared" si="5"/>
        <v>Eb  B</v>
      </c>
    </row>
    <row r="206" spans="1:32" x14ac:dyDescent="0.25">
      <c r="A206">
        <f>INDEX(Albums!$A:$A, MATCH(C206,Albums!$C:$C,0))</f>
        <v>1</v>
      </c>
      <c r="B206">
        <f>INDEX(Albums!$B:$B, MATCH(C206,Albums!$C:$C,0))</f>
        <v>2020</v>
      </c>
      <c r="C206" t="s">
        <v>12</v>
      </c>
      <c r="D206">
        <v>4</v>
      </c>
      <c r="E206" t="s">
        <v>330</v>
      </c>
      <c r="F206" t="s">
        <v>23</v>
      </c>
      <c r="G206" s="28" t="s">
        <v>852</v>
      </c>
      <c r="H206" s="3" t="s">
        <v>176</v>
      </c>
      <c r="I206" s="3" t="s">
        <v>176</v>
      </c>
      <c r="J206" s="4"/>
      <c r="K206" s="5" t="s">
        <v>371</v>
      </c>
      <c r="L206" s="10">
        <v>27714</v>
      </c>
      <c r="M206" s="4">
        <v>1855</v>
      </c>
      <c r="N206" s="6" t="s">
        <v>401</v>
      </c>
      <c r="O206" t="s">
        <v>1199</v>
      </c>
      <c r="P206" s="23" t="s">
        <v>1</v>
      </c>
      <c r="Q206">
        <v>70</v>
      </c>
      <c r="R206" t="s">
        <v>28</v>
      </c>
      <c r="S206" t="s">
        <v>52</v>
      </c>
      <c r="U206" t="s">
        <v>478</v>
      </c>
      <c r="V206" t="str">
        <f>IF(AND(ISNUMBER(L206),COUNTIF([1]Songs!$L:$L,L206)&gt;0),"YES","")</f>
        <v>YES</v>
      </c>
      <c r="W206" t="e">
        <f>IF(AND(ISNUMBER(L206),COUNTIF([2]Songs!$J:$J,L206)&gt;0),"YES","")</f>
        <v>#VALUE!</v>
      </c>
      <c r="X206" t="e">
        <f>IF(AND(ISNUMBER(L206),COUNTIF([3]CcliCombined!$D:$D,L206)&gt;0),"YES","")</f>
        <v>#VALUE!</v>
      </c>
      <c r="Y206" t="e">
        <f>IF(AND(ISNUMBER(L206),COUNTIF([4]Songs!$H:$H,L206)&gt;0),"YES","")</f>
        <v>#VALUE!</v>
      </c>
      <c r="Z206" t="s">
        <v>630</v>
      </c>
      <c r="AB206">
        <v>205</v>
      </c>
      <c r="AD206" t="str">
        <f t="shared" si="5"/>
        <v>F Bb A</v>
      </c>
    </row>
    <row r="207" spans="1:32" x14ac:dyDescent="0.25">
      <c r="A207">
        <f>INDEX(Albums!$A:$A, MATCH(C207,Albums!$C:$C,0))</f>
        <v>1</v>
      </c>
      <c r="B207">
        <f>INDEX(Albums!$B:$B, MATCH(C207,Albums!$C:$C,0))</f>
        <v>2020</v>
      </c>
      <c r="C207" t="s">
        <v>12</v>
      </c>
      <c r="D207">
        <v>5</v>
      </c>
      <c r="E207" t="s">
        <v>331</v>
      </c>
      <c r="F207" t="s">
        <v>23</v>
      </c>
      <c r="G207" s="28" t="s">
        <v>1060</v>
      </c>
      <c r="I207" t="s">
        <v>31</v>
      </c>
      <c r="J207">
        <v>144</v>
      </c>
      <c r="K207" s="11" t="s">
        <v>744</v>
      </c>
      <c r="L207" s="10">
        <v>3469389</v>
      </c>
      <c r="M207" s="4">
        <v>2002</v>
      </c>
      <c r="N207" t="s">
        <v>1036</v>
      </c>
      <c r="O207" t="s">
        <v>1199</v>
      </c>
      <c r="P207" s="23" t="s">
        <v>332</v>
      </c>
      <c r="Q207">
        <v>70</v>
      </c>
      <c r="R207" t="s">
        <v>47</v>
      </c>
      <c r="S207" t="s">
        <v>47</v>
      </c>
      <c r="U207" t="s">
        <v>478</v>
      </c>
      <c r="V207" t="str">
        <f>IF(AND(ISNUMBER(L207),COUNTIF([1]Songs!$L:$L,L207)&gt;0),"YES","")</f>
        <v/>
      </c>
      <c r="W207" t="e">
        <f>IF(AND(ISNUMBER(L207),COUNTIF([2]Songs!$J:$J,L207)&gt;0),"YES","")</f>
        <v>#VALUE!</v>
      </c>
      <c r="X207" t="e">
        <f>IF(AND(ISNUMBER(L207),COUNTIF([3]CcliCombined!$D:$D,L207)&gt;0),"YES","")</f>
        <v>#VALUE!</v>
      </c>
      <c r="Y207" t="e">
        <f>IF(AND(ISNUMBER(L207),COUNTIF([4]Songs!$H:$H,L207)&gt;0),"YES","")</f>
        <v>#VALUE!</v>
      </c>
      <c r="Z207" t="s">
        <v>630</v>
      </c>
      <c r="AB207">
        <v>206</v>
      </c>
      <c r="AD207" t="str">
        <f t="shared" si="5"/>
        <v>B  C</v>
      </c>
    </row>
    <row r="208" spans="1:32" x14ac:dyDescent="0.25">
      <c r="A208">
        <f>INDEX(Albums!$A:$A, MATCH(C208,Albums!$C:$C,0))</f>
        <v>1</v>
      </c>
      <c r="B208">
        <f>INDEX(Albums!$B:$B, MATCH(C208,Albums!$C:$C,0))</f>
        <v>2020</v>
      </c>
      <c r="C208" t="s">
        <v>12</v>
      </c>
      <c r="D208">
        <v>6</v>
      </c>
      <c r="E208" t="s">
        <v>333</v>
      </c>
      <c r="F208" t="s">
        <v>23</v>
      </c>
      <c r="G208" s="28" t="s">
        <v>1061</v>
      </c>
      <c r="I208" t="s">
        <v>47</v>
      </c>
      <c r="J208">
        <v>72</v>
      </c>
      <c r="K208" s="11" t="s">
        <v>371</v>
      </c>
      <c r="L208" s="10">
        <v>7054172</v>
      </c>
      <c r="M208" s="4">
        <v>2015</v>
      </c>
      <c r="N208" t="s">
        <v>434</v>
      </c>
      <c r="O208" t="s">
        <v>1199</v>
      </c>
      <c r="P208" s="23" t="s">
        <v>334</v>
      </c>
      <c r="Q208">
        <v>72</v>
      </c>
      <c r="R208" t="s">
        <v>31</v>
      </c>
      <c r="S208" t="s">
        <v>31</v>
      </c>
      <c r="U208" t="s">
        <v>478</v>
      </c>
      <c r="V208" t="str">
        <f>IF(AND(ISNUMBER(L208),COUNTIF([1]Songs!$L:$L,L208)&gt;0),"YES","")</f>
        <v/>
      </c>
      <c r="W208" t="e">
        <f>IF(AND(ISNUMBER(L208),COUNTIF([2]Songs!$J:$J,L208)&gt;0),"YES","")</f>
        <v>#VALUE!</v>
      </c>
      <c r="X208" t="e">
        <f>IF(AND(ISNUMBER(L208),COUNTIF([3]CcliCombined!$D:$D,L208)&gt;0),"YES","")</f>
        <v>#VALUE!</v>
      </c>
      <c r="Y208" t="e">
        <f>IF(AND(ISNUMBER(L208),COUNTIF([4]Songs!$H:$H,L208)&gt;0),"YES","")</f>
        <v>#VALUE!</v>
      </c>
      <c r="Z208" t="s">
        <v>630</v>
      </c>
      <c r="AB208">
        <v>207</v>
      </c>
      <c r="AD208" t="str">
        <f t="shared" si="5"/>
        <v>C  B</v>
      </c>
    </row>
    <row r="209" spans="1:32" x14ac:dyDescent="0.25">
      <c r="A209">
        <f>INDEX(Albums!$A:$A, MATCH(C209,Albums!$C:$C,0))</f>
        <v>1</v>
      </c>
      <c r="B209">
        <f>INDEX(Albums!$B:$B, MATCH(C209,Albums!$C:$C,0))</f>
        <v>2020</v>
      </c>
      <c r="C209" t="s">
        <v>12</v>
      </c>
      <c r="D209">
        <v>7</v>
      </c>
      <c r="E209" t="s">
        <v>335</v>
      </c>
      <c r="F209" t="s">
        <v>23</v>
      </c>
      <c r="G209" s="28" t="s">
        <v>1062</v>
      </c>
      <c r="I209" t="s">
        <v>176</v>
      </c>
      <c r="J209">
        <v>74</v>
      </c>
      <c r="K209" s="11" t="s">
        <v>371</v>
      </c>
      <c r="L209" s="10">
        <v>7138939</v>
      </c>
      <c r="M209" s="4">
        <v>2020</v>
      </c>
      <c r="N209" t="s">
        <v>444</v>
      </c>
      <c r="O209" t="s">
        <v>1199</v>
      </c>
      <c r="P209" s="23" t="s">
        <v>43</v>
      </c>
      <c r="Q209">
        <v>74</v>
      </c>
      <c r="R209" t="s">
        <v>31</v>
      </c>
      <c r="S209" t="s">
        <v>31</v>
      </c>
      <c r="U209" t="s">
        <v>478</v>
      </c>
      <c r="V209" t="str">
        <f>IF(AND(ISNUMBER(L209),COUNTIF([1]Songs!$L:$L,L209)&gt;0),"YES","")</f>
        <v/>
      </c>
      <c r="W209" t="e">
        <f>IF(AND(ISNUMBER(L209),COUNTIF([2]Songs!$J:$J,L209)&gt;0),"YES","")</f>
        <v>#VALUE!</v>
      </c>
      <c r="X209" t="e">
        <f>IF(AND(ISNUMBER(L209),COUNTIF([3]CcliCombined!$D:$D,L209)&gt;0),"YES","")</f>
        <v>#VALUE!</v>
      </c>
      <c r="Y209" t="e">
        <f>IF(AND(ISNUMBER(L209),COUNTIF([4]Songs!$H:$H,L209)&gt;0),"YES","")</f>
        <v>#VALUE!</v>
      </c>
      <c r="Z209" t="s">
        <v>630</v>
      </c>
      <c r="AB209">
        <v>208</v>
      </c>
      <c r="AD209" t="str">
        <f t="shared" si="5"/>
        <v>F  B</v>
      </c>
    </row>
    <row r="210" spans="1:32" x14ac:dyDescent="0.25">
      <c r="A210">
        <f>INDEX(Albums!$A:$A, MATCH(C210,Albums!$C:$C,0))</f>
        <v>1</v>
      </c>
      <c r="B210">
        <f>INDEX(Albums!$B:$B, MATCH(C210,Albums!$C:$C,0))</f>
        <v>2020</v>
      </c>
      <c r="C210" t="s">
        <v>12</v>
      </c>
      <c r="D210">
        <v>8</v>
      </c>
      <c r="E210" t="s">
        <v>336</v>
      </c>
      <c r="F210" t="s">
        <v>337</v>
      </c>
      <c r="G210" s="28" t="s">
        <v>849</v>
      </c>
      <c r="H210" s="3" t="s">
        <v>39</v>
      </c>
      <c r="I210" s="3" t="s">
        <v>39</v>
      </c>
      <c r="J210" s="4">
        <v>74</v>
      </c>
      <c r="K210" s="5" t="s">
        <v>371</v>
      </c>
      <c r="L210" s="10">
        <v>23189</v>
      </c>
      <c r="M210" s="4">
        <v>1896</v>
      </c>
      <c r="N210" s="6" t="s">
        <v>401</v>
      </c>
      <c r="O210" t="s">
        <v>1199</v>
      </c>
      <c r="P210" s="23" t="s">
        <v>1</v>
      </c>
      <c r="Q210">
        <v>73.5</v>
      </c>
      <c r="R210" t="s">
        <v>47</v>
      </c>
      <c r="S210" t="s">
        <v>47</v>
      </c>
      <c r="U210" t="s">
        <v>478</v>
      </c>
      <c r="V210" t="str">
        <f>IF(AND(ISNUMBER(L210),COUNTIF([1]Songs!$L:$L,L210)&gt;0),"YES","")</f>
        <v>YES</v>
      </c>
      <c r="W210" t="e">
        <f>IF(AND(ISNUMBER(L210),COUNTIF([2]Songs!$J:$J,L210)&gt;0),"YES","")</f>
        <v>#VALUE!</v>
      </c>
      <c r="X210" t="e">
        <f>IF(AND(ISNUMBER(L210),COUNTIF([3]CcliCombined!$D:$D,L210)&gt;0),"YES","")</f>
        <v>#VALUE!</v>
      </c>
      <c r="Y210" t="e">
        <f>IF(AND(ISNUMBER(L210),COUNTIF([4]Songs!$H:$H,L210)&gt;0),"YES","")</f>
        <v>#VALUE!</v>
      </c>
      <c r="Z210" t="s">
        <v>630</v>
      </c>
      <c r="AB210">
        <v>209</v>
      </c>
      <c r="AD210" t="str">
        <f t="shared" si="5"/>
        <v>D C</v>
      </c>
    </row>
    <row r="211" spans="1:32" x14ac:dyDescent="0.25">
      <c r="A211">
        <f>INDEX(Albums!$A:$A, MATCH(C211,Albums!$C:$C,0))</f>
        <v>1</v>
      </c>
      <c r="B211">
        <f>INDEX(Albums!$B:$B, MATCH(C211,Albums!$C:$C,0))</f>
        <v>2020</v>
      </c>
      <c r="C211" t="s">
        <v>12</v>
      </c>
      <c r="D211">
        <v>9</v>
      </c>
      <c r="E211" t="s">
        <v>338</v>
      </c>
      <c r="F211" t="s">
        <v>23</v>
      </c>
      <c r="G211" s="28" t="s">
        <v>1063</v>
      </c>
      <c r="I211" t="s">
        <v>176</v>
      </c>
      <c r="J211">
        <v>105</v>
      </c>
      <c r="K211" s="11" t="s">
        <v>371</v>
      </c>
      <c r="L211" s="10">
        <v>7141227</v>
      </c>
      <c r="M211" s="4">
        <v>2020</v>
      </c>
      <c r="N211" t="s">
        <v>447</v>
      </c>
      <c r="O211" t="s">
        <v>1199</v>
      </c>
      <c r="P211" s="23" t="s">
        <v>311</v>
      </c>
      <c r="Q211">
        <v>105</v>
      </c>
      <c r="R211" t="s">
        <v>67</v>
      </c>
      <c r="S211" t="s">
        <v>25</v>
      </c>
      <c r="U211" t="s">
        <v>478</v>
      </c>
      <c r="V211" t="str">
        <f>IF(AND(ISNUMBER(L211),COUNTIF([1]Songs!$L:$L,L211)&gt;0),"YES","")</f>
        <v/>
      </c>
      <c r="W211" t="e">
        <f>IF(AND(ISNUMBER(L211),COUNTIF([2]Songs!$J:$J,L211)&gt;0),"YES","")</f>
        <v>#VALUE!</v>
      </c>
      <c r="X211" t="e">
        <f>IF(AND(ISNUMBER(L211),COUNTIF([3]CcliCombined!$D:$D,L211)&gt;0),"YES","")</f>
        <v>#VALUE!</v>
      </c>
      <c r="Y211" t="e">
        <f>IF(AND(ISNUMBER(L211),COUNTIF([4]Songs!$H:$H,L211)&gt;0),"YES","")</f>
        <v>#VALUE!</v>
      </c>
      <c r="Z211" t="s">
        <v>630</v>
      </c>
      <c r="AB211">
        <v>210</v>
      </c>
      <c r="AD211" t="str">
        <f t="shared" si="5"/>
        <v>F  Ab G</v>
      </c>
    </row>
    <row r="212" spans="1:32" x14ac:dyDescent="0.25">
      <c r="A212">
        <f>INDEX(Albums!$A:$A, MATCH(C212,Albums!$C:$C,0))</f>
        <v>1</v>
      </c>
      <c r="B212">
        <f>INDEX(Albums!$B:$B, MATCH(C212,Albums!$C:$C,0))</f>
        <v>2020</v>
      </c>
      <c r="C212" t="s">
        <v>12</v>
      </c>
      <c r="D212">
        <v>10</v>
      </c>
      <c r="E212" t="s">
        <v>339</v>
      </c>
      <c r="F212" t="s">
        <v>23</v>
      </c>
      <c r="G212" s="28" t="s">
        <v>1064</v>
      </c>
      <c r="I212" t="s">
        <v>25</v>
      </c>
      <c r="J212">
        <v>70</v>
      </c>
      <c r="K212" s="11" t="s">
        <v>371</v>
      </c>
      <c r="L212" s="10">
        <v>7147007</v>
      </c>
      <c r="M212" s="4">
        <v>2020</v>
      </c>
      <c r="N212" t="s">
        <v>436</v>
      </c>
      <c r="O212" t="s">
        <v>1199</v>
      </c>
      <c r="P212" s="23" t="s">
        <v>340</v>
      </c>
      <c r="Q212">
        <v>70</v>
      </c>
      <c r="R212" t="s">
        <v>52</v>
      </c>
      <c r="S212" t="s">
        <v>52</v>
      </c>
      <c r="U212" t="s">
        <v>478</v>
      </c>
      <c r="V212" t="str">
        <f>IF(AND(ISNUMBER(L212),COUNTIF([1]Songs!$L:$L,L212)&gt;0),"YES","")</f>
        <v/>
      </c>
      <c r="W212" t="e">
        <f>IF(AND(ISNUMBER(L212),COUNTIF([2]Songs!$J:$J,L212)&gt;0),"YES","")</f>
        <v>#VALUE!</v>
      </c>
      <c r="X212" t="e">
        <f>IF(AND(ISNUMBER(L212),COUNTIF([3]CcliCombined!$D:$D,L212)&gt;0),"YES","")</f>
        <v>#VALUE!</v>
      </c>
      <c r="Y212" t="e">
        <f>IF(AND(ISNUMBER(L212),COUNTIF([4]Songs!$H:$H,L212)&gt;0),"YES","")</f>
        <v>#VALUE!</v>
      </c>
      <c r="Z212" t="s">
        <v>630</v>
      </c>
      <c r="AB212">
        <v>211</v>
      </c>
      <c r="AD212" t="str">
        <f t="shared" si="5"/>
        <v>G  A</v>
      </c>
    </row>
    <row r="213" spans="1:32" x14ac:dyDescent="0.25">
      <c r="A213">
        <f>INDEX(Albums!$A:$A, MATCH(C213,Albums!$C:$C,0))</f>
        <v>1</v>
      </c>
      <c r="B213">
        <f>INDEX(Albums!$B:$B, MATCH(C213,Albums!$C:$C,0))</f>
        <v>2020</v>
      </c>
      <c r="C213" t="s">
        <v>13</v>
      </c>
      <c r="D213">
        <v>1</v>
      </c>
      <c r="E213" t="s">
        <v>341</v>
      </c>
      <c r="F213" t="s">
        <v>23</v>
      </c>
      <c r="G213" s="28" t="s">
        <v>1035</v>
      </c>
      <c r="I213" t="s">
        <v>84</v>
      </c>
      <c r="J213">
        <v>72</v>
      </c>
      <c r="K213" s="11" t="s">
        <v>371</v>
      </c>
      <c r="L213" s="10">
        <v>4582588</v>
      </c>
      <c r="M213" s="4">
        <v>2005</v>
      </c>
      <c r="N213" t="s">
        <v>953</v>
      </c>
      <c r="O213" t="s">
        <v>1199</v>
      </c>
      <c r="P213" s="23" t="s">
        <v>1</v>
      </c>
      <c r="Q213">
        <v>72</v>
      </c>
      <c r="R213" t="s">
        <v>28</v>
      </c>
      <c r="S213" t="s">
        <v>52</v>
      </c>
      <c r="U213" t="s">
        <v>478</v>
      </c>
      <c r="V213" t="str">
        <f>IF(AND(ISNUMBER(L213),COUNTIF([1]Songs!$L:$L,L213)&gt;0),"YES","")</f>
        <v/>
      </c>
      <c r="W213" t="e">
        <f>IF(AND(ISNUMBER(L213),COUNTIF([2]Songs!$J:$J,L213)&gt;0),"YES","")</f>
        <v>#VALUE!</v>
      </c>
      <c r="X213" t="e">
        <f>IF(AND(ISNUMBER(L213),COUNTIF([3]CcliCombined!$D:$D,L213)&gt;0),"YES","")</f>
        <v>#VALUE!</v>
      </c>
      <c r="Y213" t="e">
        <f>IF(AND(ISNUMBER(L213),COUNTIF([4]Songs!$H:$H,L213)&gt;0),"YES","")</f>
        <v>#VALUE!</v>
      </c>
      <c r="Z213" t="s">
        <v>630</v>
      </c>
      <c r="AB213">
        <v>212</v>
      </c>
      <c r="AD213" t="str">
        <f t="shared" si="5"/>
        <v>F#  Bb A</v>
      </c>
    </row>
    <row r="214" spans="1:32" x14ac:dyDescent="0.25">
      <c r="A214">
        <f>INDEX(Albums!$A:$A, MATCH(C214,Albums!$C:$C,0))</f>
        <v>1</v>
      </c>
      <c r="B214">
        <f>INDEX(Albums!$B:$B, MATCH(C214,Albums!$C:$C,0))</f>
        <v>2020</v>
      </c>
      <c r="C214" t="s">
        <v>13</v>
      </c>
      <c r="D214">
        <v>2</v>
      </c>
      <c r="E214" t="s">
        <v>342</v>
      </c>
      <c r="F214" t="s">
        <v>23</v>
      </c>
      <c r="G214" s="28" t="s">
        <v>1065</v>
      </c>
      <c r="I214" t="s">
        <v>28</v>
      </c>
      <c r="J214">
        <v>60</v>
      </c>
      <c r="K214" s="11" t="s">
        <v>380</v>
      </c>
      <c r="L214" s="10">
        <v>7146673</v>
      </c>
      <c r="M214" s="4">
        <v>2020</v>
      </c>
      <c r="N214" t="s">
        <v>457</v>
      </c>
      <c r="O214" t="s">
        <v>1199</v>
      </c>
      <c r="P214" s="23" t="s">
        <v>343</v>
      </c>
      <c r="Q214">
        <v>62</v>
      </c>
      <c r="R214" t="s">
        <v>28</v>
      </c>
      <c r="S214" t="s">
        <v>52</v>
      </c>
      <c r="U214" t="s">
        <v>478</v>
      </c>
      <c r="V214" t="str">
        <f>IF(AND(ISNUMBER(L214),COUNTIF([1]Songs!$L:$L,L214)&gt;0),"YES","")</f>
        <v/>
      </c>
      <c r="W214" t="e">
        <f>IF(AND(ISNUMBER(L214),COUNTIF([2]Songs!$J:$J,L214)&gt;0),"YES","")</f>
        <v>#VALUE!</v>
      </c>
      <c r="X214" t="e">
        <f>IF(AND(ISNUMBER(L214),COUNTIF([3]CcliCombined!$D:$D,L214)&gt;0),"YES","")</f>
        <v>#VALUE!</v>
      </c>
      <c r="Y214" t="e">
        <f>IF(AND(ISNUMBER(L214),COUNTIF([4]Songs!$H:$H,L214)&gt;0),"YES","")</f>
        <v>#VALUE!</v>
      </c>
      <c r="Z214" t="s">
        <v>630</v>
      </c>
      <c r="AB214">
        <v>213</v>
      </c>
      <c r="AD214" t="str">
        <f t="shared" si="5"/>
        <v>Bb  A</v>
      </c>
    </row>
    <row r="215" spans="1:32" x14ac:dyDescent="0.25">
      <c r="A215">
        <f>INDEX(Albums!$A:$A, MATCH(C215,Albums!$C:$C,0))</f>
        <v>1</v>
      </c>
      <c r="B215">
        <f>INDEX(Albums!$B:$B, MATCH(C215,Albums!$C:$C,0))</f>
        <v>2020</v>
      </c>
      <c r="C215" t="s">
        <v>13</v>
      </c>
      <c r="D215">
        <v>3</v>
      </c>
      <c r="E215" t="s">
        <v>344</v>
      </c>
      <c r="F215" t="s">
        <v>23</v>
      </c>
      <c r="G215" s="28" t="s">
        <v>1066</v>
      </c>
      <c r="I215" t="s">
        <v>28</v>
      </c>
      <c r="J215">
        <v>57</v>
      </c>
      <c r="K215" s="11" t="s">
        <v>425</v>
      </c>
      <c r="L215" s="10">
        <v>7149439</v>
      </c>
      <c r="M215" s="4">
        <v>2020</v>
      </c>
      <c r="N215" t="s">
        <v>1017</v>
      </c>
      <c r="O215" t="s">
        <v>1199</v>
      </c>
      <c r="P215" s="23" t="s">
        <v>345</v>
      </c>
      <c r="Q215">
        <v>86</v>
      </c>
      <c r="R215" t="s">
        <v>28</v>
      </c>
      <c r="S215" t="s">
        <v>52</v>
      </c>
      <c r="U215" t="s">
        <v>478</v>
      </c>
      <c r="V215" t="str">
        <f>IF(AND(ISNUMBER(L215),COUNTIF([1]Songs!$L:$L,L215)&gt;0),"YES","")</f>
        <v/>
      </c>
      <c r="W215" t="e">
        <f>IF(AND(ISNUMBER(L215),COUNTIF([2]Songs!$J:$J,L215)&gt;0),"YES","")</f>
        <v>#VALUE!</v>
      </c>
      <c r="X215" t="e">
        <f>IF(AND(ISNUMBER(L215),COUNTIF([3]CcliCombined!$D:$D,L215)&gt;0),"YES","")</f>
        <v>#VALUE!</v>
      </c>
      <c r="Y215" t="e">
        <f>IF(AND(ISNUMBER(L215),COUNTIF([4]Songs!$H:$H,L215)&gt;0),"YES","")</f>
        <v>#VALUE!</v>
      </c>
      <c r="Z215" t="s">
        <v>630</v>
      </c>
      <c r="AB215">
        <v>214</v>
      </c>
      <c r="AD215" t="str">
        <f t="shared" si="5"/>
        <v>Bb  A</v>
      </c>
    </row>
    <row r="216" spans="1:32" hidden="1" x14ac:dyDescent="0.25">
      <c r="A216">
        <f>INDEX(Albums!$A:$A, MATCH(C216,Albums!$C:$C,0))</f>
        <v>1</v>
      </c>
      <c r="B216">
        <f>INDEX(Albums!$B:$B, MATCH(C216,Albums!$C:$C,0))</f>
        <v>2020</v>
      </c>
      <c r="C216" t="s">
        <v>13</v>
      </c>
      <c r="D216">
        <v>4</v>
      </c>
      <c r="E216" t="s">
        <v>346</v>
      </c>
      <c r="F216" t="s">
        <v>23</v>
      </c>
      <c r="G216" s="28" t="s">
        <v>665</v>
      </c>
      <c r="L216" s="10">
        <v>7079706</v>
      </c>
      <c r="N216" t="s">
        <v>666</v>
      </c>
      <c r="P216" s="23" t="s">
        <v>347</v>
      </c>
      <c r="Q216">
        <v>58</v>
      </c>
      <c r="R216" t="s">
        <v>31</v>
      </c>
      <c r="S216" t="s">
        <v>31</v>
      </c>
      <c r="V216" t="str">
        <f>IF(AND(ISNUMBER(L216),COUNTIF([1]Songs!$L:$L,L216)&gt;0),"YES","")</f>
        <v/>
      </c>
      <c r="W216" t="e">
        <f>IF(AND(ISNUMBER(L216),COUNTIF([2]Songs!$J:$J,L216)&gt;0),"YES","")</f>
        <v>#VALUE!</v>
      </c>
      <c r="X216" t="e">
        <f>IF(AND(ISNUMBER(L216),COUNTIF([3]CcliCombined!$D:$D,L216)&gt;0),"YES","")</f>
        <v>#VALUE!</v>
      </c>
      <c r="Y216" t="e">
        <f>IF(AND(ISNUMBER(L216),COUNTIF([4]Songs!$H:$H,L216)&gt;0),"YES","")</f>
        <v>#VALUE!</v>
      </c>
      <c r="Z216" t="s">
        <v>630</v>
      </c>
      <c r="AB216">
        <v>215</v>
      </c>
      <c r="AC216" t="s">
        <v>1032</v>
      </c>
      <c r="AD216" t="str">
        <f t="shared" si="5"/>
        <v xml:space="preserve"> B</v>
      </c>
      <c r="AF216" t="s">
        <v>1197</v>
      </c>
    </row>
    <row r="217" spans="1:32" hidden="1" x14ac:dyDescent="0.25">
      <c r="A217">
        <f>INDEX(Albums!$A:$A, MATCH(C217,Albums!$C:$C,0))</f>
        <v>1</v>
      </c>
      <c r="B217">
        <f>INDEX(Albums!$B:$B, MATCH(C217,Albums!$C:$C,0))</f>
        <v>2020</v>
      </c>
      <c r="C217" t="s">
        <v>13</v>
      </c>
      <c r="D217">
        <v>5</v>
      </c>
      <c r="E217" t="s">
        <v>348</v>
      </c>
      <c r="F217" t="s">
        <v>23</v>
      </c>
      <c r="G217" s="28" t="s">
        <v>1034</v>
      </c>
      <c r="L217" s="10">
        <v>7130622</v>
      </c>
      <c r="N217" t="s">
        <v>1033</v>
      </c>
      <c r="P217" s="23" t="s">
        <v>349</v>
      </c>
      <c r="Q217">
        <v>66.5</v>
      </c>
      <c r="R217" t="s">
        <v>36</v>
      </c>
      <c r="S217" t="s">
        <v>36</v>
      </c>
      <c r="V217" t="str">
        <f>IF(AND(ISNUMBER(L217),COUNTIF([1]Songs!$L:$L,L217)&gt;0),"YES","")</f>
        <v/>
      </c>
      <c r="W217" t="e">
        <f>IF(AND(ISNUMBER(L217),COUNTIF([2]Songs!$J:$J,L217)&gt;0),"YES","")</f>
        <v>#VALUE!</v>
      </c>
      <c r="X217" t="e">
        <f>IF(AND(ISNUMBER(L217),COUNTIF([3]CcliCombined!$D:$D,L217)&gt;0),"YES","")</f>
        <v>#VALUE!</v>
      </c>
      <c r="Y217" t="e">
        <f>IF(AND(ISNUMBER(L217),COUNTIF([4]Songs!$H:$H,L217)&gt;0),"YES","")</f>
        <v>#VALUE!</v>
      </c>
      <c r="Z217" t="s">
        <v>630</v>
      </c>
      <c r="AB217">
        <v>216</v>
      </c>
      <c r="AC217" t="s">
        <v>1032</v>
      </c>
      <c r="AD217" t="str">
        <f t="shared" si="5"/>
        <v xml:space="preserve"> E</v>
      </c>
      <c r="AF217" t="s">
        <v>1197</v>
      </c>
    </row>
    <row r="218" spans="1:32" x14ac:dyDescent="0.25">
      <c r="A218">
        <f>INDEX(Albums!$A:$A, MATCH(C218,Albums!$C:$C,0))</f>
        <v>1</v>
      </c>
      <c r="B218">
        <f>INDEX(Albums!$B:$B, MATCH(C218,Albums!$C:$C,0))</f>
        <v>2020</v>
      </c>
      <c r="C218" t="s">
        <v>13</v>
      </c>
      <c r="D218">
        <v>6</v>
      </c>
      <c r="E218" t="s">
        <v>350</v>
      </c>
      <c r="F218" t="s">
        <v>23</v>
      </c>
      <c r="G218" s="28" t="s">
        <v>1067</v>
      </c>
      <c r="I218" t="s">
        <v>52</v>
      </c>
      <c r="K218" s="11" t="s">
        <v>371</v>
      </c>
      <c r="L218" s="10">
        <v>5942543</v>
      </c>
      <c r="M218" s="4">
        <v>2011</v>
      </c>
      <c r="N218" t="s">
        <v>374</v>
      </c>
      <c r="O218" t="s">
        <v>1199</v>
      </c>
      <c r="P218" s="23" t="s">
        <v>27</v>
      </c>
      <c r="Q218">
        <v>84</v>
      </c>
      <c r="R218" t="s">
        <v>52</v>
      </c>
      <c r="S218" t="s">
        <v>52</v>
      </c>
      <c r="U218" t="s">
        <v>478</v>
      </c>
      <c r="V218" t="str">
        <f>IF(AND(ISNUMBER(L218),COUNTIF([1]Songs!$L:$L,L218)&gt;0),"YES","")</f>
        <v/>
      </c>
      <c r="W218" t="e">
        <f>IF(AND(ISNUMBER(L218),COUNTIF([2]Songs!$J:$J,L218)&gt;0),"YES","")</f>
        <v>#VALUE!</v>
      </c>
      <c r="X218" t="e">
        <f>IF(AND(ISNUMBER(L218),COUNTIF([3]CcliCombined!$D:$D,L218)&gt;0),"YES","")</f>
        <v>#VALUE!</v>
      </c>
      <c r="Y218" t="e">
        <f>IF(AND(ISNUMBER(L218),COUNTIF([4]Songs!$H:$H,L218)&gt;0),"YES","")</f>
        <v>#VALUE!</v>
      </c>
      <c r="Z218" t="s">
        <v>630</v>
      </c>
      <c r="AB218">
        <v>217</v>
      </c>
      <c r="AD218" t="str">
        <f t="shared" si="5"/>
        <v xml:space="preserve">A </v>
      </c>
    </row>
    <row r="219" spans="1:32" x14ac:dyDescent="0.25">
      <c r="A219">
        <f>INDEX(Albums!$A:$A, MATCH(C219,Albums!$C:$C,0))</f>
        <v>1</v>
      </c>
      <c r="B219">
        <f>INDEX(Albums!$B:$B, MATCH(C219,Albums!$C:$C,0))</f>
        <v>2020</v>
      </c>
      <c r="C219" t="s">
        <v>13</v>
      </c>
      <c r="D219">
        <v>7</v>
      </c>
      <c r="E219" t="s">
        <v>351</v>
      </c>
      <c r="F219" t="s">
        <v>23</v>
      </c>
      <c r="G219" s="28" t="s">
        <v>1068</v>
      </c>
      <c r="I219" t="s">
        <v>25</v>
      </c>
      <c r="J219">
        <v>76</v>
      </c>
      <c r="K219" s="11" t="s">
        <v>371</v>
      </c>
      <c r="L219" s="10">
        <v>7126793</v>
      </c>
      <c r="M219" s="4">
        <v>2019</v>
      </c>
      <c r="N219" t="s">
        <v>1017</v>
      </c>
      <c r="O219" t="s">
        <v>1199</v>
      </c>
      <c r="P219" s="23" t="s">
        <v>345</v>
      </c>
      <c r="Q219">
        <v>76</v>
      </c>
      <c r="R219" t="s">
        <v>25</v>
      </c>
      <c r="S219" t="s">
        <v>25</v>
      </c>
      <c r="U219" t="s">
        <v>478</v>
      </c>
      <c r="V219" t="str">
        <f>IF(AND(ISNUMBER(L219),COUNTIF([1]Songs!$L:$L,L219)&gt;0),"YES","")</f>
        <v/>
      </c>
      <c r="W219" t="e">
        <f>IF(AND(ISNUMBER(L219),COUNTIF([2]Songs!$J:$J,L219)&gt;0),"YES","")</f>
        <v>#VALUE!</v>
      </c>
      <c r="X219" t="e">
        <f>IF(AND(ISNUMBER(L219),COUNTIF([3]CcliCombined!$D:$D,L219)&gt;0),"YES","")</f>
        <v>#VALUE!</v>
      </c>
      <c r="Y219" t="e">
        <f>IF(AND(ISNUMBER(L219),COUNTIF([4]Songs!$H:$H,L219)&gt;0),"YES","")</f>
        <v>#VALUE!</v>
      </c>
      <c r="Z219" t="s">
        <v>630</v>
      </c>
      <c r="AB219">
        <v>218</v>
      </c>
      <c r="AD219" t="str">
        <f t="shared" si="5"/>
        <v xml:space="preserve">G </v>
      </c>
    </row>
    <row r="220" spans="1:32" x14ac:dyDescent="0.25">
      <c r="A220">
        <f>INDEX(Albums!$A:$A, MATCH(C220,Albums!$C:$C,0))</f>
        <v>1</v>
      </c>
      <c r="B220">
        <f>INDEX(Albums!$B:$B, MATCH(C220,Albums!$C:$C,0))</f>
        <v>2020</v>
      </c>
      <c r="C220" t="s">
        <v>13</v>
      </c>
      <c r="D220">
        <v>8</v>
      </c>
      <c r="E220" t="s">
        <v>352</v>
      </c>
      <c r="F220" t="s">
        <v>23</v>
      </c>
      <c r="G220" s="28" t="s">
        <v>1069</v>
      </c>
      <c r="I220" t="s">
        <v>28</v>
      </c>
      <c r="J220">
        <v>50</v>
      </c>
      <c r="K220" s="11" t="s">
        <v>425</v>
      </c>
      <c r="L220" s="10">
        <v>7153516</v>
      </c>
      <c r="M220" s="4">
        <v>2020</v>
      </c>
      <c r="N220" t="s">
        <v>1033</v>
      </c>
      <c r="O220" t="s">
        <v>1199</v>
      </c>
      <c r="P220" s="23" t="s">
        <v>345</v>
      </c>
      <c r="Q220">
        <v>70.5</v>
      </c>
      <c r="R220" t="s">
        <v>176</v>
      </c>
      <c r="S220" t="s">
        <v>176</v>
      </c>
      <c r="U220" t="s">
        <v>478</v>
      </c>
      <c r="V220" t="str">
        <f>IF(AND(ISNUMBER(L220),COUNTIF([1]Songs!$L:$L,L220)&gt;0),"YES","")</f>
        <v/>
      </c>
      <c r="W220" t="e">
        <f>IF(AND(ISNUMBER(L220),COUNTIF([2]Songs!$J:$J,L220)&gt;0),"YES","")</f>
        <v>#VALUE!</v>
      </c>
      <c r="X220" t="e">
        <f>IF(AND(ISNUMBER(L220),COUNTIF([3]CcliCombined!$D:$D,L220)&gt;0),"YES","")</f>
        <v>#VALUE!</v>
      </c>
      <c r="Y220" t="e">
        <f>IF(AND(ISNUMBER(L220),COUNTIF([4]Songs!$H:$H,L220)&gt;0),"YES","")</f>
        <v>#VALUE!</v>
      </c>
      <c r="Z220" t="s">
        <v>630</v>
      </c>
      <c r="AB220">
        <v>219</v>
      </c>
      <c r="AD220" t="str">
        <f t="shared" si="5"/>
        <v>Bb  F</v>
      </c>
    </row>
    <row r="221" spans="1:32" x14ac:dyDescent="0.25">
      <c r="A221">
        <f>INDEX(Albums!$A:$A, MATCH(C221,Albums!$C:$C,0))</f>
        <v>1</v>
      </c>
      <c r="B221">
        <f>INDEX(Albums!$B:$B, MATCH(C221,Albums!$C:$C,0))</f>
        <v>2020</v>
      </c>
      <c r="C221" t="s">
        <v>13</v>
      </c>
      <c r="D221">
        <v>9</v>
      </c>
      <c r="E221" t="s">
        <v>353</v>
      </c>
      <c r="F221" t="s">
        <v>23</v>
      </c>
      <c r="G221" s="28" t="s">
        <v>1070</v>
      </c>
      <c r="I221" t="s">
        <v>47</v>
      </c>
      <c r="J221">
        <v>80</v>
      </c>
      <c r="K221" s="11" t="s">
        <v>371</v>
      </c>
      <c r="L221" s="10">
        <v>6472799</v>
      </c>
      <c r="M221" s="4">
        <v>2012</v>
      </c>
      <c r="N221" t="s">
        <v>424</v>
      </c>
      <c r="O221" t="s">
        <v>1199</v>
      </c>
      <c r="P221" s="23" t="s">
        <v>354</v>
      </c>
      <c r="Q221">
        <v>79</v>
      </c>
      <c r="R221" t="s">
        <v>47</v>
      </c>
      <c r="S221" t="s">
        <v>47</v>
      </c>
      <c r="U221" t="s">
        <v>478</v>
      </c>
      <c r="V221" t="str">
        <f>IF(AND(ISNUMBER(L221),COUNTIF([1]Songs!$L:$L,L221)&gt;0),"YES","")</f>
        <v/>
      </c>
      <c r="W221" t="e">
        <f>IF(AND(ISNUMBER(L221),COUNTIF([2]Songs!$J:$J,L221)&gt;0),"YES","")</f>
        <v>#VALUE!</v>
      </c>
      <c r="X221" t="e">
        <f>IF(AND(ISNUMBER(L221),COUNTIF([3]CcliCombined!$D:$D,L221)&gt;0),"YES","")</f>
        <v>#VALUE!</v>
      </c>
      <c r="Y221" t="e">
        <f>IF(AND(ISNUMBER(L221),COUNTIF([4]Songs!$H:$H,L221)&gt;0),"YES","")</f>
        <v>#VALUE!</v>
      </c>
      <c r="Z221" t="s">
        <v>630</v>
      </c>
      <c r="AB221">
        <v>220</v>
      </c>
      <c r="AD221" t="str">
        <f t="shared" ref="AD221:AD284" si="6">I221
&amp;IF(H221=I221,""," "&amp;H221)
&amp;IF(OR(R221=I221,R221=H221),""," "&amp;R221)
&amp;IF(R221=S221,""," "&amp;S221)</f>
        <v xml:space="preserve">C </v>
      </c>
    </row>
    <row r="222" spans="1:32" x14ac:dyDescent="0.25">
      <c r="A222">
        <f>INDEX(Albums!$A:$A, MATCH(C222,Albums!$C:$C,0))</f>
        <v>1</v>
      </c>
      <c r="B222">
        <f>INDEX(Albums!$B:$B, MATCH(C222,Albums!$C:$C,0))</f>
        <v>2020</v>
      </c>
      <c r="C222" t="s">
        <v>13</v>
      </c>
      <c r="D222">
        <v>10</v>
      </c>
      <c r="E222" t="s">
        <v>355</v>
      </c>
      <c r="F222" t="s">
        <v>23</v>
      </c>
      <c r="G222" s="28" t="s">
        <v>1071</v>
      </c>
      <c r="I222" t="s">
        <v>25</v>
      </c>
      <c r="J222">
        <v>70</v>
      </c>
      <c r="K222" s="11" t="s">
        <v>371</v>
      </c>
      <c r="L222" s="10">
        <v>7068421</v>
      </c>
      <c r="M222" s="4">
        <v>2016</v>
      </c>
      <c r="N222" t="s">
        <v>372</v>
      </c>
      <c r="O222" t="s">
        <v>1199</v>
      </c>
      <c r="P222" s="23" t="s">
        <v>220</v>
      </c>
      <c r="Q222">
        <v>70</v>
      </c>
      <c r="R222" t="s">
        <v>25</v>
      </c>
      <c r="S222" t="s">
        <v>25</v>
      </c>
      <c r="U222" t="s">
        <v>478</v>
      </c>
      <c r="V222" t="str">
        <f>IF(AND(ISNUMBER(L222),COUNTIF([1]Songs!$L:$L,L222)&gt;0),"YES","")</f>
        <v/>
      </c>
      <c r="W222" t="e">
        <f>IF(AND(ISNUMBER(L222),COUNTIF([2]Songs!$J:$J,L222)&gt;0),"YES","")</f>
        <v>#VALUE!</v>
      </c>
      <c r="X222" t="e">
        <f>IF(AND(ISNUMBER(L222),COUNTIF([3]CcliCombined!$D:$D,L222)&gt;0),"YES","")</f>
        <v>#VALUE!</v>
      </c>
      <c r="Y222" t="e">
        <f>IF(AND(ISNUMBER(L222),COUNTIF([4]Songs!$H:$H,L222)&gt;0),"YES","")</f>
        <v>#VALUE!</v>
      </c>
      <c r="Z222" t="s">
        <v>630</v>
      </c>
      <c r="AB222">
        <v>221</v>
      </c>
      <c r="AD222" t="str">
        <f t="shared" si="6"/>
        <v xml:space="preserve">G </v>
      </c>
    </row>
    <row r="223" spans="1:32" hidden="1" x14ac:dyDescent="0.25">
      <c r="A223">
        <f>INDEX(Albums!$A:$A, MATCH(C223,Albums!$C:$C,0))</f>
        <v>1</v>
      </c>
      <c r="B223">
        <f>INDEX(Albums!$B:$B, MATCH(C223,Albums!$C:$C,0))</f>
        <v>2020</v>
      </c>
      <c r="C223" t="s">
        <v>13</v>
      </c>
      <c r="D223">
        <v>11</v>
      </c>
      <c r="E223" t="s">
        <v>356</v>
      </c>
      <c r="F223" t="s">
        <v>23</v>
      </c>
      <c r="G223" s="28" t="s">
        <v>343</v>
      </c>
      <c r="L223" s="10">
        <v>7151239</v>
      </c>
      <c r="M223" s="4">
        <v>2020</v>
      </c>
      <c r="N223" t="s">
        <v>1031</v>
      </c>
      <c r="P223" s="23" t="s">
        <v>343</v>
      </c>
      <c r="Q223">
        <v>68</v>
      </c>
      <c r="R223" t="s">
        <v>39</v>
      </c>
      <c r="S223" t="s">
        <v>39</v>
      </c>
      <c r="V223" t="str">
        <f>IF(AND(ISNUMBER(L223),COUNTIF([1]Songs!$L:$L,L223)&gt;0),"YES","")</f>
        <v/>
      </c>
      <c r="W223" t="e">
        <f>IF(AND(ISNUMBER(L223),COUNTIF([2]Songs!$J:$J,L223)&gt;0),"YES","")</f>
        <v>#VALUE!</v>
      </c>
      <c r="X223" t="e">
        <f>IF(AND(ISNUMBER(L223),COUNTIF([3]CcliCombined!$D:$D,L223)&gt;0),"YES","")</f>
        <v>#VALUE!</v>
      </c>
      <c r="Y223" t="e">
        <f>IF(AND(ISNUMBER(L223),COUNTIF([4]Songs!$H:$H,L223)&gt;0),"YES","")</f>
        <v>#VALUE!</v>
      </c>
      <c r="Z223" t="s">
        <v>630</v>
      </c>
      <c r="AB223">
        <v>222</v>
      </c>
      <c r="AC223" t="s">
        <v>1032</v>
      </c>
      <c r="AD223" t="str">
        <f t="shared" si="6"/>
        <v xml:space="preserve"> D</v>
      </c>
      <c r="AF223" t="s">
        <v>1197</v>
      </c>
    </row>
    <row r="224" spans="1:32" x14ac:dyDescent="0.25">
      <c r="A224">
        <f>INDEX(Albums!$A:$A, MATCH(C224,Albums!$C:$C,0))</f>
        <v>1</v>
      </c>
      <c r="B224">
        <f>INDEX(Albums!$B:$B, MATCH(C224,Albums!$C:$C,0))</f>
        <v>2021</v>
      </c>
      <c r="C224" t="s">
        <v>14</v>
      </c>
      <c r="D224">
        <v>1</v>
      </c>
      <c r="E224" t="s">
        <v>926</v>
      </c>
      <c r="F224" t="s">
        <v>23</v>
      </c>
      <c r="G224" s="28" t="s">
        <v>1030</v>
      </c>
      <c r="I224" t="s">
        <v>47</v>
      </c>
      <c r="J224">
        <v>72</v>
      </c>
      <c r="K224" s="11" t="s">
        <v>371</v>
      </c>
      <c r="L224" s="10">
        <v>7025708</v>
      </c>
      <c r="M224" s="4">
        <v>2014</v>
      </c>
      <c r="N224" t="s">
        <v>440</v>
      </c>
      <c r="O224" t="s">
        <v>1199</v>
      </c>
      <c r="P224" s="23" t="s">
        <v>213</v>
      </c>
      <c r="Q224">
        <v>71</v>
      </c>
      <c r="R224" t="s">
        <v>47</v>
      </c>
      <c r="S224" t="s">
        <v>47</v>
      </c>
      <c r="U224" t="s">
        <v>478</v>
      </c>
      <c r="V224" t="str">
        <f>IF(AND(ISNUMBER(L224),COUNTIF([1]Songs!$L:$L,L224)&gt;0),"YES","")</f>
        <v/>
      </c>
      <c r="W224" t="e">
        <f>IF(AND(ISNUMBER(L224),COUNTIF([2]Songs!$J:$J,L224)&gt;0),"YES","")</f>
        <v>#VALUE!</v>
      </c>
      <c r="X224" t="e">
        <f>IF(AND(ISNUMBER(L224),COUNTIF([3]CcliCombined!$D:$D,L224)&gt;0),"YES","")</f>
        <v>#VALUE!</v>
      </c>
      <c r="Y224" t="e">
        <f>IF(AND(ISNUMBER(L224),COUNTIF([4]Songs!$H:$H,L224)&gt;0),"YES","")</f>
        <v>#VALUE!</v>
      </c>
      <c r="Z224" t="s">
        <v>630</v>
      </c>
      <c r="AB224">
        <v>223</v>
      </c>
      <c r="AD224" t="str">
        <f t="shared" si="6"/>
        <v xml:space="preserve">C </v>
      </c>
    </row>
    <row r="225" spans="1:32" x14ac:dyDescent="0.25">
      <c r="A225">
        <f>INDEX(Albums!$A:$A, MATCH(C225,Albums!$C:$C,0))</f>
        <v>1</v>
      </c>
      <c r="B225">
        <f>INDEX(Albums!$B:$B, MATCH(C225,Albums!$C:$C,0))</f>
        <v>2021</v>
      </c>
      <c r="C225" t="s">
        <v>14</v>
      </c>
      <c r="D225">
        <v>2</v>
      </c>
      <c r="E225" t="s">
        <v>357</v>
      </c>
      <c r="F225" t="s">
        <v>23</v>
      </c>
      <c r="G225" s="28" t="s">
        <v>1072</v>
      </c>
      <c r="I225" t="s">
        <v>52</v>
      </c>
      <c r="J225">
        <v>45</v>
      </c>
      <c r="K225" s="11" t="s">
        <v>425</v>
      </c>
      <c r="L225" s="10">
        <v>7133494</v>
      </c>
      <c r="M225" s="4">
        <v>2020</v>
      </c>
      <c r="N225" t="s">
        <v>436</v>
      </c>
      <c r="O225" t="s">
        <v>1199</v>
      </c>
      <c r="P225" s="23" t="s">
        <v>358</v>
      </c>
      <c r="Q225">
        <v>68.5</v>
      </c>
      <c r="R225" t="s">
        <v>176</v>
      </c>
      <c r="S225" t="s">
        <v>176</v>
      </c>
      <c r="U225" t="s">
        <v>478</v>
      </c>
      <c r="V225" t="str">
        <f>IF(AND(ISNUMBER(L225),COUNTIF([1]Songs!$L:$L,L225)&gt;0),"YES","")</f>
        <v/>
      </c>
      <c r="W225" t="e">
        <f>IF(AND(ISNUMBER(L225),COUNTIF([2]Songs!$J:$J,L225)&gt;0),"YES","")</f>
        <v>#VALUE!</v>
      </c>
      <c r="X225" t="e">
        <f>IF(AND(ISNUMBER(L225),COUNTIF([3]CcliCombined!$D:$D,L225)&gt;0),"YES","")</f>
        <v>#VALUE!</v>
      </c>
      <c r="Y225" t="e">
        <f>IF(AND(ISNUMBER(L225),COUNTIF([4]Songs!$H:$H,L225)&gt;0),"YES","")</f>
        <v>#VALUE!</v>
      </c>
      <c r="Z225" t="s">
        <v>630</v>
      </c>
      <c r="AB225">
        <v>224</v>
      </c>
      <c r="AD225" t="str">
        <f t="shared" si="6"/>
        <v>A  F</v>
      </c>
    </row>
    <row r="226" spans="1:32" x14ac:dyDescent="0.25">
      <c r="A226">
        <f>INDEX(Albums!$A:$A, MATCH(C226,Albums!$C:$C,0))</f>
        <v>1</v>
      </c>
      <c r="B226">
        <f>INDEX(Albums!$B:$B, MATCH(C226,Albums!$C:$C,0))</f>
        <v>2021</v>
      </c>
      <c r="C226" t="s">
        <v>14</v>
      </c>
      <c r="D226">
        <v>3</v>
      </c>
      <c r="E226" t="s">
        <v>359</v>
      </c>
      <c r="F226" t="s">
        <v>23</v>
      </c>
      <c r="G226" s="28" t="s">
        <v>1073</v>
      </c>
      <c r="I226" t="s">
        <v>78</v>
      </c>
      <c r="J226">
        <v>78</v>
      </c>
      <c r="K226" s="11" t="s">
        <v>371</v>
      </c>
      <c r="L226" s="10">
        <v>7125876</v>
      </c>
      <c r="M226" s="4">
        <v>2019</v>
      </c>
      <c r="N226" t="s">
        <v>1029</v>
      </c>
      <c r="O226" t="s">
        <v>1199</v>
      </c>
      <c r="P226" s="23" t="s">
        <v>360</v>
      </c>
      <c r="Q226">
        <v>77</v>
      </c>
      <c r="R226" t="s">
        <v>39</v>
      </c>
      <c r="S226" t="s">
        <v>39</v>
      </c>
      <c r="U226" t="s">
        <v>478</v>
      </c>
      <c r="V226" t="str">
        <f>IF(AND(ISNUMBER(L226),COUNTIF([1]Songs!$L:$L,L226)&gt;0),"YES","")</f>
        <v/>
      </c>
      <c r="W226" t="e">
        <f>IF(AND(ISNUMBER(L226),COUNTIF([2]Songs!$J:$J,L226)&gt;0),"YES","")</f>
        <v>#VALUE!</v>
      </c>
      <c r="X226" t="e">
        <f>IF(AND(ISNUMBER(L226),COUNTIF([3]CcliCombined!$D:$D,L226)&gt;0),"YES","")</f>
        <v>#VALUE!</v>
      </c>
      <c r="Y226" t="e">
        <f>IF(AND(ISNUMBER(L226),COUNTIF([4]Songs!$H:$H,L226)&gt;0),"YES","")</f>
        <v>#VALUE!</v>
      </c>
      <c r="Z226" t="s">
        <v>630</v>
      </c>
      <c r="AB226">
        <v>225</v>
      </c>
      <c r="AD226" t="str">
        <f t="shared" si="6"/>
        <v>Eb  D</v>
      </c>
    </row>
    <row r="227" spans="1:32" x14ac:dyDescent="0.25">
      <c r="A227">
        <f>INDEX(Albums!$A:$A, MATCH(C227,Albums!$C:$C,0))</f>
        <v>1</v>
      </c>
      <c r="B227">
        <f>INDEX(Albums!$B:$B, MATCH(C227,Albums!$C:$C,0))</f>
        <v>2021</v>
      </c>
      <c r="C227" t="s">
        <v>14</v>
      </c>
      <c r="D227">
        <v>4</v>
      </c>
      <c r="E227" t="s">
        <v>927</v>
      </c>
      <c r="F227" t="s">
        <v>23</v>
      </c>
      <c r="G227" s="28" t="s">
        <v>1074</v>
      </c>
      <c r="I227" t="s">
        <v>25</v>
      </c>
      <c r="J227">
        <v>78</v>
      </c>
      <c r="K227" s="11" t="s">
        <v>380</v>
      </c>
      <c r="L227" s="10">
        <v>7108556</v>
      </c>
      <c r="M227" s="4">
        <v>2018</v>
      </c>
      <c r="N227" t="s">
        <v>385</v>
      </c>
      <c r="O227" t="s">
        <v>1199</v>
      </c>
      <c r="P227" s="23" t="s">
        <v>293</v>
      </c>
      <c r="Q227">
        <v>78</v>
      </c>
      <c r="R227" t="s">
        <v>28</v>
      </c>
      <c r="S227" t="s">
        <v>52</v>
      </c>
      <c r="U227" t="s">
        <v>478</v>
      </c>
      <c r="V227" t="str">
        <f>IF(AND(ISNUMBER(L227),COUNTIF([1]Songs!$L:$L,L227)&gt;0),"YES","")</f>
        <v/>
      </c>
      <c r="W227" t="e">
        <f>IF(AND(ISNUMBER(L227),COUNTIF([2]Songs!$J:$J,L227)&gt;0),"YES","")</f>
        <v>#VALUE!</v>
      </c>
      <c r="X227" t="e">
        <f>IF(AND(ISNUMBER(L227),COUNTIF([3]CcliCombined!$D:$D,L227)&gt;0),"YES","")</f>
        <v>#VALUE!</v>
      </c>
      <c r="Y227" t="e">
        <f>IF(AND(ISNUMBER(L227),COUNTIF([4]Songs!$H:$H,L227)&gt;0),"YES","")</f>
        <v>#VALUE!</v>
      </c>
      <c r="Z227" t="s">
        <v>630</v>
      </c>
      <c r="AB227">
        <v>226</v>
      </c>
      <c r="AD227" t="str">
        <f t="shared" si="6"/>
        <v>G  Bb A</v>
      </c>
    </row>
    <row r="228" spans="1:32" hidden="1" x14ac:dyDescent="0.25">
      <c r="A228">
        <f>INDEX(Albums!$A:$A, MATCH(C228,Albums!$C:$C,0))</f>
        <v>1</v>
      </c>
      <c r="B228">
        <f>INDEX(Albums!$B:$B, MATCH(C228,Albums!$C:$C,0))</f>
        <v>2021</v>
      </c>
      <c r="C228" t="s">
        <v>14</v>
      </c>
      <c r="D228">
        <v>5</v>
      </c>
      <c r="E228" t="s">
        <v>361</v>
      </c>
      <c r="F228" t="s">
        <v>23</v>
      </c>
      <c r="G228" s="28" t="s">
        <v>1027</v>
      </c>
      <c r="I228" t="s">
        <v>31</v>
      </c>
      <c r="L228" s="10">
        <v>7108656</v>
      </c>
      <c r="M228" s="4">
        <v>2018</v>
      </c>
      <c r="N228" t="s">
        <v>1028</v>
      </c>
      <c r="P228" t="s">
        <v>362</v>
      </c>
      <c r="Q228">
        <v>68</v>
      </c>
      <c r="R228" t="s">
        <v>28</v>
      </c>
      <c r="S228" t="s">
        <v>52</v>
      </c>
      <c r="V228" t="str">
        <f>IF(AND(ISNUMBER(L228),COUNTIF([1]Songs!$L:$L,L228)&gt;0),"YES","")</f>
        <v/>
      </c>
      <c r="W228" t="e">
        <f>IF(AND(ISNUMBER(L228),COUNTIF([2]Songs!$J:$J,L228)&gt;0),"YES","")</f>
        <v>#VALUE!</v>
      </c>
      <c r="X228" t="e">
        <f>IF(AND(ISNUMBER(L228),COUNTIF([3]CcliCombined!$D:$D,L228)&gt;0),"YES","")</f>
        <v>#VALUE!</v>
      </c>
      <c r="Y228" t="e">
        <f>IF(AND(ISNUMBER(L228),COUNTIF([4]Songs!$H:$H,L228)&gt;0),"YES","")</f>
        <v>#VALUE!</v>
      </c>
      <c r="Z228" t="s">
        <v>630</v>
      </c>
      <c r="AB228">
        <v>227</v>
      </c>
      <c r="AC228" t="s">
        <v>1032</v>
      </c>
      <c r="AD228" t="str">
        <f t="shared" si="6"/>
        <v>B  Bb A</v>
      </c>
      <c r="AF228" t="s">
        <v>1197</v>
      </c>
    </row>
    <row r="229" spans="1:32" x14ac:dyDescent="0.25">
      <c r="A229">
        <f>INDEX(Albums!$A:$A, MATCH(C229,Albums!$C:$C,0))</f>
        <v>1</v>
      </c>
      <c r="B229">
        <f>INDEX(Albums!$B:$B, MATCH(C229,Albums!$C:$C,0))</f>
        <v>2021</v>
      </c>
      <c r="C229" t="s">
        <v>14</v>
      </c>
      <c r="D229">
        <v>6</v>
      </c>
      <c r="E229" t="s">
        <v>363</v>
      </c>
      <c r="F229" t="s">
        <v>23</v>
      </c>
      <c r="G229" s="28" t="s">
        <v>1026</v>
      </c>
      <c r="I229" t="s">
        <v>47</v>
      </c>
      <c r="K229" s="11" t="s">
        <v>371</v>
      </c>
      <c r="L229" s="10">
        <v>19007</v>
      </c>
      <c r="M229" s="4">
        <v>1932</v>
      </c>
      <c r="N229" t="s">
        <v>401</v>
      </c>
      <c r="O229" t="s">
        <v>1199</v>
      </c>
      <c r="P229" s="23" t="s">
        <v>364</v>
      </c>
      <c r="Q229">
        <v>69</v>
      </c>
      <c r="R229" t="s">
        <v>176</v>
      </c>
      <c r="S229" t="s">
        <v>176</v>
      </c>
      <c r="U229" t="s">
        <v>478</v>
      </c>
      <c r="V229" t="str">
        <f>IF(AND(ISNUMBER(L229),COUNTIF([1]Songs!$L:$L,L229)&gt;0),"YES","")</f>
        <v/>
      </c>
      <c r="W229" t="e">
        <f>IF(AND(ISNUMBER(L229),COUNTIF([2]Songs!$J:$J,L229)&gt;0),"YES","")</f>
        <v>#VALUE!</v>
      </c>
      <c r="X229" t="e">
        <f>IF(AND(ISNUMBER(L229),COUNTIF([3]CcliCombined!$D:$D,L229)&gt;0),"YES","")</f>
        <v>#VALUE!</v>
      </c>
      <c r="Y229" t="e">
        <f>IF(AND(ISNUMBER(L229),COUNTIF([4]Songs!$H:$H,L229)&gt;0),"YES","")</f>
        <v>#VALUE!</v>
      </c>
      <c r="Z229" t="s">
        <v>630</v>
      </c>
      <c r="AB229">
        <v>228</v>
      </c>
      <c r="AD229" t="str">
        <f t="shared" si="6"/>
        <v>C  F</v>
      </c>
    </row>
    <row r="230" spans="1:32" x14ac:dyDescent="0.25">
      <c r="A230">
        <f>INDEX(Albums!$A:$A, MATCH(C230,Albums!$C:$C,0))</f>
        <v>1</v>
      </c>
      <c r="B230">
        <f>INDEX(Albums!$B:$B, MATCH(C230,Albums!$C:$C,0))</f>
        <v>2021</v>
      </c>
      <c r="C230" t="s">
        <v>14</v>
      </c>
      <c r="D230">
        <v>7</v>
      </c>
      <c r="E230" t="s">
        <v>928</v>
      </c>
      <c r="F230" t="s">
        <v>23</v>
      </c>
      <c r="G230" s="28" t="s">
        <v>1075</v>
      </c>
      <c r="I230" t="s">
        <v>47</v>
      </c>
      <c r="J230">
        <v>69</v>
      </c>
      <c r="K230" s="11" t="s">
        <v>371</v>
      </c>
      <c r="L230" s="10">
        <v>7143863</v>
      </c>
      <c r="M230" s="4">
        <v>2019</v>
      </c>
      <c r="N230" t="s">
        <v>666</v>
      </c>
      <c r="O230" t="s">
        <v>1199</v>
      </c>
      <c r="P230" s="23" t="s">
        <v>1002</v>
      </c>
      <c r="Q230">
        <v>72</v>
      </c>
      <c r="R230" t="s">
        <v>47</v>
      </c>
      <c r="S230" t="s">
        <v>47</v>
      </c>
      <c r="U230" t="s">
        <v>478</v>
      </c>
      <c r="V230" t="str">
        <f>IF(AND(ISNUMBER(L230),COUNTIF([1]Songs!$L:$L,L230)&gt;0),"YES","")</f>
        <v/>
      </c>
      <c r="W230" t="e">
        <f>IF(AND(ISNUMBER(L230),COUNTIF([2]Songs!$J:$J,L230)&gt;0),"YES","")</f>
        <v>#VALUE!</v>
      </c>
      <c r="X230" t="e">
        <f>IF(AND(ISNUMBER(L230),COUNTIF([3]CcliCombined!$D:$D,L230)&gt;0),"YES","")</f>
        <v>#VALUE!</v>
      </c>
      <c r="Y230" t="e">
        <f>IF(AND(ISNUMBER(L230),COUNTIF([4]Songs!$H:$H,L230)&gt;0),"YES","")</f>
        <v>#VALUE!</v>
      </c>
      <c r="Z230" t="s">
        <v>630</v>
      </c>
      <c r="AB230">
        <v>229</v>
      </c>
      <c r="AD230" t="str">
        <f t="shared" si="6"/>
        <v xml:space="preserve">C </v>
      </c>
    </row>
    <row r="231" spans="1:32" x14ac:dyDescent="0.25">
      <c r="A231">
        <f>INDEX(Albums!$A:$A, MATCH(C231,Albums!$C:$C,0))</f>
        <v>1</v>
      </c>
      <c r="B231">
        <f>INDEX(Albums!$B:$B, MATCH(C231,Albums!$C:$C,0))</f>
        <v>2021</v>
      </c>
      <c r="C231" t="s">
        <v>14</v>
      </c>
      <c r="D231">
        <v>8</v>
      </c>
      <c r="E231" t="s">
        <v>554</v>
      </c>
      <c r="F231" t="s">
        <v>23</v>
      </c>
      <c r="G231" s="28" t="s">
        <v>1076</v>
      </c>
      <c r="I231" t="s">
        <v>78</v>
      </c>
      <c r="J231">
        <v>77</v>
      </c>
      <c r="K231" s="11" t="s">
        <v>371</v>
      </c>
      <c r="L231" s="10">
        <v>7149237</v>
      </c>
      <c r="M231" s="4">
        <v>2020</v>
      </c>
      <c r="N231" t="s">
        <v>1025</v>
      </c>
      <c r="O231" t="s">
        <v>1199</v>
      </c>
      <c r="P231" s="23" t="s">
        <v>1003</v>
      </c>
      <c r="Q231">
        <v>77</v>
      </c>
      <c r="R231" t="s">
        <v>39</v>
      </c>
      <c r="S231" t="s">
        <v>39</v>
      </c>
      <c r="U231" t="s">
        <v>478</v>
      </c>
      <c r="V231" t="str">
        <f>IF(AND(ISNUMBER(L231),COUNTIF([1]Songs!$L:$L,L231)&gt;0),"YES","")</f>
        <v/>
      </c>
      <c r="W231" t="e">
        <f>IF(AND(ISNUMBER(L231),COUNTIF([2]Songs!$J:$J,L231)&gt;0),"YES","")</f>
        <v>#VALUE!</v>
      </c>
      <c r="X231" t="e">
        <f>IF(AND(ISNUMBER(L231),COUNTIF([3]CcliCombined!$D:$D,L231)&gt;0),"YES","")</f>
        <v>#VALUE!</v>
      </c>
      <c r="Y231" t="e">
        <f>IF(AND(ISNUMBER(L231),COUNTIF([4]Songs!$H:$H,L231)&gt;0),"YES","")</f>
        <v>#VALUE!</v>
      </c>
      <c r="Z231" t="s">
        <v>630</v>
      </c>
      <c r="AB231">
        <v>230</v>
      </c>
      <c r="AD231" t="str">
        <f t="shared" si="6"/>
        <v>Eb  D</v>
      </c>
    </row>
    <row r="232" spans="1:32" x14ac:dyDescent="0.25">
      <c r="A232">
        <f>INDEX(Albums!$A:$A, MATCH(C232,Albums!$C:$C,0))</f>
        <v>1</v>
      </c>
      <c r="B232">
        <f>INDEX(Albums!$B:$B, MATCH(C232,Albums!$C:$C,0))</f>
        <v>2021</v>
      </c>
      <c r="C232" t="s">
        <v>14</v>
      </c>
      <c r="D232">
        <v>9</v>
      </c>
      <c r="E232" t="s">
        <v>929</v>
      </c>
      <c r="F232" t="s">
        <v>23</v>
      </c>
      <c r="G232" s="28" t="s">
        <v>1077</v>
      </c>
      <c r="I232" t="s">
        <v>25</v>
      </c>
      <c r="J232">
        <v>115</v>
      </c>
      <c r="K232" s="11" t="s">
        <v>371</v>
      </c>
      <c r="L232" s="10">
        <v>7122057</v>
      </c>
      <c r="M232" s="4">
        <v>2018</v>
      </c>
      <c r="N232" t="s">
        <v>1024</v>
      </c>
      <c r="O232" t="s">
        <v>1199</v>
      </c>
      <c r="P232" s="23" t="s">
        <v>1004</v>
      </c>
      <c r="Q232">
        <v>61</v>
      </c>
      <c r="R232" t="s">
        <v>176</v>
      </c>
      <c r="S232" t="s">
        <v>176</v>
      </c>
      <c r="U232" t="s">
        <v>478</v>
      </c>
      <c r="V232" t="str">
        <f>IF(AND(ISNUMBER(L232),COUNTIF([1]Songs!$L:$L,L232)&gt;0),"YES","")</f>
        <v/>
      </c>
      <c r="W232" t="e">
        <f>IF(AND(ISNUMBER(L232),COUNTIF([2]Songs!$J:$J,L232)&gt;0),"YES","")</f>
        <v>#VALUE!</v>
      </c>
      <c r="X232" t="e">
        <f>IF(AND(ISNUMBER(L232),COUNTIF([3]CcliCombined!$D:$D,L232)&gt;0),"YES","")</f>
        <v>#VALUE!</v>
      </c>
      <c r="Y232" t="e">
        <f>IF(AND(ISNUMBER(L232),COUNTIF([4]Songs!$H:$H,L232)&gt;0),"YES","")</f>
        <v>#VALUE!</v>
      </c>
      <c r="Z232" t="s">
        <v>630</v>
      </c>
      <c r="AB232">
        <v>231</v>
      </c>
      <c r="AD232" t="str">
        <f t="shared" si="6"/>
        <v>G  F</v>
      </c>
    </row>
    <row r="233" spans="1:32" x14ac:dyDescent="0.25">
      <c r="A233">
        <f>INDEX(Albums!$A:$A, MATCH(C233,Albums!$C:$C,0))</f>
        <v>1</v>
      </c>
      <c r="B233">
        <f>INDEX(Albums!$B:$B, MATCH(C233,Albums!$C:$C,0))</f>
        <v>2021</v>
      </c>
      <c r="C233" t="s">
        <v>14</v>
      </c>
      <c r="D233">
        <v>10</v>
      </c>
      <c r="E233" t="s">
        <v>930</v>
      </c>
      <c r="F233" t="s">
        <v>23</v>
      </c>
      <c r="G233" s="28" t="s">
        <v>1078</v>
      </c>
      <c r="I233" t="s">
        <v>67</v>
      </c>
      <c r="K233" s="11" t="s">
        <v>425</v>
      </c>
      <c r="L233" s="10">
        <v>7087303</v>
      </c>
      <c r="M233" s="4">
        <v>2017</v>
      </c>
      <c r="N233" t="s">
        <v>1023</v>
      </c>
      <c r="O233" t="s">
        <v>1199</v>
      </c>
      <c r="P233" s="23" t="s">
        <v>362</v>
      </c>
      <c r="Q233">
        <v>59</v>
      </c>
      <c r="R233" t="s">
        <v>67</v>
      </c>
      <c r="S233" t="s">
        <v>25</v>
      </c>
      <c r="U233" t="s">
        <v>478</v>
      </c>
      <c r="V233" t="str">
        <f>IF(AND(ISNUMBER(L233),COUNTIF([1]Songs!$L:$L,L233)&gt;0),"YES","")</f>
        <v/>
      </c>
      <c r="W233" t="e">
        <f>IF(AND(ISNUMBER(L233),COUNTIF([2]Songs!$J:$J,L233)&gt;0),"YES","")</f>
        <v>#VALUE!</v>
      </c>
      <c r="X233" t="e">
        <f>IF(AND(ISNUMBER(L233),COUNTIF([3]CcliCombined!$D:$D,L233)&gt;0),"YES","")</f>
        <v>#VALUE!</v>
      </c>
      <c r="Y233" t="e">
        <f>IF(AND(ISNUMBER(L233),COUNTIF([4]Songs!$H:$H,L233)&gt;0),"YES","")</f>
        <v>#VALUE!</v>
      </c>
      <c r="Z233" t="s">
        <v>630</v>
      </c>
      <c r="AB233">
        <v>232</v>
      </c>
      <c r="AD233" t="str">
        <f t="shared" si="6"/>
        <v>Ab  G</v>
      </c>
    </row>
    <row r="234" spans="1:32" x14ac:dyDescent="0.25">
      <c r="A234">
        <f>INDEX(Albums!$A:$A, MATCH(C234,Albums!$C:$C,0))</f>
        <v>2</v>
      </c>
      <c r="B234">
        <f>INDEX(Albums!$B:$B, MATCH(C234,Albums!$C:$C,0))</f>
        <v>2018</v>
      </c>
      <c r="C234" t="s">
        <v>15</v>
      </c>
      <c r="D234">
        <v>1</v>
      </c>
      <c r="E234" t="s">
        <v>480</v>
      </c>
      <c r="F234" t="s">
        <v>23</v>
      </c>
      <c r="G234" s="28" t="s">
        <v>808</v>
      </c>
      <c r="H234" s="3" t="s">
        <v>25</v>
      </c>
      <c r="I234" s="3" t="s">
        <v>25</v>
      </c>
      <c r="J234" s="4">
        <v>90</v>
      </c>
      <c r="K234" s="5" t="s">
        <v>371</v>
      </c>
      <c r="L234" s="10">
        <v>22609</v>
      </c>
      <c r="M234" s="4">
        <v>1882</v>
      </c>
      <c r="N234" s="6" t="s">
        <v>401</v>
      </c>
      <c r="O234" t="s">
        <v>1199</v>
      </c>
      <c r="P234" s="23" t="s">
        <v>70</v>
      </c>
      <c r="Q234">
        <v>102</v>
      </c>
      <c r="R234" t="s">
        <v>39</v>
      </c>
      <c r="S234" t="s">
        <v>23</v>
      </c>
      <c r="U234" t="s">
        <v>478</v>
      </c>
      <c r="V234" t="str">
        <f>IF(AND(ISNUMBER(L234),COUNTIF([1]Songs!$L:$L,L234)&gt;0),"YES","")</f>
        <v>YES</v>
      </c>
      <c r="W234" t="e">
        <f>IF(AND(ISNUMBER(L234),COUNTIF([2]Songs!$J:$J,L234)&gt;0),"YES","")</f>
        <v>#VALUE!</v>
      </c>
      <c r="X234" t="e">
        <f>IF(AND(ISNUMBER(L234),COUNTIF([3]CcliCombined!$D:$D,L234)&gt;0),"YES","")</f>
        <v>#VALUE!</v>
      </c>
      <c r="Y234" t="e">
        <f>IF(AND(ISNUMBER(L234),COUNTIF([4]Songs!$H:$H,L234)&gt;0),"YES","")</f>
        <v>#VALUE!</v>
      </c>
      <c r="Z234" t="s">
        <v>631</v>
      </c>
      <c r="AB234">
        <v>1</v>
      </c>
      <c r="AD234" t="str">
        <f t="shared" si="6"/>
        <v xml:space="preserve">G D </v>
      </c>
    </row>
    <row r="235" spans="1:32" x14ac:dyDescent="0.25">
      <c r="A235">
        <f>INDEX(Albums!$A:$A, MATCH(C235,Albums!$C:$C,0))</f>
        <v>2</v>
      </c>
      <c r="B235">
        <f>INDEX(Albums!$B:$B, MATCH(C235,Albums!$C:$C,0))</f>
        <v>2018</v>
      </c>
      <c r="C235" t="s">
        <v>15</v>
      </c>
      <c r="D235">
        <v>2</v>
      </c>
      <c r="E235" t="s">
        <v>481</v>
      </c>
      <c r="F235" t="s">
        <v>23</v>
      </c>
      <c r="G235" s="28" t="s">
        <v>719</v>
      </c>
      <c r="H235" s="3" t="s">
        <v>31</v>
      </c>
      <c r="I235" s="3" t="s">
        <v>28</v>
      </c>
      <c r="J235" s="4">
        <v>48</v>
      </c>
      <c r="K235" s="4" t="s">
        <v>371</v>
      </c>
      <c r="L235" s="9">
        <v>14181</v>
      </c>
      <c r="M235" s="4">
        <v>1953</v>
      </c>
      <c r="N235" s="4" t="s">
        <v>720</v>
      </c>
      <c r="O235" t="s">
        <v>1199</v>
      </c>
      <c r="P235" s="23" t="s">
        <v>70</v>
      </c>
      <c r="Q235">
        <v>58</v>
      </c>
      <c r="R235" t="s">
        <v>39</v>
      </c>
      <c r="S235" t="s">
        <v>23</v>
      </c>
      <c r="U235" t="s">
        <v>478</v>
      </c>
      <c r="V235" t="str">
        <f>IF(AND(ISNUMBER(L235),COUNTIF([1]Songs!$L:$L,L235)&gt;0),"YES","")</f>
        <v>YES</v>
      </c>
      <c r="W235" t="e">
        <f>IF(AND(ISNUMBER(L235),COUNTIF([2]Songs!$J:$J,L235)&gt;0),"YES","")</f>
        <v>#VALUE!</v>
      </c>
      <c r="X235" t="e">
        <f>IF(AND(ISNUMBER(L235),COUNTIF([3]CcliCombined!$D:$D,L235)&gt;0),"YES","")</f>
        <v>#VALUE!</v>
      </c>
      <c r="Y235" t="e">
        <f>IF(AND(ISNUMBER(L235),COUNTIF([4]Songs!$H:$H,L235)&gt;0),"YES","")</f>
        <v>#VALUE!</v>
      </c>
      <c r="Z235" t="s">
        <v>631</v>
      </c>
      <c r="AB235">
        <v>2</v>
      </c>
      <c r="AD235" t="str">
        <f t="shared" si="6"/>
        <v xml:space="preserve">Bb B D </v>
      </c>
    </row>
    <row r="236" spans="1:32" hidden="1" x14ac:dyDescent="0.25">
      <c r="A236">
        <f>INDEX(Albums!$A:$A, MATCH(C236,Albums!$C:$C,0))</f>
        <v>2</v>
      </c>
      <c r="B236">
        <f>INDEX(Albums!$B:$B, MATCH(C236,Albums!$C:$C,0))</f>
        <v>2018</v>
      </c>
      <c r="C236" t="s">
        <v>15</v>
      </c>
      <c r="D236">
        <v>3</v>
      </c>
      <c r="E236" t="s">
        <v>482</v>
      </c>
      <c r="F236" t="s">
        <v>23</v>
      </c>
      <c r="G236" s="28" t="s">
        <v>1104</v>
      </c>
      <c r="L236" s="10">
        <v>7121043</v>
      </c>
      <c r="M236" s="4">
        <v>2018</v>
      </c>
      <c r="N236" t="s">
        <v>1105</v>
      </c>
      <c r="P236" s="23" t="s">
        <v>70</v>
      </c>
      <c r="Q236">
        <v>72</v>
      </c>
      <c r="R236" t="s">
        <v>39</v>
      </c>
      <c r="S236" t="s">
        <v>23</v>
      </c>
      <c r="V236" t="str">
        <f>IF(AND(ISNUMBER(L236),COUNTIF([1]Songs!$L:$L,L236)&gt;0),"YES","")</f>
        <v/>
      </c>
      <c r="W236" t="e">
        <f>IF(AND(ISNUMBER(L236),COUNTIF([2]Songs!$J:$J,L236)&gt;0),"YES","")</f>
        <v>#VALUE!</v>
      </c>
      <c r="X236" t="e">
        <f>IF(AND(ISNUMBER(L236),COUNTIF([3]CcliCombined!$D:$D,L236)&gt;0),"YES","")</f>
        <v>#VALUE!</v>
      </c>
      <c r="Y236" t="e">
        <f>IF(AND(ISNUMBER(L236),COUNTIF([4]Songs!$H:$H,L236)&gt;0),"YES","")</f>
        <v>#VALUE!</v>
      </c>
      <c r="Z236" t="s">
        <v>631</v>
      </c>
      <c r="AA236" t="s">
        <v>1196</v>
      </c>
      <c r="AB236">
        <v>3</v>
      </c>
      <c r="AC236" t="s">
        <v>1032</v>
      </c>
      <c r="AD236" t="str">
        <f t="shared" si="6"/>
        <v xml:space="preserve"> D </v>
      </c>
      <c r="AF236" t="s">
        <v>1197</v>
      </c>
    </row>
    <row r="237" spans="1:32" hidden="1" x14ac:dyDescent="0.25">
      <c r="A237">
        <f>INDEX(Albums!$A:$A, MATCH(C237,Albums!$C:$C,0))</f>
        <v>2</v>
      </c>
      <c r="B237">
        <f>INDEX(Albums!$B:$B, MATCH(C237,Albums!$C:$C,0))</f>
        <v>2018</v>
      </c>
      <c r="C237" t="s">
        <v>15</v>
      </c>
      <c r="D237">
        <v>4</v>
      </c>
      <c r="E237" t="s">
        <v>40</v>
      </c>
      <c r="F237" t="s">
        <v>914</v>
      </c>
      <c r="G237" s="28" t="s">
        <v>1144</v>
      </c>
      <c r="I237" t="s">
        <v>39</v>
      </c>
      <c r="J237">
        <v>68</v>
      </c>
      <c r="K237" s="11" t="s">
        <v>380</v>
      </c>
      <c r="L237" s="10">
        <v>7029505</v>
      </c>
      <c r="M237" s="4">
        <v>2013</v>
      </c>
      <c r="N237" t="s">
        <v>1105</v>
      </c>
      <c r="P237" s="23" t="s">
        <v>70</v>
      </c>
      <c r="Q237">
        <v>65</v>
      </c>
      <c r="R237" t="s">
        <v>39</v>
      </c>
      <c r="S237" t="s">
        <v>23</v>
      </c>
      <c r="U237" t="s">
        <v>478</v>
      </c>
      <c r="V237" t="str">
        <f>IF(AND(ISNUMBER(L237),COUNTIF([1]Songs!$L:$L,L237)&gt;0),"YES","")</f>
        <v/>
      </c>
      <c r="W237" t="e">
        <f>IF(AND(ISNUMBER(L237),COUNTIF([2]Songs!$J:$J,L237)&gt;0),"YES","")</f>
        <v>#VALUE!</v>
      </c>
      <c r="X237" t="e">
        <f>IF(AND(ISNUMBER(L237),COUNTIF([3]CcliCombined!$D:$D,L237)&gt;0),"YES","")</f>
        <v>#VALUE!</v>
      </c>
      <c r="Y237" t="e">
        <f>IF(AND(ISNUMBER(L237),COUNTIF([4]Songs!$H:$H,L237)&gt;0),"YES","")</f>
        <v>#VALUE!</v>
      </c>
      <c r="Z237" t="s">
        <v>631</v>
      </c>
      <c r="AA237" t="s">
        <v>1196</v>
      </c>
      <c r="AB237">
        <v>4</v>
      </c>
      <c r="AD237" t="str">
        <f t="shared" si="6"/>
        <v xml:space="preserve">D  </v>
      </c>
      <c r="AF237" t="s">
        <v>1197</v>
      </c>
    </row>
    <row r="238" spans="1:32" x14ac:dyDescent="0.25">
      <c r="A238">
        <f>INDEX(Albums!$A:$A, MATCH(C238,Albums!$C:$C,0))</f>
        <v>2</v>
      </c>
      <c r="B238">
        <f>INDEX(Albums!$B:$B, MATCH(C238,Albums!$C:$C,0))</f>
        <v>2018</v>
      </c>
      <c r="C238" t="s">
        <v>15</v>
      </c>
      <c r="D238">
        <v>5</v>
      </c>
      <c r="E238" t="s">
        <v>483</v>
      </c>
      <c r="F238" t="s">
        <v>23</v>
      </c>
      <c r="G238" s="28" t="s">
        <v>757</v>
      </c>
      <c r="H238" s="3" t="s">
        <v>52</v>
      </c>
      <c r="I238" s="3" t="s">
        <v>52</v>
      </c>
      <c r="J238" s="4">
        <v>69</v>
      </c>
      <c r="K238" s="5" t="s">
        <v>371</v>
      </c>
      <c r="L238" s="10">
        <v>7063694</v>
      </c>
      <c r="M238" s="4">
        <v>2016</v>
      </c>
      <c r="N238" s="4" t="s">
        <v>436</v>
      </c>
      <c r="O238" t="s">
        <v>1199</v>
      </c>
      <c r="P238" s="23" t="s">
        <v>885</v>
      </c>
      <c r="Q238">
        <v>66</v>
      </c>
      <c r="R238" t="s">
        <v>47</v>
      </c>
      <c r="S238" t="s">
        <v>23</v>
      </c>
      <c r="U238" t="s">
        <v>478</v>
      </c>
      <c r="V238" t="str">
        <f>IF(AND(ISNUMBER(L238),COUNTIF([1]Songs!$L:$L,L238)&gt;0),"YES","")</f>
        <v>YES</v>
      </c>
      <c r="W238" t="e">
        <f>IF(AND(ISNUMBER(L238),COUNTIF([2]Songs!$J:$J,L238)&gt;0),"YES","")</f>
        <v>#VALUE!</v>
      </c>
      <c r="X238" t="e">
        <f>IF(AND(ISNUMBER(L238),COUNTIF([3]CcliCombined!$D:$D,L238)&gt;0),"YES","")</f>
        <v>#VALUE!</v>
      </c>
      <c r="Y238" t="e">
        <f>IF(AND(ISNUMBER(L238),COUNTIF([4]Songs!$H:$H,L238)&gt;0),"YES","")</f>
        <v>#VALUE!</v>
      </c>
      <c r="Z238" t="s">
        <v>631</v>
      </c>
      <c r="AB238">
        <v>5</v>
      </c>
      <c r="AD238" t="str">
        <f t="shared" si="6"/>
        <v xml:space="preserve">A C </v>
      </c>
    </row>
    <row r="239" spans="1:32" hidden="1" x14ac:dyDescent="0.25">
      <c r="A239">
        <f>INDEX(Albums!$A:$A, MATCH(C239,Albums!$C:$C,0))</f>
        <v>2</v>
      </c>
      <c r="B239">
        <f>INDEX(Albums!$B:$B, MATCH(C239,Albums!$C:$C,0))</f>
        <v>2018</v>
      </c>
      <c r="C239" t="s">
        <v>15</v>
      </c>
      <c r="D239">
        <v>6</v>
      </c>
      <c r="E239" t="s">
        <v>915</v>
      </c>
      <c r="F239" t="s">
        <v>916</v>
      </c>
      <c r="G239" s="28" t="s">
        <v>1130</v>
      </c>
      <c r="L239" s="10">
        <v>7118356</v>
      </c>
      <c r="M239" s="4">
        <v>2018</v>
      </c>
      <c r="N239" t="s">
        <v>1084</v>
      </c>
      <c r="P239" s="23" t="s">
        <v>70</v>
      </c>
      <c r="Q239">
        <v>73</v>
      </c>
      <c r="R239" t="s">
        <v>47</v>
      </c>
      <c r="S239" t="s">
        <v>23</v>
      </c>
      <c r="V239" t="str">
        <f>IF(AND(ISNUMBER(L239),COUNTIF([1]Songs!$L:$L,L239)&gt;0),"YES","")</f>
        <v/>
      </c>
      <c r="W239" t="e">
        <f>IF(AND(ISNUMBER(L239),COUNTIF([2]Songs!$J:$J,L239)&gt;0),"YES","")</f>
        <v>#VALUE!</v>
      </c>
      <c r="X239" t="e">
        <f>IF(AND(ISNUMBER(L239),COUNTIF([3]CcliCombined!$D:$D,L239)&gt;0),"YES","")</f>
        <v>#VALUE!</v>
      </c>
      <c r="Y239" t="e">
        <f>IF(AND(ISNUMBER(L239),COUNTIF([4]Songs!$H:$H,L239)&gt;0),"YES","")</f>
        <v>#VALUE!</v>
      </c>
      <c r="Z239" t="s">
        <v>631</v>
      </c>
      <c r="AA239" t="s">
        <v>1196</v>
      </c>
      <c r="AB239">
        <v>6</v>
      </c>
      <c r="AC239" t="s">
        <v>1032</v>
      </c>
      <c r="AD239" t="str">
        <f t="shared" si="6"/>
        <v xml:space="preserve"> C </v>
      </c>
      <c r="AF239" t="s">
        <v>1197</v>
      </c>
    </row>
    <row r="240" spans="1:32" x14ac:dyDescent="0.25">
      <c r="A240">
        <f>INDEX(Albums!$A:$A, MATCH(C240,Albums!$C:$C,0))</f>
        <v>2</v>
      </c>
      <c r="B240">
        <f>INDEX(Albums!$B:$B, MATCH(C240,Albums!$C:$C,0))</f>
        <v>2018</v>
      </c>
      <c r="C240" t="s">
        <v>15</v>
      </c>
      <c r="D240">
        <v>7</v>
      </c>
      <c r="E240" t="s">
        <v>484</v>
      </c>
      <c r="F240" t="s">
        <v>23</v>
      </c>
      <c r="G240" s="28" t="s">
        <v>1179</v>
      </c>
      <c r="I240" t="s">
        <v>25</v>
      </c>
      <c r="J240">
        <v>66</v>
      </c>
      <c r="K240" s="11" t="s">
        <v>1006</v>
      </c>
      <c r="L240" s="10">
        <v>7016161</v>
      </c>
      <c r="M240" s="4">
        <v>2013</v>
      </c>
      <c r="N240" t="s">
        <v>1007</v>
      </c>
      <c r="O240" t="s">
        <v>1199</v>
      </c>
      <c r="P240" s="23" t="s">
        <v>885</v>
      </c>
      <c r="Q240">
        <v>58</v>
      </c>
      <c r="R240" t="s">
        <v>47</v>
      </c>
      <c r="S240" t="s">
        <v>23</v>
      </c>
      <c r="U240" t="s">
        <v>478</v>
      </c>
      <c r="V240" t="str">
        <f>IF(AND(ISNUMBER(L240),COUNTIF([1]Songs!$L:$L,L240)&gt;0),"YES","")</f>
        <v/>
      </c>
      <c r="W240" t="e">
        <f>IF(AND(ISNUMBER(L240),COUNTIF([2]Songs!$J:$J,L240)&gt;0),"YES","")</f>
        <v>#VALUE!</v>
      </c>
      <c r="X240" t="e">
        <f>IF(AND(ISNUMBER(L240),COUNTIF([3]CcliCombined!$D:$D,L240)&gt;0),"YES","")</f>
        <v>#VALUE!</v>
      </c>
      <c r="Y240" t="e">
        <f>IF(AND(ISNUMBER(L240),COUNTIF([4]Songs!$H:$H,L240)&gt;0),"YES","")</f>
        <v>#VALUE!</v>
      </c>
      <c r="Z240" t="s">
        <v>631</v>
      </c>
      <c r="AB240">
        <v>7</v>
      </c>
      <c r="AD240" t="str">
        <f t="shared" si="6"/>
        <v xml:space="preserve">G  C </v>
      </c>
    </row>
    <row r="241" spans="1:32" x14ac:dyDescent="0.25">
      <c r="A241">
        <f>INDEX(Albums!$A:$A, MATCH(C241,Albums!$C:$C,0))</f>
        <v>2</v>
      </c>
      <c r="B241">
        <f>INDEX(Albums!$B:$B, MATCH(C241,Albums!$C:$C,0))</f>
        <v>2018</v>
      </c>
      <c r="C241" t="s">
        <v>15</v>
      </c>
      <c r="D241">
        <v>8</v>
      </c>
      <c r="E241" t="s">
        <v>485</v>
      </c>
      <c r="F241" t="s">
        <v>23</v>
      </c>
      <c r="G241" s="28" t="s">
        <v>1180</v>
      </c>
      <c r="I241" t="s">
        <v>47</v>
      </c>
      <c r="J241">
        <v>65</v>
      </c>
      <c r="K241" s="11" t="s">
        <v>380</v>
      </c>
      <c r="L241" s="10">
        <v>7024758</v>
      </c>
      <c r="M241" s="4">
        <v>2014</v>
      </c>
      <c r="N241" t="s">
        <v>1007</v>
      </c>
      <c r="O241" t="s">
        <v>1199</v>
      </c>
      <c r="P241" s="23" t="s">
        <v>885</v>
      </c>
      <c r="Q241">
        <v>62</v>
      </c>
      <c r="R241" t="s">
        <v>36</v>
      </c>
      <c r="S241" t="s">
        <v>23</v>
      </c>
      <c r="U241" t="s">
        <v>478</v>
      </c>
      <c r="V241" t="str">
        <f>IF(AND(ISNUMBER(L241),COUNTIF([1]Songs!$L:$L,L241)&gt;0),"YES","")</f>
        <v/>
      </c>
      <c r="W241" t="e">
        <f>IF(AND(ISNUMBER(L241),COUNTIF([2]Songs!$J:$J,L241)&gt;0),"YES","")</f>
        <v>#VALUE!</v>
      </c>
      <c r="X241" t="e">
        <f>IF(AND(ISNUMBER(L241),COUNTIF([3]CcliCombined!$D:$D,L241)&gt;0),"YES","")</f>
        <v>#VALUE!</v>
      </c>
      <c r="Y241" t="e">
        <f>IF(AND(ISNUMBER(L241),COUNTIF([4]Songs!$H:$H,L241)&gt;0),"YES","")</f>
        <v>#VALUE!</v>
      </c>
      <c r="Z241" t="s">
        <v>631</v>
      </c>
      <c r="AB241">
        <v>8</v>
      </c>
      <c r="AD241" t="str">
        <f t="shared" si="6"/>
        <v xml:space="preserve">C  E </v>
      </c>
    </row>
    <row r="242" spans="1:32" hidden="1" x14ac:dyDescent="0.25">
      <c r="A242">
        <f>INDEX(Albums!$A:$A, MATCH(C242,Albums!$C:$C,0))</f>
        <v>2</v>
      </c>
      <c r="B242">
        <f>INDEX(Albums!$B:$B, MATCH(C242,Albums!$C:$C,0))</f>
        <v>2018</v>
      </c>
      <c r="C242" t="s">
        <v>15</v>
      </c>
      <c r="D242">
        <v>9</v>
      </c>
      <c r="E242" t="s">
        <v>34</v>
      </c>
      <c r="F242" t="s">
        <v>23</v>
      </c>
      <c r="G242" s="28" t="s">
        <v>379</v>
      </c>
      <c r="H242" s="3" t="s">
        <v>39</v>
      </c>
      <c r="I242" s="3" t="s">
        <v>39</v>
      </c>
      <c r="J242" s="4">
        <v>60</v>
      </c>
      <c r="K242" s="5" t="s">
        <v>380</v>
      </c>
      <c r="L242" s="10">
        <v>3350395</v>
      </c>
      <c r="M242" s="4">
        <v>2001</v>
      </c>
      <c r="N242" s="4" t="s">
        <v>381</v>
      </c>
      <c r="P242" s="23" t="s">
        <v>886</v>
      </c>
      <c r="Q242">
        <v>61</v>
      </c>
      <c r="R242" t="s">
        <v>36</v>
      </c>
      <c r="S242" t="s">
        <v>23</v>
      </c>
      <c r="U242" t="s">
        <v>478</v>
      </c>
      <c r="V242" t="str">
        <f>IF(AND(ISNUMBER(L242),COUNTIF([1]Songs!$L:$L,L242)&gt;0),"YES","")</f>
        <v>YES</v>
      </c>
      <c r="W242" t="e">
        <f>IF(AND(ISNUMBER(L242),COUNTIF([2]Songs!$J:$J,L242)&gt;0),"YES","")</f>
        <v>#VALUE!</v>
      </c>
      <c r="X242" t="e">
        <f>IF(AND(ISNUMBER(L242),COUNTIF([3]CcliCombined!$D:$D,L242)&gt;0),"YES","")</f>
        <v>#VALUE!</v>
      </c>
      <c r="Y242" t="e">
        <f>IF(AND(ISNUMBER(L242),COUNTIF([4]Songs!$H:$H,L242)&gt;0),"YES","")</f>
        <v>#VALUE!</v>
      </c>
      <c r="Z242" t="s">
        <v>631</v>
      </c>
      <c r="AB242">
        <v>9</v>
      </c>
      <c r="AD242" t="str">
        <f t="shared" si="6"/>
        <v xml:space="preserve">D E </v>
      </c>
      <c r="AF242" t="s">
        <v>1197</v>
      </c>
    </row>
    <row r="243" spans="1:32" x14ac:dyDescent="0.25">
      <c r="A243">
        <f>INDEX(Albums!$A:$A, MATCH(C243,Albums!$C:$C,0))</f>
        <v>2</v>
      </c>
      <c r="B243">
        <f>INDEX(Albums!$B:$B, MATCH(C243,Albums!$C:$C,0))</f>
        <v>2018</v>
      </c>
      <c r="C243" t="s">
        <v>15</v>
      </c>
      <c r="D243">
        <v>10</v>
      </c>
      <c r="E243" t="s">
        <v>798</v>
      </c>
      <c r="F243" t="s">
        <v>917</v>
      </c>
      <c r="G243" s="28" t="s">
        <v>1131</v>
      </c>
      <c r="I243" t="s">
        <v>28</v>
      </c>
      <c r="J243">
        <v>92</v>
      </c>
      <c r="K243" s="11" t="s">
        <v>371</v>
      </c>
      <c r="L243" s="10">
        <v>27707</v>
      </c>
      <c r="M243" s="4">
        <v>1772</v>
      </c>
      <c r="N243" s="6" t="s">
        <v>401</v>
      </c>
      <c r="O243" t="s">
        <v>1199</v>
      </c>
      <c r="P243" s="23" t="s">
        <v>70</v>
      </c>
      <c r="Q243">
        <v>63</v>
      </c>
      <c r="R243" t="s">
        <v>31</v>
      </c>
      <c r="S243" t="s">
        <v>23</v>
      </c>
      <c r="U243" t="s">
        <v>478</v>
      </c>
      <c r="V243" t="str">
        <f>IF(AND(ISNUMBER(L243),COUNTIF([1]Songs!$L:$L,L243)&gt;0),"YES","")</f>
        <v>YES</v>
      </c>
      <c r="W243" t="e">
        <f>IF(AND(ISNUMBER(L243),COUNTIF([2]Songs!$J:$J,L243)&gt;0),"YES","")</f>
        <v>#VALUE!</v>
      </c>
      <c r="X243" t="e">
        <f>IF(AND(ISNUMBER(L243),COUNTIF([3]CcliCombined!$D:$D,L243)&gt;0),"YES","")</f>
        <v>#VALUE!</v>
      </c>
      <c r="Z243" t="s">
        <v>631</v>
      </c>
      <c r="AA243" t="s">
        <v>1196</v>
      </c>
      <c r="AB243">
        <v>10</v>
      </c>
      <c r="AD243" t="str">
        <f t="shared" si="6"/>
        <v xml:space="preserve">Bb  B </v>
      </c>
      <c r="AE243">
        <v>7125088</v>
      </c>
    </row>
    <row r="244" spans="1:32" x14ac:dyDescent="0.25">
      <c r="A244">
        <f>INDEX(Albums!$A:$A, MATCH(C244,Albums!$C:$C,0))</f>
        <v>2</v>
      </c>
      <c r="B244">
        <f>INDEX(Albums!$B:$B, MATCH(C244,Albums!$C:$C,0))</f>
        <v>2018</v>
      </c>
      <c r="C244" t="s">
        <v>16</v>
      </c>
      <c r="D244">
        <v>1</v>
      </c>
      <c r="E244" t="s">
        <v>655</v>
      </c>
      <c r="F244" t="s">
        <v>918</v>
      </c>
      <c r="G244" s="28" t="s">
        <v>1181</v>
      </c>
      <c r="I244" t="s">
        <v>39</v>
      </c>
      <c r="J244">
        <v>90</v>
      </c>
      <c r="K244" s="11" t="s">
        <v>380</v>
      </c>
      <c r="L244" s="10">
        <v>7056332</v>
      </c>
      <c r="M244" s="4">
        <v>1912</v>
      </c>
      <c r="N244" s="6" t="s">
        <v>401</v>
      </c>
      <c r="O244" t="s">
        <v>1199</v>
      </c>
      <c r="P244" s="23" t="s">
        <v>70</v>
      </c>
      <c r="Q244">
        <v>71</v>
      </c>
      <c r="R244" t="s">
        <v>78</v>
      </c>
      <c r="S244" t="s">
        <v>23</v>
      </c>
      <c r="U244" t="s">
        <v>478</v>
      </c>
      <c r="V244" t="str">
        <f>IF(AND(ISNUMBER(L244),COUNTIF([1]Songs!$L:$L,L244)&gt;0),"YES","")</f>
        <v/>
      </c>
      <c r="W244" t="e">
        <f>IF(AND(ISNUMBER(L244),COUNTIF([2]Songs!$J:$J,L244)&gt;0),"YES","")</f>
        <v>#VALUE!</v>
      </c>
      <c r="X244" t="e">
        <f>IF(AND(ISNUMBER(L244),COUNTIF([3]CcliCombined!$D:$D,L244)&gt;0),"YES","")</f>
        <v>#VALUE!</v>
      </c>
      <c r="Y244" t="e">
        <f>IF(AND(ISNUMBER(L244),COUNTIF([4]Songs!$H:$H,L244)&gt;0),"YES","")</f>
        <v>#VALUE!</v>
      </c>
      <c r="Z244" t="s">
        <v>631</v>
      </c>
      <c r="AB244">
        <v>11</v>
      </c>
      <c r="AD244" t="str">
        <f t="shared" si="6"/>
        <v xml:space="preserve">D  Eb </v>
      </c>
    </row>
    <row r="245" spans="1:32" x14ac:dyDescent="0.25">
      <c r="A245">
        <f>INDEX(Albums!$A:$A, MATCH(C245,Albums!$C:$C,0))</f>
        <v>2</v>
      </c>
      <c r="B245">
        <f>INDEX(Albums!$B:$B, MATCH(C245,Albums!$C:$C,0))</f>
        <v>2018</v>
      </c>
      <c r="C245" t="s">
        <v>16</v>
      </c>
      <c r="D245">
        <v>2</v>
      </c>
      <c r="E245" t="s">
        <v>919</v>
      </c>
      <c r="F245" t="s">
        <v>144</v>
      </c>
      <c r="G245" s="28" t="s">
        <v>1132</v>
      </c>
      <c r="I245" t="s">
        <v>176</v>
      </c>
      <c r="J245">
        <v>110</v>
      </c>
      <c r="K245" s="11" t="s">
        <v>380</v>
      </c>
      <c r="L245" s="10">
        <v>15960</v>
      </c>
      <c r="M245" s="4">
        <v>1922</v>
      </c>
      <c r="N245" s="6" t="s">
        <v>401</v>
      </c>
      <c r="O245" t="s">
        <v>1199</v>
      </c>
      <c r="P245" s="23" t="s">
        <v>23</v>
      </c>
      <c r="Q245">
        <v>74</v>
      </c>
      <c r="R245" t="s">
        <v>28</v>
      </c>
      <c r="S245" t="s">
        <v>23</v>
      </c>
      <c r="U245" t="s">
        <v>478</v>
      </c>
      <c r="V245" t="str">
        <f>IF(AND(ISNUMBER(L245),COUNTIF([1]Songs!$L:$L,L245)&gt;0),"YES","")</f>
        <v/>
      </c>
      <c r="W245" t="e">
        <f>IF(AND(ISNUMBER(L245),COUNTIF([2]Songs!$J:$J,L245)&gt;0),"YES","")</f>
        <v>#VALUE!</v>
      </c>
      <c r="X245" t="e">
        <f>IF(AND(ISNUMBER(L245),COUNTIF([3]CcliCombined!$D:$D,L245)&gt;0),"YES","")</f>
        <v>#VALUE!</v>
      </c>
      <c r="Y245" t="e">
        <f>IF(AND(ISNUMBER(L245),COUNTIF([4]Songs!$H:$H,L245)&gt;0),"YES","")</f>
        <v>#VALUE!</v>
      </c>
      <c r="Z245" t="s">
        <v>631</v>
      </c>
      <c r="AB245">
        <v>12</v>
      </c>
      <c r="AD245" t="str">
        <f t="shared" si="6"/>
        <v xml:space="preserve">F  Bb </v>
      </c>
    </row>
    <row r="246" spans="1:32" x14ac:dyDescent="0.25">
      <c r="A246">
        <f>INDEX(Albums!$A:$A, MATCH(C246,Albums!$C:$C,0))</f>
        <v>2</v>
      </c>
      <c r="B246">
        <f>INDEX(Albums!$B:$B, MATCH(C246,Albums!$C:$C,0))</f>
        <v>2018</v>
      </c>
      <c r="C246" t="s">
        <v>16</v>
      </c>
      <c r="D246">
        <v>3</v>
      </c>
      <c r="E246" t="s">
        <v>486</v>
      </c>
      <c r="F246" t="s">
        <v>23</v>
      </c>
      <c r="G246" s="28" t="s">
        <v>1133</v>
      </c>
      <c r="I246" t="s">
        <v>176</v>
      </c>
      <c r="J246">
        <v>80</v>
      </c>
      <c r="K246" s="11" t="s">
        <v>371</v>
      </c>
      <c r="L246" s="10">
        <v>27817</v>
      </c>
      <c r="M246" s="4">
        <v>1864</v>
      </c>
      <c r="N246" s="6" t="s">
        <v>401</v>
      </c>
      <c r="O246" t="s">
        <v>1199</v>
      </c>
      <c r="P246" s="23" t="s">
        <v>23</v>
      </c>
      <c r="Q246">
        <v>68</v>
      </c>
      <c r="R246" t="s">
        <v>28</v>
      </c>
      <c r="S246" t="s">
        <v>23</v>
      </c>
      <c r="U246" t="s">
        <v>478</v>
      </c>
      <c r="V246" t="str">
        <f>IF(AND(ISNUMBER(L246),COUNTIF([1]Songs!$L:$L,L246)&gt;0),"YES","")</f>
        <v/>
      </c>
      <c r="W246" t="e">
        <f>IF(AND(ISNUMBER(L246),COUNTIF([2]Songs!$J:$J,L246)&gt;0),"YES","")</f>
        <v>#VALUE!</v>
      </c>
      <c r="X246" t="e">
        <f>IF(AND(ISNUMBER(L246),COUNTIF([3]CcliCombined!$D:$D,L246)&gt;0),"YES","")</f>
        <v>#VALUE!</v>
      </c>
      <c r="Y246" t="e">
        <f>IF(AND(ISNUMBER(L246),COUNTIF([4]Songs!$H:$H,L246)&gt;0),"YES","")</f>
        <v>#VALUE!</v>
      </c>
      <c r="Z246" t="s">
        <v>631</v>
      </c>
      <c r="AB246">
        <v>13</v>
      </c>
      <c r="AD246" t="str">
        <f t="shared" si="6"/>
        <v xml:space="preserve">F  Bb </v>
      </c>
    </row>
    <row r="247" spans="1:32" x14ac:dyDescent="0.25">
      <c r="A247">
        <f>INDEX(Albums!$A:$A, MATCH(C247,Albums!$C:$C,0))</f>
        <v>2</v>
      </c>
      <c r="B247">
        <f>INDEX(Albums!$B:$B, MATCH(C247,Albums!$C:$C,0))</f>
        <v>2018</v>
      </c>
      <c r="C247" t="s">
        <v>16</v>
      </c>
      <c r="D247">
        <v>4</v>
      </c>
      <c r="E247" t="s">
        <v>920</v>
      </c>
      <c r="F247" t="s">
        <v>892</v>
      </c>
      <c r="G247" s="28" t="s">
        <v>1134</v>
      </c>
      <c r="I247" t="s">
        <v>25</v>
      </c>
      <c r="J247">
        <v>112</v>
      </c>
      <c r="K247" s="11" t="s">
        <v>380</v>
      </c>
      <c r="L247" s="10">
        <v>43073</v>
      </c>
      <c r="M247" s="4">
        <v>1680</v>
      </c>
      <c r="N247" s="6" t="s">
        <v>401</v>
      </c>
      <c r="O247" t="s">
        <v>1199</v>
      </c>
      <c r="P247" s="23" t="s">
        <v>23</v>
      </c>
      <c r="Q247">
        <v>68</v>
      </c>
      <c r="R247" t="s">
        <v>28</v>
      </c>
      <c r="S247" t="s">
        <v>23</v>
      </c>
      <c r="U247" t="s">
        <v>478</v>
      </c>
      <c r="V247" t="str">
        <f>IF(AND(ISNUMBER(L247),COUNTIF([1]Songs!$L:$L,L247)&gt;0),"YES","")</f>
        <v/>
      </c>
      <c r="W247" t="e">
        <f>IF(AND(ISNUMBER(L247),COUNTIF([2]Songs!$J:$J,L247)&gt;0),"YES","")</f>
        <v>#VALUE!</v>
      </c>
      <c r="X247" t="e">
        <f>IF(AND(ISNUMBER(L247),COUNTIF([3]CcliCombined!$D:$D,L247)&gt;0),"YES","")</f>
        <v>#VALUE!</v>
      </c>
      <c r="Y247" t="e">
        <f>IF(AND(ISNUMBER(L247),COUNTIF([4]Songs!$H:$H,L247)&gt;0),"YES","")</f>
        <v>#VALUE!</v>
      </c>
      <c r="Z247" t="s">
        <v>631</v>
      </c>
      <c r="AB247">
        <v>14</v>
      </c>
      <c r="AD247" t="str">
        <f t="shared" si="6"/>
        <v xml:space="preserve">G  Bb </v>
      </c>
    </row>
    <row r="248" spans="1:32" hidden="1" x14ac:dyDescent="0.25">
      <c r="A248">
        <f>INDEX(Albums!$A:$A, MATCH(C248,Albums!$C:$C,0))</f>
        <v>2</v>
      </c>
      <c r="B248">
        <f>INDEX(Albums!$B:$B, MATCH(C248,Albums!$C:$C,0))</f>
        <v>2018</v>
      </c>
      <c r="C248" t="s">
        <v>16</v>
      </c>
      <c r="D248">
        <v>5</v>
      </c>
      <c r="E248" t="s">
        <v>487</v>
      </c>
      <c r="F248" t="s">
        <v>23</v>
      </c>
      <c r="G248" s="28" t="s">
        <v>1135</v>
      </c>
      <c r="L248" s="10">
        <v>7128814</v>
      </c>
      <c r="M248" s="4">
        <v>2019</v>
      </c>
      <c r="N248" s="6" t="s">
        <v>1105</v>
      </c>
      <c r="P248" s="23" t="s">
        <v>70</v>
      </c>
      <c r="Q248">
        <v>71</v>
      </c>
      <c r="R248" t="s">
        <v>47</v>
      </c>
      <c r="S248" t="s">
        <v>23</v>
      </c>
      <c r="V248" t="str">
        <f>IF(AND(ISNUMBER(L248),COUNTIF([1]Songs!$L:$L,L248)&gt;0),"YES","")</f>
        <v/>
      </c>
      <c r="W248" t="e">
        <f>IF(AND(ISNUMBER(L248),COUNTIF([2]Songs!$J:$J,L248)&gt;0),"YES","")</f>
        <v>#VALUE!</v>
      </c>
      <c r="X248" t="e">
        <f>IF(AND(ISNUMBER(L248),COUNTIF([3]CcliCombined!$D:$D,L248)&gt;0),"YES","")</f>
        <v>#VALUE!</v>
      </c>
      <c r="Y248" t="e">
        <f>IF(AND(ISNUMBER(L248),COUNTIF([4]Songs!$H:$H,L248)&gt;0),"YES","")</f>
        <v>#VALUE!</v>
      </c>
      <c r="Z248" t="s">
        <v>631</v>
      </c>
      <c r="AA248" t="s">
        <v>1196</v>
      </c>
      <c r="AB248">
        <v>15</v>
      </c>
      <c r="AC248" t="s">
        <v>1032</v>
      </c>
      <c r="AD248" t="str">
        <f t="shared" si="6"/>
        <v xml:space="preserve"> C </v>
      </c>
      <c r="AF248" t="s">
        <v>1197</v>
      </c>
    </row>
    <row r="249" spans="1:32" x14ac:dyDescent="0.25">
      <c r="A249">
        <f>INDEX(Albums!$A:$A, MATCH(C249,Albums!$C:$C,0))</f>
        <v>2</v>
      </c>
      <c r="B249">
        <f>INDEX(Albums!$B:$B, MATCH(C249,Albums!$C:$C,0))</f>
        <v>2018</v>
      </c>
      <c r="C249" t="s">
        <v>16</v>
      </c>
      <c r="D249">
        <v>6</v>
      </c>
      <c r="E249" t="s">
        <v>488</v>
      </c>
      <c r="F249" t="s">
        <v>23</v>
      </c>
      <c r="G249" s="28" t="s">
        <v>379</v>
      </c>
      <c r="H249" s="3" t="s">
        <v>52</v>
      </c>
      <c r="I249" s="3" t="s">
        <v>52</v>
      </c>
      <c r="J249" s="4">
        <v>68</v>
      </c>
      <c r="K249" s="5" t="s">
        <v>371</v>
      </c>
      <c r="L249" s="9">
        <v>4490766</v>
      </c>
      <c r="M249" s="4">
        <v>2005</v>
      </c>
      <c r="N249" s="6" t="s">
        <v>381</v>
      </c>
      <c r="O249" t="s">
        <v>1199</v>
      </c>
      <c r="P249" s="23" t="s">
        <v>887</v>
      </c>
      <c r="Q249">
        <v>57</v>
      </c>
      <c r="R249" t="s">
        <v>176</v>
      </c>
      <c r="S249" t="s">
        <v>23</v>
      </c>
      <c r="U249" t="s">
        <v>478</v>
      </c>
      <c r="V249" t="str">
        <f>IF(AND(ISNUMBER(L249),COUNTIF([1]Songs!$L:$L,L249)&gt;0),"YES","")</f>
        <v>YES</v>
      </c>
      <c r="W249" t="e">
        <f>IF(AND(ISNUMBER(L249),COUNTIF([2]Songs!$J:$J,L249)&gt;0),"YES","")</f>
        <v>#VALUE!</v>
      </c>
      <c r="X249" t="e">
        <f>IF(AND(ISNUMBER(L249),COUNTIF([3]CcliCombined!$D:$D,L249)&gt;0),"YES","")</f>
        <v>#VALUE!</v>
      </c>
      <c r="Y249" t="e">
        <f>IF(AND(ISNUMBER(L249),COUNTIF([4]Songs!$H:$H,L249)&gt;0),"YES","")</f>
        <v>#VALUE!</v>
      </c>
      <c r="Z249" t="s">
        <v>631</v>
      </c>
      <c r="AB249">
        <v>16</v>
      </c>
      <c r="AD249" t="str">
        <f t="shared" si="6"/>
        <v xml:space="preserve">A F </v>
      </c>
    </row>
    <row r="250" spans="1:32" x14ac:dyDescent="0.25">
      <c r="A250">
        <f>INDEX(Albums!$A:$A, MATCH(C250,Albums!$C:$C,0))</f>
        <v>2</v>
      </c>
      <c r="B250">
        <f>INDEX(Albums!$B:$B, MATCH(C250,Albums!$C:$C,0))</f>
        <v>2018</v>
      </c>
      <c r="C250" t="s">
        <v>16</v>
      </c>
      <c r="D250">
        <v>7</v>
      </c>
      <c r="E250" t="s">
        <v>489</v>
      </c>
      <c r="F250" t="s">
        <v>23</v>
      </c>
      <c r="G250" s="28" t="s">
        <v>1182</v>
      </c>
      <c r="I250" t="s">
        <v>176</v>
      </c>
      <c r="J250">
        <v>77</v>
      </c>
      <c r="K250" s="11" t="s">
        <v>380</v>
      </c>
      <c r="L250" s="10">
        <v>7026028</v>
      </c>
      <c r="M250" s="4">
        <v>2012</v>
      </c>
      <c r="N250" s="6" t="s">
        <v>1136</v>
      </c>
      <c r="O250" t="s">
        <v>1199</v>
      </c>
      <c r="P250" s="23" t="s">
        <v>888</v>
      </c>
      <c r="Q250">
        <v>68</v>
      </c>
      <c r="R250" t="s">
        <v>31</v>
      </c>
      <c r="S250" t="s">
        <v>23</v>
      </c>
      <c r="U250" t="s">
        <v>478</v>
      </c>
      <c r="V250" t="str">
        <f>IF(AND(ISNUMBER(L250),COUNTIF([1]Songs!$L:$L,L250)&gt;0),"YES","")</f>
        <v/>
      </c>
      <c r="W250" t="e">
        <f>IF(AND(ISNUMBER(L250),COUNTIF([2]Songs!$J:$J,L250)&gt;0),"YES","")</f>
        <v>#VALUE!</v>
      </c>
      <c r="X250" t="e">
        <f>IF(AND(ISNUMBER(L250),COUNTIF([3]CcliCombined!$D:$D,L250)&gt;0),"YES","")</f>
        <v>#VALUE!</v>
      </c>
      <c r="Y250" t="e">
        <f>IF(AND(ISNUMBER(L250),COUNTIF([4]Songs!$H:$H,L250)&gt;0),"YES","")</f>
        <v>#VALUE!</v>
      </c>
      <c r="Z250" t="s">
        <v>631</v>
      </c>
      <c r="AB250">
        <v>17</v>
      </c>
      <c r="AD250" t="str">
        <f t="shared" si="6"/>
        <v xml:space="preserve">F  B </v>
      </c>
    </row>
    <row r="251" spans="1:32" x14ac:dyDescent="0.25">
      <c r="A251">
        <f>INDEX(Albums!$A:$A, MATCH(C251,Albums!$C:$C,0))</f>
        <v>2</v>
      </c>
      <c r="B251">
        <f>INDEX(Albums!$B:$B, MATCH(C251,Albums!$C:$C,0))</f>
        <v>2018</v>
      </c>
      <c r="C251" t="s">
        <v>16</v>
      </c>
      <c r="D251">
        <v>8</v>
      </c>
      <c r="E251" t="s">
        <v>921</v>
      </c>
      <c r="F251" t="s">
        <v>922</v>
      </c>
      <c r="G251" s="28" t="s">
        <v>1183</v>
      </c>
      <c r="I251" t="s">
        <v>47</v>
      </c>
      <c r="J251">
        <v>84</v>
      </c>
      <c r="K251" s="11" t="s">
        <v>371</v>
      </c>
      <c r="L251" s="10">
        <v>7063743</v>
      </c>
      <c r="M251" s="4">
        <v>2016</v>
      </c>
      <c r="N251" s="6" t="s">
        <v>385</v>
      </c>
      <c r="O251" t="s">
        <v>1199</v>
      </c>
      <c r="P251" s="23" t="s">
        <v>887</v>
      </c>
      <c r="Q251">
        <v>84</v>
      </c>
      <c r="R251" t="s">
        <v>67</v>
      </c>
      <c r="S251" t="s">
        <v>23</v>
      </c>
      <c r="U251" t="s">
        <v>478</v>
      </c>
      <c r="V251" t="str">
        <f>IF(AND(ISNUMBER(L251),COUNTIF([1]Songs!$L:$L,L251)&gt;0),"YES","")</f>
        <v/>
      </c>
      <c r="W251" t="e">
        <f>IF(AND(ISNUMBER(L251),COUNTIF([2]Songs!$J:$J,L251)&gt;0),"YES","")</f>
        <v>#VALUE!</v>
      </c>
      <c r="X251" t="e">
        <f>IF(AND(ISNUMBER(L251),COUNTIF([3]CcliCombined!$D:$D,L251)&gt;0),"YES","")</f>
        <v>#VALUE!</v>
      </c>
      <c r="Y251" t="e">
        <f>IF(AND(ISNUMBER(L251),COUNTIF([4]Songs!$H:$H,L251)&gt;0),"YES","")</f>
        <v>#VALUE!</v>
      </c>
      <c r="Z251" t="s">
        <v>631</v>
      </c>
      <c r="AB251">
        <v>18</v>
      </c>
      <c r="AD251" t="str">
        <f t="shared" si="6"/>
        <v xml:space="preserve">C  Ab </v>
      </c>
    </row>
    <row r="252" spans="1:32" x14ac:dyDescent="0.25">
      <c r="A252">
        <f>INDEX(Albums!$A:$A, MATCH(C252,Albums!$C:$C,0))</f>
        <v>2</v>
      </c>
      <c r="B252">
        <f>INDEX(Albums!$B:$B, MATCH(C252,Albums!$C:$C,0))</f>
        <v>2018</v>
      </c>
      <c r="C252" t="s">
        <v>16</v>
      </c>
      <c r="D252">
        <v>9</v>
      </c>
      <c r="E252" t="s">
        <v>490</v>
      </c>
      <c r="F252" t="s">
        <v>23</v>
      </c>
      <c r="G252" s="28" t="s">
        <v>1137</v>
      </c>
      <c r="I252" t="s">
        <v>25</v>
      </c>
      <c r="J252">
        <v>96</v>
      </c>
      <c r="K252" s="11" t="s">
        <v>371</v>
      </c>
      <c r="L252" s="10">
        <v>25400</v>
      </c>
      <c r="M252" s="4">
        <v>1780</v>
      </c>
      <c r="N252" s="6" t="s">
        <v>401</v>
      </c>
      <c r="O252" t="s">
        <v>1199</v>
      </c>
      <c r="P252" s="23" t="s">
        <v>23</v>
      </c>
      <c r="Q252">
        <v>77</v>
      </c>
      <c r="R252" t="s">
        <v>67</v>
      </c>
      <c r="S252" t="s">
        <v>23</v>
      </c>
      <c r="U252" t="s">
        <v>478</v>
      </c>
      <c r="V252" t="str">
        <f>IF(AND(ISNUMBER(L252),COUNTIF([1]Songs!$L:$L,L252)&gt;0),"YES","")</f>
        <v/>
      </c>
      <c r="W252" t="e">
        <f>IF(AND(ISNUMBER(L252),COUNTIF([2]Songs!$J:$J,L252)&gt;0),"YES","")</f>
        <v>#VALUE!</v>
      </c>
      <c r="X252" t="e">
        <f>IF(AND(ISNUMBER(L252),COUNTIF([3]CcliCombined!$D:$D,L252)&gt;0),"YES","")</f>
        <v>#VALUE!</v>
      </c>
      <c r="Y252" t="e">
        <f>IF(AND(ISNUMBER(L252),COUNTIF([4]Songs!$H:$H,L252)&gt;0),"YES","")</f>
        <v>#VALUE!</v>
      </c>
      <c r="Z252" t="s">
        <v>631</v>
      </c>
      <c r="AB252">
        <v>19</v>
      </c>
      <c r="AD252" t="str">
        <f t="shared" si="6"/>
        <v xml:space="preserve">G  Ab </v>
      </c>
    </row>
    <row r="253" spans="1:32" x14ac:dyDescent="0.25">
      <c r="A253">
        <f>INDEX(Albums!$A:$A, MATCH(C253,Albums!$C:$C,0))</f>
        <v>2</v>
      </c>
      <c r="B253">
        <f>INDEX(Albums!$B:$B, MATCH(C253,Albums!$C:$C,0))</f>
        <v>2018</v>
      </c>
      <c r="C253" t="s">
        <v>16</v>
      </c>
      <c r="D253">
        <v>10</v>
      </c>
      <c r="E253" t="s">
        <v>491</v>
      </c>
      <c r="F253" t="s">
        <v>23</v>
      </c>
      <c r="G253" s="28" t="s">
        <v>680</v>
      </c>
      <c r="H253" s="3" t="s">
        <v>39</v>
      </c>
      <c r="I253" s="3" t="s">
        <v>39</v>
      </c>
      <c r="J253" s="4">
        <v>92</v>
      </c>
      <c r="K253" s="5" t="s">
        <v>371</v>
      </c>
      <c r="L253" s="10">
        <v>23938</v>
      </c>
      <c r="M253" s="4">
        <v>1851</v>
      </c>
      <c r="N253" s="6" t="s">
        <v>401</v>
      </c>
      <c r="O253" t="s">
        <v>1199</v>
      </c>
      <c r="P253" s="23" t="s">
        <v>23</v>
      </c>
      <c r="Q253">
        <v>77</v>
      </c>
      <c r="R253" t="s">
        <v>67</v>
      </c>
      <c r="S253" t="s">
        <v>23</v>
      </c>
      <c r="U253" t="s">
        <v>478</v>
      </c>
      <c r="V253" t="str">
        <f>IF(AND(ISNUMBER(L253),COUNTIF([1]Songs!$L:$L,L253)&gt;0),"YES","")</f>
        <v>YES</v>
      </c>
      <c r="W253" t="e">
        <f>IF(AND(ISNUMBER(L253),COUNTIF([2]Songs!$J:$J,L253)&gt;0),"YES","")</f>
        <v>#VALUE!</v>
      </c>
      <c r="X253" t="e">
        <f>IF(AND(ISNUMBER(L253),COUNTIF([3]CcliCombined!$D:$D,L253)&gt;0),"YES","")</f>
        <v>#VALUE!</v>
      </c>
      <c r="Y253" t="e">
        <f>IF(AND(ISNUMBER(L253),COUNTIF([4]Songs!$H:$H,L253)&gt;0),"YES","")</f>
        <v>#VALUE!</v>
      </c>
      <c r="Z253" t="s">
        <v>631</v>
      </c>
      <c r="AB253">
        <v>20</v>
      </c>
      <c r="AD253" t="str">
        <f t="shared" si="6"/>
        <v xml:space="preserve">D Ab </v>
      </c>
    </row>
    <row r="254" spans="1:32" x14ac:dyDescent="0.25">
      <c r="A254">
        <f>INDEX(Albums!$A:$A, MATCH(C254,Albums!$C:$C,0))</f>
        <v>3</v>
      </c>
      <c r="B254">
        <f>INDEX(Albums!$B:$B, MATCH(C254,Albums!$C:$C,0))</f>
        <v>2017</v>
      </c>
      <c r="C254" t="s">
        <v>965</v>
      </c>
      <c r="D254">
        <v>1</v>
      </c>
      <c r="E254" t="s">
        <v>492</v>
      </c>
      <c r="F254" t="s">
        <v>23</v>
      </c>
      <c r="G254" s="28" t="s">
        <v>860</v>
      </c>
      <c r="H254" t="s">
        <v>176</v>
      </c>
      <c r="I254" t="s">
        <v>176</v>
      </c>
      <c r="J254">
        <v>100</v>
      </c>
      <c r="K254" t="s">
        <v>371</v>
      </c>
      <c r="L254" s="4">
        <v>27721</v>
      </c>
      <c r="M254" s="10">
        <v>1862</v>
      </c>
      <c r="N254" t="s">
        <v>401</v>
      </c>
      <c r="O254" t="s">
        <v>933</v>
      </c>
      <c r="P254" s="23" t="s">
        <v>23</v>
      </c>
      <c r="Q254">
        <v>100</v>
      </c>
      <c r="R254" t="s">
        <v>25</v>
      </c>
      <c r="S254" t="s">
        <v>23</v>
      </c>
      <c r="U254" t="s">
        <v>478</v>
      </c>
      <c r="V254" t="str">
        <f>IF(AND(ISNUMBER(L254),COUNTIF([1]Songs!$L:$L,L254)&gt;0),"YES","")</f>
        <v>YES</v>
      </c>
      <c r="W254" t="e">
        <f>IF(AND(ISNUMBER(L254),COUNTIF([2]Songs!$J:$J,L254)&gt;0),"YES","")</f>
        <v>#VALUE!</v>
      </c>
      <c r="X254" t="e">
        <f>IF(AND(ISNUMBER(L254),COUNTIF([3]CcliCombined!$D:$D,L254)&gt;0),"YES","")</f>
        <v>#VALUE!</v>
      </c>
      <c r="Y254" t="e">
        <f>IF(AND(ISNUMBER(L254),COUNTIF([4]Songs!$H:$H,L254)&gt;0),"YES","")</f>
        <v>#VALUE!</v>
      </c>
      <c r="Z254" t="s">
        <v>631</v>
      </c>
      <c r="AB254">
        <v>21</v>
      </c>
      <c r="AD254" t="str">
        <f t="shared" si="6"/>
        <v xml:space="preserve">F G </v>
      </c>
      <c r="AE254" s="10">
        <v>7036005</v>
      </c>
    </row>
    <row r="255" spans="1:32" x14ac:dyDescent="0.25">
      <c r="A255">
        <f>INDEX(Albums!$A:$A, MATCH(C255,Albums!$C:$C,0))</f>
        <v>3</v>
      </c>
      <c r="B255">
        <f>INDEX(Albums!$B:$B, MATCH(C255,Albums!$C:$C,0))</f>
        <v>2017</v>
      </c>
      <c r="C255" t="s">
        <v>965</v>
      </c>
      <c r="D255">
        <v>2</v>
      </c>
      <c r="E255" t="s">
        <v>493</v>
      </c>
      <c r="F255" t="s">
        <v>23</v>
      </c>
      <c r="G255" s="28" t="s">
        <v>870</v>
      </c>
      <c r="H255" t="s">
        <v>25</v>
      </c>
      <c r="I255" t="s">
        <v>25</v>
      </c>
      <c r="J255">
        <v>110</v>
      </c>
      <c r="K255" t="s">
        <v>371</v>
      </c>
      <c r="L255" s="4">
        <v>31054</v>
      </c>
      <c r="M255" s="10">
        <v>1841</v>
      </c>
      <c r="N255" t="s">
        <v>401</v>
      </c>
      <c r="O255" t="s">
        <v>933</v>
      </c>
      <c r="P255" s="23" t="s">
        <v>23</v>
      </c>
      <c r="Q255">
        <v>82</v>
      </c>
      <c r="R255" t="s">
        <v>25</v>
      </c>
      <c r="S255" t="s">
        <v>23</v>
      </c>
      <c r="U255" t="s">
        <v>478</v>
      </c>
      <c r="V255" t="str">
        <f>IF(AND(ISNUMBER(L255),COUNTIF([1]Songs!$L:$L,L255)&gt;0),"YES","")</f>
        <v>YES</v>
      </c>
      <c r="W255" t="e">
        <f>IF(AND(ISNUMBER(L255),COUNTIF([2]Songs!$J:$J,L255)&gt;0),"YES","")</f>
        <v>#VALUE!</v>
      </c>
      <c r="X255" t="e">
        <f>IF(AND(ISNUMBER(L255),COUNTIF([3]CcliCombined!$D:$D,L255)&gt;0),"YES","")</f>
        <v>#VALUE!</v>
      </c>
      <c r="Y255" t="e">
        <f>IF(AND(ISNUMBER(L255),COUNTIF([4]Songs!$H:$H,L255)&gt;0),"YES","")</f>
        <v>#VALUE!</v>
      </c>
      <c r="Z255" t="s">
        <v>631</v>
      </c>
      <c r="AB255">
        <v>22</v>
      </c>
      <c r="AD255" t="str">
        <f t="shared" si="6"/>
        <v xml:space="preserve">G </v>
      </c>
      <c r="AE255" s="10" t="s">
        <v>1198</v>
      </c>
    </row>
    <row r="256" spans="1:32" x14ac:dyDescent="0.25">
      <c r="A256">
        <f>INDEX(Albums!$A:$A, MATCH(C256,Albums!$C:$C,0))</f>
        <v>3</v>
      </c>
      <c r="B256">
        <f>INDEX(Albums!$B:$B, MATCH(C256,Albums!$C:$C,0))</f>
        <v>2017</v>
      </c>
      <c r="C256" t="s">
        <v>965</v>
      </c>
      <c r="D256">
        <v>3</v>
      </c>
      <c r="E256" t="s">
        <v>494</v>
      </c>
      <c r="F256" t="s">
        <v>23</v>
      </c>
      <c r="G256" s="28" t="s">
        <v>862</v>
      </c>
      <c r="H256" t="s">
        <v>176</v>
      </c>
      <c r="I256" t="s">
        <v>176</v>
      </c>
      <c r="K256" t="s">
        <v>371</v>
      </c>
      <c r="L256" s="4">
        <v>29080</v>
      </c>
      <c r="M256" s="10">
        <v>1909</v>
      </c>
      <c r="N256" t="s">
        <v>401</v>
      </c>
      <c r="O256" t="s">
        <v>933</v>
      </c>
      <c r="P256" s="23" t="s">
        <v>23</v>
      </c>
      <c r="Q256">
        <v>60</v>
      </c>
      <c r="R256" t="s">
        <v>31</v>
      </c>
      <c r="S256" t="s">
        <v>23</v>
      </c>
      <c r="U256" t="s">
        <v>478</v>
      </c>
      <c r="V256" t="str">
        <f>IF(AND(ISNUMBER(L256),COUNTIF([1]Songs!$L:$L,L256)&gt;0),"YES","")</f>
        <v>YES</v>
      </c>
      <c r="W256" t="e">
        <f>IF(AND(ISNUMBER(L256),COUNTIF([2]Songs!$J:$J,L256)&gt;0),"YES","")</f>
        <v>#VALUE!</v>
      </c>
      <c r="X256" t="e">
        <f>IF(AND(ISNUMBER(L256),COUNTIF([3]CcliCombined!$D:$D,L256)&gt;0),"YES","")</f>
        <v>#VALUE!</v>
      </c>
      <c r="Y256" t="e">
        <f>IF(AND(ISNUMBER(L256),COUNTIF([4]Songs!$H:$H,L256)&gt;0),"YES","")</f>
        <v>#VALUE!</v>
      </c>
      <c r="Z256" t="s">
        <v>631</v>
      </c>
      <c r="AB256">
        <v>23</v>
      </c>
      <c r="AD256" t="str">
        <f t="shared" si="6"/>
        <v xml:space="preserve">F B </v>
      </c>
      <c r="AE256" s="10"/>
    </row>
    <row r="257" spans="1:32" x14ac:dyDescent="0.25">
      <c r="A257">
        <f>INDEX(Albums!$A:$A, MATCH(C257,Albums!$C:$C,0))</f>
        <v>3</v>
      </c>
      <c r="B257">
        <f>INDEX(Albums!$B:$B, MATCH(C257,Albums!$C:$C,0))</f>
        <v>2017</v>
      </c>
      <c r="C257" t="s">
        <v>965</v>
      </c>
      <c r="D257">
        <v>4</v>
      </c>
      <c r="E257" t="s">
        <v>516</v>
      </c>
      <c r="F257" t="s">
        <v>41</v>
      </c>
      <c r="G257" s="28" t="s">
        <v>872</v>
      </c>
      <c r="H257" t="s">
        <v>47</v>
      </c>
      <c r="I257" t="s">
        <v>47</v>
      </c>
      <c r="J257">
        <v>90</v>
      </c>
      <c r="K257" t="s">
        <v>425</v>
      </c>
      <c r="L257" s="4">
        <v>32015</v>
      </c>
      <c r="M257" s="10">
        <v>1847</v>
      </c>
      <c r="N257" t="s">
        <v>401</v>
      </c>
      <c r="O257" t="s">
        <v>933</v>
      </c>
      <c r="P257" s="23" t="s">
        <v>70</v>
      </c>
      <c r="Q257">
        <v>102</v>
      </c>
      <c r="R257" t="s">
        <v>47</v>
      </c>
      <c r="S257" t="s">
        <v>23</v>
      </c>
      <c r="U257" t="s">
        <v>478</v>
      </c>
      <c r="V257" t="str">
        <f>IF(AND(ISNUMBER(L257),COUNTIF([1]Songs!$L:$L,L257)&gt;0),"YES","")</f>
        <v>YES</v>
      </c>
      <c r="W257" t="e">
        <f>IF(AND(ISNUMBER(L257),COUNTIF([2]Songs!$J:$J,L257)&gt;0),"YES","")</f>
        <v>#VALUE!</v>
      </c>
      <c r="X257" t="e">
        <f>IF(AND(ISNUMBER(L257),COUNTIF([3]CcliCombined!$D:$D,L257)&gt;0),"YES","")</f>
        <v>#VALUE!</v>
      </c>
      <c r="Y257" t="e">
        <f>IF(AND(ISNUMBER(L257),COUNTIF([4]Songs!$H:$H,L257)&gt;0),"YES","")</f>
        <v>#VALUE!</v>
      </c>
      <c r="Z257" t="s">
        <v>631</v>
      </c>
      <c r="AB257">
        <v>24</v>
      </c>
      <c r="AD257" t="str">
        <f t="shared" si="6"/>
        <v xml:space="preserve">C </v>
      </c>
      <c r="AE257" s="10"/>
    </row>
    <row r="258" spans="1:32" x14ac:dyDescent="0.25">
      <c r="A258">
        <f>INDEX(Albums!$A:$A, MATCH(C258,Albums!$C:$C,0))</f>
        <v>3</v>
      </c>
      <c r="B258">
        <f>INDEX(Albums!$B:$B, MATCH(C258,Albums!$C:$C,0))</f>
        <v>2017</v>
      </c>
      <c r="C258" t="s">
        <v>965</v>
      </c>
      <c r="D258">
        <v>5</v>
      </c>
      <c r="E258" t="s">
        <v>495</v>
      </c>
      <c r="F258" t="s">
        <v>23</v>
      </c>
      <c r="G258" s="28" t="s">
        <v>826</v>
      </c>
      <c r="H258" t="s">
        <v>39</v>
      </c>
      <c r="I258" t="s">
        <v>39</v>
      </c>
      <c r="J258">
        <v>96</v>
      </c>
      <c r="K258" t="s">
        <v>866</v>
      </c>
      <c r="L258" s="4">
        <v>24016</v>
      </c>
      <c r="M258" s="10">
        <v>1719</v>
      </c>
      <c r="N258" t="s">
        <v>401</v>
      </c>
      <c r="O258" t="s">
        <v>933</v>
      </c>
      <c r="P258" s="23" t="s">
        <v>23</v>
      </c>
      <c r="Q258">
        <v>110</v>
      </c>
      <c r="R258" t="s">
        <v>47</v>
      </c>
      <c r="S258" t="s">
        <v>23</v>
      </c>
      <c r="U258" t="s">
        <v>478</v>
      </c>
      <c r="V258" t="str">
        <f>IF(AND(ISNUMBER(L258),COUNTIF([1]Songs!$L:$L,L258)&gt;0),"YES","")</f>
        <v>YES</v>
      </c>
      <c r="W258" t="e">
        <f>IF(AND(ISNUMBER(L258),COUNTIF([2]Songs!$J:$J,L258)&gt;0),"YES","")</f>
        <v>#VALUE!</v>
      </c>
      <c r="X258" t="e">
        <f>IF(AND(ISNUMBER(L258),COUNTIF([3]CcliCombined!$D:$D,L258)&gt;0),"YES","")</f>
        <v>#VALUE!</v>
      </c>
      <c r="Y258" t="e">
        <f>IF(AND(ISNUMBER(L258),COUNTIF([4]Songs!$H:$H,L258)&gt;0),"YES","")</f>
        <v>#VALUE!</v>
      </c>
      <c r="Z258" t="s">
        <v>631</v>
      </c>
      <c r="AB258">
        <v>25</v>
      </c>
      <c r="AD258" t="str">
        <f t="shared" si="6"/>
        <v xml:space="preserve">D C </v>
      </c>
      <c r="AE258" s="10">
        <v>7036006</v>
      </c>
    </row>
    <row r="259" spans="1:32" x14ac:dyDescent="0.25">
      <c r="A259">
        <f>INDEX(Albums!$A:$A, MATCH(C259,Albums!$C:$C,0))</f>
        <v>3</v>
      </c>
      <c r="B259">
        <f>INDEX(Albums!$B:$B, MATCH(C259,Albums!$C:$C,0))</f>
        <v>2017</v>
      </c>
      <c r="C259" t="s">
        <v>965</v>
      </c>
      <c r="D259">
        <v>6</v>
      </c>
      <c r="E259" t="s">
        <v>496</v>
      </c>
      <c r="F259" t="s">
        <v>23</v>
      </c>
      <c r="G259" s="28" t="s">
        <v>874</v>
      </c>
      <c r="H259" t="s">
        <v>52</v>
      </c>
      <c r="I259" t="s">
        <v>28</v>
      </c>
      <c r="K259" t="s">
        <v>425</v>
      </c>
      <c r="L259" s="4">
        <v>27862</v>
      </c>
      <c r="M259" s="10">
        <v>1818</v>
      </c>
      <c r="N259" t="s">
        <v>401</v>
      </c>
      <c r="O259" t="s">
        <v>933</v>
      </c>
      <c r="P259" s="23" t="s">
        <v>23</v>
      </c>
      <c r="Q259">
        <v>86</v>
      </c>
      <c r="R259" t="s">
        <v>47</v>
      </c>
      <c r="S259" t="s">
        <v>23</v>
      </c>
      <c r="U259" t="s">
        <v>478</v>
      </c>
      <c r="V259" t="str">
        <f>IF(AND(ISNUMBER(L259),COUNTIF([1]Songs!$L:$L,L259)&gt;0),"YES","")</f>
        <v>YES</v>
      </c>
      <c r="W259" t="e">
        <f>IF(AND(ISNUMBER(L259),COUNTIF([2]Songs!$J:$J,L259)&gt;0),"YES","")</f>
        <v>#VALUE!</v>
      </c>
      <c r="X259" t="e">
        <f>IF(AND(ISNUMBER(L259),COUNTIF([3]CcliCombined!$D:$D,L259)&gt;0),"YES","")</f>
        <v>#VALUE!</v>
      </c>
      <c r="Y259" t="e">
        <f>IF(AND(ISNUMBER(L259),COUNTIF([4]Songs!$H:$H,L259)&gt;0),"YES","")</f>
        <v>#VALUE!</v>
      </c>
      <c r="Z259" t="s">
        <v>631</v>
      </c>
      <c r="AB259">
        <v>26</v>
      </c>
      <c r="AD259" t="str">
        <f t="shared" si="6"/>
        <v xml:space="preserve">Bb A C </v>
      </c>
      <c r="AE259" s="10">
        <v>7036000</v>
      </c>
    </row>
    <row r="260" spans="1:32" x14ac:dyDescent="0.25">
      <c r="A260">
        <f>INDEX(Albums!$A:$A, MATCH(C260,Albums!$C:$C,0))</f>
        <v>3</v>
      </c>
      <c r="B260">
        <f>INDEX(Albums!$B:$B, MATCH(C260,Albums!$C:$C,0))</f>
        <v>2017</v>
      </c>
      <c r="C260" t="s">
        <v>965</v>
      </c>
      <c r="D260">
        <v>7</v>
      </c>
      <c r="E260" t="s">
        <v>517</v>
      </c>
      <c r="F260" t="s">
        <v>41</v>
      </c>
      <c r="G260" s="28" t="s">
        <v>863</v>
      </c>
      <c r="H260" t="s">
        <v>39</v>
      </c>
      <c r="I260" t="s">
        <v>39</v>
      </c>
      <c r="J260">
        <v>80</v>
      </c>
      <c r="K260" t="s">
        <v>380</v>
      </c>
      <c r="L260" s="4">
        <v>31047</v>
      </c>
      <c r="M260" s="10">
        <v>1833</v>
      </c>
      <c r="N260" t="s">
        <v>401</v>
      </c>
      <c r="O260" t="s">
        <v>933</v>
      </c>
      <c r="P260" s="23" t="s">
        <v>70</v>
      </c>
      <c r="Q260">
        <v>79</v>
      </c>
      <c r="R260" t="s">
        <v>47</v>
      </c>
      <c r="S260" t="s">
        <v>23</v>
      </c>
      <c r="U260" t="s">
        <v>478</v>
      </c>
      <c r="V260" t="str">
        <f>IF(AND(ISNUMBER(L260),COUNTIF([1]Songs!$L:$L,L260)&gt;0),"YES","")</f>
        <v>YES</v>
      </c>
      <c r="W260" t="e">
        <f>IF(AND(ISNUMBER(L260),COUNTIF([2]Songs!$J:$J,L260)&gt;0),"YES","")</f>
        <v>#VALUE!</v>
      </c>
      <c r="X260" t="e">
        <f>IF(AND(ISNUMBER(L260),COUNTIF([3]CcliCombined!$D:$D,L260)&gt;0),"YES","")</f>
        <v>#VALUE!</v>
      </c>
      <c r="Y260" t="e">
        <f>IF(AND(ISNUMBER(L260),COUNTIF([4]Songs!$H:$H,L260)&gt;0),"YES","")</f>
        <v>#VALUE!</v>
      </c>
      <c r="Z260" t="s">
        <v>631</v>
      </c>
      <c r="AB260">
        <v>27</v>
      </c>
      <c r="AD260" t="str">
        <f t="shared" si="6"/>
        <v xml:space="preserve">D C </v>
      </c>
      <c r="AE260" s="10"/>
    </row>
    <row r="261" spans="1:32" x14ac:dyDescent="0.25">
      <c r="A261">
        <f>INDEX(Albums!$A:$A, MATCH(C261,Albums!$C:$C,0))</f>
        <v>3</v>
      </c>
      <c r="B261">
        <f>INDEX(Albums!$B:$B, MATCH(C261,Albums!$C:$C,0))</f>
        <v>2017</v>
      </c>
      <c r="C261" t="s">
        <v>965</v>
      </c>
      <c r="D261">
        <v>8</v>
      </c>
      <c r="E261" t="s">
        <v>518</v>
      </c>
      <c r="F261" t="s">
        <v>41</v>
      </c>
      <c r="G261" s="28" t="s">
        <v>871</v>
      </c>
      <c r="H261" t="s">
        <v>776</v>
      </c>
      <c r="I261" t="s">
        <v>776</v>
      </c>
      <c r="J261">
        <v>76</v>
      </c>
      <c r="K261" t="s">
        <v>371</v>
      </c>
      <c r="L261" s="4">
        <v>31982</v>
      </c>
      <c r="M261" s="10">
        <v>1861</v>
      </c>
      <c r="N261" t="s">
        <v>401</v>
      </c>
      <c r="O261" t="s">
        <v>933</v>
      </c>
      <c r="P261" s="23" t="s">
        <v>70</v>
      </c>
      <c r="Q261">
        <v>63</v>
      </c>
      <c r="R261" t="s">
        <v>25</v>
      </c>
      <c r="S261" t="s">
        <v>23</v>
      </c>
      <c r="U261" t="s">
        <v>478</v>
      </c>
      <c r="V261" t="str">
        <f>IF(AND(ISNUMBER(L261),COUNTIF([1]Songs!$L:$L,L261)&gt;0),"YES","")</f>
        <v>YES</v>
      </c>
      <c r="W261" t="e">
        <f>IF(AND(ISNUMBER(L261),COUNTIF([2]Songs!$J:$J,L261)&gt;0),"YES","")</f>
        <v>#VALUE!</v>
      </c>
      <c r="X261" t="e">
        <f>IF(AND(ISNUMBER(L261),COUNTIF([3]CcliCombined!$D:$D,L261)&gt;0),"YES","")</f>
        <v>#VALUE!</v>
      </c>
      <c r="Y261" t="e">
        <f>IF(AND(ISNUMBER(L261),COUNTIF([4]Songs!$H:$H,L261)&gt;0),"YES","")</f>
        <v>#VALUE!</v>
      </c>
      <c r="Z261" t="s">
        <v>631</v>
      </c>
      <c r="AB261">
        <v>28</v>
      </c>
      <c r="AD261" t="str">
        <f t="shared" si="6"/>
        <v xml:space="preserve">Em G </v>
      </c>
      <c r="AE261" s="10"/>
    </row>
    <row r="262" spans="1:32" hidden="1" x14ac:dyDescent="0.25">
      <c r="A262">
        <f>INDEX(Albums!$A:$A, MATCH(C262,Albums!$C:$C,0))</f>
        <v>3</v>
      </c>
      <c r="B262">
        <f>INDEX(Albums!$B:$B, MATCH(C262,Albums!$C:$C,0))</f>
        <v>2017</v>
      </c>
      <c r="C262" t="s">
        <v>965</v>
      </c>
      <c r="D262">
        <v>9</v>
      </c>
      <c r="E262" t="s">
        <v>519</v>
      </c>
      <c r="F262" t="s">
        <v>41</v>
      </c>
      <c r="L262" s="10" t="s">
        <v>327</v>
      </c>
      <c r="O262" t="s">
        <v>933</v>
      </c>
      <c r="P262" s="23" t="s">
        <v>70</v>
      </c>
      <c r="Q262">
        <v>106</v>
      </c>
      <c r="R262" t="s">
        <v>36</v>
      </c>
      <c r="S262" t="s">
        <v>23</v>
      </c>
      <c r="V262" t="str">
        <f>IF(AND(ISNUMBER(L262),COUNTIF([1]Songs!$L:$L,L262)&gt;0),"YES","")</f>
        <v/>
      </c>
      <c r="W262" t="e">
        <f>IF(AND(ISNUMBER(L262),COUNTIF([2]Songs!$J:$J,L262)&gt;0),"YES","")</f>
        <v>#VALUE!</v>
      </c>
      <c r="X262" t="e">
        <f>IF(AND(ISNUMBER(L262),COUNTIF([3]CcliCombined!$D:$D,L262)&gt;0),"YES","")</f>
        <v>#VALUE!</v>
      </c>
      <c r="Y262" t="e">
        <f>IF(AND(ISNUMBER(L262),COUNTIF([4]Songs!$H:$H,L262)&gt;0),"YES","")</f>
        <v>#VALUE!</v>
      </c>
      <c r="Z262" t="s">
        <v>631</v>
      </c>
      <c r="AB262">
        <v>29</v>
      </c>
      <c r="AC262" t="s">
        <v>1129</v>
      </c>
      <c r="AD262" t="str">
        <f t="shared" si="6"/>
        <v xml:space="preserve"> E </v>
      </c>
      <c r="AE262" s="10"/>
      <c r="AF262" t="s">
        <v>1197</v>
      </c>
    </row>
    <row r="263" spans="1:32" x14ac:dyDescent="0.25">
      <c r="A263">
        <f>INDEX(Albums!$A:$A, MATCH(C263,Albums!$C:$C,0))</f>
        <v>3</v>
      </c>
      <c r="B263">
        <f>INDEX(Albums!$B:$B, MATCH(C263,Albums!$C:$C,0))</f>
        <v>2017</v>
      </c>
      <c r="C263" t="s">
        <v>965</v>
      </c>
      <c r="D263">
        <v>10</v>
      </c>
      <c r="E263" t="s">
        <v>497</v>
      </c>
      <c r="F263" t="s">
        <v>23</v>
      </c>
      <c r="G263" s="28" t="s">
        <v>1147</v>
      </c>
      <c r="I263" t="s">
        <v>36</v>
      </c>
      <c r="J263">
        <v>140</v>
      </c>
      <c r="K263" s="11" t="s">
        <v>371</v>
      </c>
      <c r="L263" s="10">
        <v>7009580</v>
      </c>
      <c r="M263" s="4">
        <v>2013</v>
      </c>
      <c r="N263" t="s">
        <v>1011</v>
      </c>
      <c r="O263" t="s">
        <v>933</v>
      </c>
      <c r="P263" s="23" t="s">
        <v>889</v>
      </c>
      <c r="Q263">
        <v>73</v>
      </c>
      <c r="R263" t="s">
        <v>36</v>
      </c>
      <c r="S263" t="s">
        <v>23</v>
      </c>
      <c r="U263" t="s">
        <v>478</v>
      </c>
      <c r="V263" t="str">
        <f>IF(AND(ISNUMBER(L263),COUNTIF([1]Songs!$L:$L,L263)&gt;0),"YES","")</f>
        <v/>
      </c>
      <c r="W263" t="e">
        <f>IF(AND(ISNUMBER(L263),COUNTIF([2]Songs!$J:$J,L263)&gt;0),"YES","")</f>
        <v>#VALUE!</v>
      </c>
      <c r="X263" t="e">
        <f>IF(AND(ISNUMBER(L263),COUNTIF([3]CcliCombined!$D:$D,L263)&gt;0),"YES","")</f>
        <v>#VALUE!</v>
      </c>
      <c r="Y263" t="e">
        <f>IF(AND(ISNUMBER(L263),COUNTIF([4]Songs!$H:$H,L263)&gt;0),"YES","")</f>
        <v>#VALUE!</v>
      </c>
      <c r="Z263" t="s">
        <v>631</v>
      </c>
      <c r="AB263">
        <v>30</v>
      </c>
      <c r="AD263" t="str">
        <f t="shared" si="6"/>
        <v xml:space="preserve">E  </v>
      </c>
      <c r="AE263" s="10">
        <v>7009580</v>
      </c>
    </row>
    <row r="264" spans="1:32" x14ac:dyDescent="0.25">
      <c r="A264">
        <f>INDEX(Albums!$A:$A, MATCH(C264,Albums!$C:$C,0))</f>
        <v>3</v>
      </c>
      <c r="B264">
        <f>INDEX(Albums!$B:$B, MATCH(C264,Albums!$C:$C,0))</f>
        <v>2017</v>
      </c>
      <c r="C264" t="s">
        <v>963</v>
      </c>
      <c r="D264">
        <v>1</v>
      </c>
      <c r="E264" t="s">
        <v>498</v>
      </c>
      <c r="F264" t="s">
        <v>23</v>
      </c>
      <c r="G264" s="28" t="s">
        <v>648</v>
      </c>
      <c r="H264" t="s">
        <v>176</v>
      </c>
      <c r="I264" t="s">
        <v>176</v>
      </c>
      <c r="J264">
        <v>90</v>
      </c>
      <c r="K264" t="s">
        <v>380</v>
      </c>
      <c r="L264" s="4">
        <v>31999</v>
      </c>
      <c r="M264" s="10">
        <v>1744</v>
      </c>
      <c r="N264" t="s">
        <v>401</v>
      </c>
      <c r="O264" t="s">
        <v>933</v>
      </c>
      <c r="P264" s="23" t="s">
        <v>23</v>
      </c>
      <c r="Q264">
        <v>68</v>
      </c>
      <c r="R264" t="s">
        <v>47</v>
      </c>
      <c r="S264" t="s">
        <v>23</v>
      </c>
      <c r="U264" t="s">
        <v>478</v>
      </c>
      <c r="V264" t="str">
        <f>IF(AND(ISNUMBER(L264),COUNTIF([1]Songs!$L:$L,L264)&gt;0),"YES","")</f>
        <v>YES</v>
      </c>
      <c r="W264" t="e">
        <f>IF(AND(ISNUMBER(L264),COUNTIF([2]Songs!$J:$J,L264)&gt;0),"YES","")</f>
        <v>#VALUE!</v>
      </c>
      <c r="X264" t="e">
        <f>IF(AND(ISNUMBER(L264),COUNTIF([3]CcliCombined!$D:$D,L264)&gt;0),"YES","")</f>
        <v>#VALUE!</v>
      </c>
      <c r="Y264" t="e">
        <f>IF(AND(ISNUMBER(L264),COUNTIF([4]Songs!$H:$H,L264)&gt;0),"YES","")</f>
        <v>#VALUE!</v>
      </c>
      <c r="Z264" t="s">
        <v>631</v>
      </c>
      <c r="AB264">
        <v>31</v>
      </c>
      <c r="AD264" t="str">
        <f t="shared" si="6"/>
        <v xml:space="preserve">F C </v>
      </c>
    </row>
    <row r="265" spans="1:32" hidden="1" x14ac:dyDescent="0.25">
      <c r="A265">
        <f>INDEX(Albums!$A:$A, MATCH(C265,Albums!$C:$C,0))</f>
        <v>3</v>
      </c>
      <c r="B265">
        <f>INDEX(Albums!$B:$B, MATCH(C265,Albums!$C:$C,0))</f>
        <v>2017</v>
      </c>
      <c r="C265" t="s">
        <v>963</v>
      </c>
      <c r="D265">
        <v>2</v>
      </c>
      <c r="E265" t="s">
        <v>891</v>
      </c>
      <c r="F265" t="s">
        <v>892</v>
      </c>
      <c r="G265" s="28" t="s">
        <v>1146</v>
      </c>
      <c r="I265" t="s">
        <v>39</v>
      </c>
      <c r="J265">
        <v>96</v>
      </c>
      <c r="K265" s="11" t="s">
        <v>866</v>
      </c>
      <c r="L265" s="10">
        <v>24016</v>
      </c>
      <c r="M265">
        <v>1719</v>
      </c>
      <c r="N265" t="s">
        <v>401</v>
      </c>
      <c r="O265" t="s">
        <v>933</v>
      </c>
      <c r="P265" s="23" t="s">
        <v>27</v>
      </c>
      <c r="Q265">
        <v>145</v>
      </c>
      <c r="R265" t="s">
        <v>47</v>
      </c>
      <c r="S265" t="s">
        <v>23</v>
      </c>
      <c r="U265" t="s">
        <v>478</v>
      </c>
      <c r="V265" t="str">
        <f>IF(AND(ISNUMBER(L265),COUNTIF([1]Songs!$L:$L,L265)&gt;0),"YES","")</f>
        <v>YES</v>
      </c>
      <c r="W265" t="e">
        <f>IF(AND(ISNUMBER(L265),COUNTIF([2]Songs!$J:$J,L265)&gt;0),"YES","")</f>
        <v>#VALUE!</v>
      </c>
      <c r="X265" t="e">
        <f>IF(AND(ISNUMBER(L265),COUNTIF([3]CcliCombined!$D:$D,L265)&gt;0),"YES","")</f>
        <v>#VALUE!</v>
      </c>
      <c r="Y265" t="e">
        <f>IF(AND(ISNUMBER(L265),COUNTIF([4]Songs!$H:$H,L265)&gt;0),"YES","")</f>
        <v>#VALUE!</v>
      </c>
      <c r="Z265" t="s">
        <v>631</v>
      </c>
      <c r="AB265">
        <v>32</v>
      </c>
      <c r="AD265" t="str">
        <f t="shared" si="6"/>
        <v xml:space="preserve">D  C </v>
      </c>
      <c r="AE265">
        <v>7036006</v>
      </c>
      <c r="AF265" t="s">
        <v>1197</v>
      </c>
    </row>
    <row r="266" spans="1:32" x14ac:dyDescent="0.25">
      <c r="A266">
        <f>INDEX(Albums!$A:$A, MATCH(C266,Albums!$C:$C,0))</f>
        <v>3</v>
      </c>
      <c r="B266">
        <f>INDEX(Albums!$B:$B, MATCH(C266,Albums!$C:$C,0))</f>
        <v>2017</v>
      </c>
      <c r="C266" t="s">
        <v>963</v>
      </c>
      <c r="D266">
        <v>3</v>
      </c>
      <c r="E266" t="s">
        <v>499</v>
      </c>
      <c r="F266" t="s">
        <v>23</v>
      </c>
      <c r="G266" s="28" t="s">
        <v>648</v>
      </c>
      <c r="H266" t="s">
        <v>176</v>
      </c>
      <c r="I266" t="s">
        <v>176</v>
      </c>
      <c r="K266" t="s">
        <v>371</v>
      </c>
      <c r="L266" s="4">
        <v>27738</v>
      </c>
      <c r="M266" s="10">
        <v>1739</v>
      </c>
      <c r="N266" t="s">
        <v>401</v>
      </c>
      <c r="O266" t="s">
        <v>933</v>
      </c>
      <c r="P266" s="23" t="s">
        <v>23</v>
      </c>
      <c r="Q266">
        <v>78</v>
      </c>
      <c r="R266" t="s">
        <v>176</v>
      </c>
      <c r="S266" t="s">
        <v>23</v>
      </c>
      <c r="U266" t="s">
        <v>478</v>
      </c>
      <c r="V266" t="str">
        <f>IF(AND(ISNUMBER(L266),COUNTIF([1]Songs!$L:$L,L266)&gt;0),"YES","")</f>
        <v>YES</v>
      </c>
      <c r="W266" t="e">
        <f>IF(AND(ISNUMBER(L266),COUNTIF([2]Songs!$J:$J,L266)&gt;0),"YES","")</f>
        <v>#VALUE!</v>
      </c>
      <c r="X266" t="e">
        <f>IF(AND(ISNUMBER(L266),COUNTIF([3]CcliCombined!$D:$D,L266)&gt;0),"YES","")</f>
        <v>#VALUE!</v>
      </c>
      <c r="Y266" t="e">
        <f>IF(AND(ISNUMBER(L266),COUNTIF([4]Songs!$H:$H,L266)&gt;0),"YES","")</f>
        <v>#VALUE!</v>
      </c>
      <c r="Z266" t="s">
        <v>631</v>
      </c>
      <c r="AB266">
        <v>33</v>
      </c>
      <c r="AD266" t="str">
        <f t="shared" si="6"/>
        <v xml:space="preserve">F </v>
      </c>
      <c r="AE266" s="10">
        <v>7104229</v>
      </c>
    </row>
    <row r="267" spans="1:32" x14ac:dyDescent="0.25">
      <c r="A267">
        <f>INDEX(Albums!$A:$A, MATCH(C267,Albums!$C:$C,0))</f>
        <v>3</v>
      </c>
      <c r="B267">
        <f>INDEX(Albums!$B:$B, MATCH(C267,Albums!$C:$C,0))</f>
        <v>2017</v>
      </c>
      <c r="C267" t="s">
        <v>963</v>
      </c>
      <c r="D267">
        <v>4</v>
      </c>
      <c r="E267" t="s">
        <v>500</v>
      </c>
      <c r="F267" t="s">
        <v>23</v>
      </c>
      <c r="G267" s="28" t="s">
        <v>873</v>
      </c>
      <c r="H267" t="s">
        <v>176</v>
      </c>
      <c r="I267" t="s">
        <v>176</v>
      </c>
      <c r="J267">
        <v>90</v>
      </c>
      <c r="K267" t="s">
        <v>371</v>
      </c>
      <c r="L267" s="4">
        <v>27879</v>
      </c>
      <c r="M267" s="10">
        <v>1868</v>
      </c>
      <c r="N267" t="s">
        <v>401</v>
      </c>
      <c r="O267" t="s">
        <v>933</v>
      </c>
      <c r="P267" s="23" t="s">
        <v>23</v>
      </c>
      <c r="Q267">
        <v>65</v>
      </c>
      <c r="R267" t="s">
        <v>176</v>
      </c>
      <c r="S267" t="s">
        <v>23</v>
      </c>
      <c r="U267" t="s">
        <v>478</v>
      </c>
      <c r="V267" t="str">
        <f>IF(AND(ISNUMBER(L267),COUNTIF([1]Songs!$L:$L,L267)&gt;0),"YES","")</f>
        <v>YES</v>
      </c>
      <c r="W267" t="e">
        <f>IF(AND(ISNUMBER(L267),COUNTIF([2]Songs!$J:$J,L267)&gt;0),"YES","")</f>
        <v>#VALUE!</v>
      </c>
      <c r="X267" t="e">
        <f>IF(AND(ISNUMBER(L267),COUNTIF([3]CcliCombined!$D:$D,L267)&gt;0),"YES","")</f>
        <v>#VALUE!</v>
      </c>
      <c r="Y267" t="e">
        <f>IF(AND(ISNUMBER(L267),COUNTIF([4]Songs!$H:$H,L267)&gt;0),"YES","")</f>
        <v>#VALUE!</v>
      </c>
      <c r="Z267" t="s">
        <v>631</v>
      </c>
      <c r="AB267">
        <v>34</v>
      </c>
      <c r="AD267" t="str">
        <f t="shared" si="6"/>
        <v xml:space="preserve">F </v>
      </c>
      <c r="AE267" s="10">
        <v>7104272</v>
      </c>
    </row>
    <row r="268" spans="1:32" x14ac:dyDescent="0.25">
      <c r="A268">
        <f>INDEX(Albums!$A:$A, MATCH(C268,Albums!$C:$C,0))</f>
        <v>3</v>
      </c>
      <c r="B268">
        <f>INDEX(Albums!$B:$B, MATCH(C268,Albums!$C:$C,0))</f>
        <v>2017</v>
      </c>
      <c r="C268" t="s">
        <v>963</v>
      </c>
      <c r="D268">
        <v>5</v>
      </c>
      <c r="E268" t="s">
        <v>501</v>
      </c>
      <c r="F268" t="s">
        <v>23</v>
      </c>
      <c r="G268" s="28" t="s">
        <v>1184</v>
      </c>
      <c r="I268" t="s">
        <v>176</v>
      </c>
      <c r="K268" s="11" t="s">
        <v>462</v>
      </c>
      <c r="L268" s="10">
        <v>1128784</v>
      </c>
      <c r="M268" s="4">
        <v>1992</v>
      </c>
      <c r="N268" t="s">
        <v>1145</v>
      </c>
      <c r="O268" t="s">
        <v>933</v>
      </c>
      <c r="P268" s="23" t="s">
        <v>890</v>
      </c>
      <c r="Q268">
        <v>57</v>
      </c>
      <c r="R268" t="s">
        <v>47</v>
      </c>
      <c r="S268" t="s">
        <v>23</v>
      </c>
      <c r="U268" t="s">
        <v>478</v>
      </c>
      <c r="V268" t="str">
        <f>IF(AND(ISNUMBER(L268),COUNTIF([1]Songs!$L:$L,L268)&gt;0),"YES","")</f>
        <v/>
      </c>
      <c r="W268" t="e">
        <f>IF(AND(ISNUMBER(L268),COUNTIF([2]Songs!$J:$J,L268)&gt;0),"YES","")</f>
        <v>#VALUE!</v>
      </c>
      <c r="X268" t="e">
        <f>IF(AND(ISNUMBER(L268),COUNTIF([3]CcliCombined!$D:$D,L268)&gt;0),"YES","")</f>
        <v>#VALUE!</v>
      </c>
      <c r="Y268" t="e">
        <f>IF(AND(ISNUMBER(L268),COUNTIF([4]Songs!$H:$H,L268)&gt;0),"YES","")</f>
        <v>#VALUE!</v>
      </c>
      <c r="Z268" t="s">
        <v>631</v>
      </c>
      <c r="AB268">
        <v>35</v>
      </c>
      <c r="AD268" t="str">
        <f t="shared" si="6"/>
        <v xml:space="preserve">F  C </v>
      </c>
      <c r="AE268" s="10">
        <v>1128784</v>
      </c>
    </row>
    <row r="269" spans="1:32" x14ac:dyDescent="0.25">
      <c r="A269">
        <f>INDEX(Albums!$A:$A, MATCH(C269,Albums!$C:$C,0))</f>
        <v>3</v>
      </c>
      <c r="B269">
        <f>INDEX(Albums!$B:$B, MATCH(C269,Albums!$C:$C,0))</f>
        <v>2017</v>
      </c>
      <c r="C269" t="s">
        <v>963</v>
      </c>
      <c r="D269">
        <v>6</v>
      </c>
      <c r="E269" t="s">
        <v>502</v>
      </c>
      <c r="F269" t="s">
        <v>23</v>
      </c>
      <c r="G269" s="28" t="s">
        <v>1185</v>
      </c>
      <c r="I269" t="s">
        <v>36</v>
      </c>
      <c r="J269">
        <v>71</v>
      </c>
      <c r="K269" s="11" t="s">
        <v>1041</v>
      </c>
      <c r="L269" s="10">
        <v>7121311</v>
      </c>
      <c r="M269" s="4">
        <v>2019</v>
      </c>
      <c r="N269" t="s">
        <v>374</v>
      </c>
      <c r="O269" t="s">
        <v>933</v>
      </c>
      <c r="P269" s="23" t="s">
        <v>23</v>
      </c>
      <c r="Q269">
        <v>70</v>
      </c>
      <c r="R269" t="s">
        <v>52</v>
      </c>
      <c r="S269" t="s">
        <v>23</v>
      </c>
      <c r="U269" t="s">
        <v>478</v>
      </c>
      <c r="V269" t="str">
        <f>IF(AND(ISNUMBER(L269),COUNTIF([1]Songs!$L:$L,L269)&gt;0),"YES","")</f>
        <v/>
      </c>
      <c r="W269" t="e">
        <f>IF(AND(ISNUMBER(L269),COUNTIF([2]Songs!$J:$J,L269)&gt;0),"YES","")</f>
        <v>#VALUE!</v>
      </c>
      <c r="X269" t="e">
        <f>IF(AND(ISNUMBER(L269),COUNTIF([3]CcliCombined!$D:$D,L269)&gt;0),"YES","")</f>
        <v>#VALUE!</v>
      </c>
      <c r="Y269" t="e">
        <f>IF(AND(ISNUMBER(L269),COUNTIF([4]Songs!$H:$H,L269)&gt;0),"YES","")</f>
        <v>#VALUE!</v>
      </c>
      <c r="Z269" t="s">
        <v>631</v>
      </c>
      <c r="AA269" t="s">
        <v>1196</v>
      </c>
      <c r="AB269">
        <v>36</v>
      </c>
      <c r="AD269" t="str">
        <f t="shared" si="6"/>
        <v xml:space="preserve">E  A </v>
      </c>
      <c r="AE269" s="10">
        <v>7121311</v>
      </c>
    </row>
    <row r="270" spans="1:32" x14ac:dyDescent="0.25">
      <c r="A270">
        <f>INDEX(Albums!$A:$A, MATCH(C270,Albums!$C:$C,0))</f>
        <v>3</v>
      </c>
      <c r="B270">
        <f>INDEX(Albums!$B:$B, MATCH(C270,Albums!$C:$C,0))</f>
        <v>2017</v>
      </c>
      <c r="C270" t="s">
        <v>963</v>
      </c>
      <c r="D270">
        <v>7</v>
      </c>
      <c r="E270" t="s">
        <v>503</v>
      </c>
      <c r="F270" t="s">
        <v>23</v>
      </c>
      <c r="G270" s="28" t="s">
        <v>876</v>
      </c>
      <c r="H270" t="s">
        <v>25</v>
      </c>
      <c r="I270" t="s">
        <v>25</v>
      </c>
      <c r="K270" t="s">
        <v>425</v>
      </c>
      <c r="L270" s="4">
        <v>30983</v>
      </c>
      <c r="M270" s="10">
        <v>1865</v>
      </c>
      <c r="N270" t="s">
        <v>401</v>
      </c>
      <c r="O270" t="s">
        <v>933</v>
      </c>
      <c r="P270" s="23" t="s">
        <v>23</v>
      </c>
      <c r="Q270">
        <v>110</v>
      </c>
      <c r="R270" t="s">
        <v>84</v>
      </c>
      <c r="S270" t="s">
        <v>23</v>
      </c>
      <c r="U270" t="s">
        <v>478</v>
      </c>
      <c r="V270" t="str">
        <f>IF(AND(ISNUMBER(L270),COUNTIF([1]Songs!$L:$L,L270)&gt;0),"YES","")</f>
        <v>YES</v>
      </c>
      <c r="W270" t="e">
        <f>IF(AND(ISNUMBER(L270),COUNTIF([2]Songs!$J:$J,L270)&gt;0),"YES","")</f>
        <v>#VALUE!</v>
      </c>
      <c r="X270" t="e">
        <f>IF(AND(ISNUMBER(L270),COUNTIF([3]CcliCombined!$D:$D,L270)&gt;0),"YES","")</f>
        <v>#VALUE!</v>
      </c>
      <c r="Y270" t="e">
        <f>IF(AND(ISNUMBER(L270),COUNTIF([4]Songs!$H:$H,L270)&gt;0),"YES","")</f>
        <v>#VALUE!</v>
      </c>
      <c r="Z270" t="s">
        <v>631</v>
      </c>
      <c r="AB270">
        <v>37</v>
      </c>
      <c r="AD270" t="str">
        <f t="shared" si="6"/>
        <v xml:space="preserve">G F# </v>
      </c>
      <c r="AE270" s="10">
        <v>7104268</v>
      </c>
    </row>
    <row r="271" spans="1:32" x14ac:dyDescent="0.25">
      <c r="A271">
        <f>INDEX(Albums!$A:$A, MATCH(C271,Albums!$C:$C,0))</f>
        <v>3</v>
      </c>
      <c r="B271">
        <f>INDEX(Albums!$B:$B, MATCH(C271,Albums!$C:$C,0))</f>
        <v>2017</v>
      </c>
      <c r="C271" t="s">
        <v>963</v>
      </c>
      <c r="D271">
        <v>8</v>
      </c>
      <c r="E271" t="s">
        <v>504</v>
      </c>
      <c r="F271" t="s">
        <v>23</v>
      </c>
      <c r="G271" s="28" t="s">
        <v>861</v>
      </c>
      <c r="H271" t="s">
        <v>176</v>
      </c>
      <c r="I271" t="s">
        <v>176</v>
      </c>
      <c r="J271">
        <v>100</v>
      </c>
      <c r="K271" t="s">
        <v>380</v>
      </c>
      <c r="L271" s="4">
        <v>38583</v>
      </c>
      <c r="M271" s="10">
        <v>1882</v>
      </c>
      <c r="N271" t="s">
        <v>401</v>
      </c>
      <c r="O271" t="s">
        <v>933</v>
      </c>
      <c r="P271" s="23" t="s">
        <v>23</v>
      </c>
      <c r="Q271">
        <v>73</v>
      </c>
      <c r="R271" t="s">
        <v>84</v>
      </c>
      <c r="S271" t="s">
        <v>23</v>
      </c>
      <c r="U271" t="s">
        <v>478</v>
      </c>
      <c r="V271" t="str">
        <f>IF(AND(ISNUMBER(L271),COUNTIF([1]Songs!$L:$L,L271)&gt;0),"YES","")</f>
        <v>YES</v>
      </c>
      <c r="W271" t="e">
        <f>IF(AND(ISNUMBER(L271),COUNTIF([2]Songs!$J:$J,L271)&gt;0),"YES","")</f>
        <v>#VALUE!</v>
      </c>
      <c r="X271" t="e">
        <f>IF(AND(ISNUMBER(L271),COUNTIF([3]CcliCombined!$D:$D,L271)&gt;0),"YES","")</f>
        <v>#VALUE!</v>
      </c>
      <c r="Y271" t="e">
        <f>IF(AND(ISNUMBER(L271),COUNTIF([4]Songs!$H:$H,L271)&gt;0),"YES","")</f>
        <v>#VALUE!</v>
      </c>
      <c r="Z271" t="s">
        <v>631</v>
      </c>
      <c r="AB271">
        <v>38</v>
      </c>
      <c r="AD271" t="str">
        <f t="shared" si="6"/>
        <v xml:space="preserve">F F# </v>
      </c>
    </row>
    <row r="272" spans="1:32" x14ac:dyDescent="0.25">
      <c r="A272">
        <f>INDEX(Albums!$A:$A, MATCH(C272,Albums!$C:$C,0))</f>
        <v>3</v>
      </c>
      <c r="B272">
        <f>INDEX(Albums!$B:$B, MATCH(C272,Albums!$C:$C,0))</f>
        <v>2017</v>
      </c>
      <c r="C272" t="s">
        <v>963</v>
      </c>
      <c r="D272">
        <v>9</v>
      </c>
      <c r="E272" t="s">
        <v>505</v>
      </c>
      <c r="F272" t="s">
        <v>23</v>
      </c>
      <c r="G272" s="28" t="s">
        <v>277</v>
      </c>
      <c r="I272" t="s">
        <v>39</v>
      </c>
      <c r="J272">
        <v>72</v>
      </c>
      <c r="K272" s="11" t="s">
        <v>371</v>
      </c>
      <c r="L272" s="10">
        <v>5492031</v>
      </c>
      <c r="M272" s="4">
        <v>2009</v>
      </c>
      <c r="N272" t="s">
        <v>956</v>
      </c>
      <c r="O272" t="s">
        <v>933</v>
      </c>
      <c r="P272" s="23" t="s">
        <v>277</v>
      </c>
      <c r="Q272">
        <v>71</v>
      </c>
      <c r="R272" t="s">
        <v>39</v>
      </c>
      <c r="S272" t="s">
        <v>23</v>
      </c>
      <c r="U272" t="s">
        <v>478</v>
      </c>
      <c r="V272" t="str">
        <f>IF(AND(ISNUMBER(L272),COUNTIF([1]Songs!$L:$L,L272)&gt;0),"YES","")</f>
        <v/>
      </c>
      <c r="W272" t="e">
        <f>IF(AND(ISNUMBER(L272),COUNTIF([2]Songs!$J:$J,L272)&gt;0),"YES","")</f>
        <v>#VALUE!</v>
      </c>
      <c r="X272" t="e">
        <f>IF(AND(ISNUMBER(L272),COUNTIF([3]CcliCombined!$D:$D,L272)&gt;0),"YES","")</f>
        <v>#VALUE!</v>
      </c>
      <c r="Y272" t="e">
        <f>IF(AND(ISNUMBER(L272),COUNTIF([4]Songs!$H:$H,L272)&gt;0),"YES","")</f>
        <v>#VALUE!</v>
      </c>
      <c r="Z272" t="s">
        <v>631</v>
      </c>
      <c r="AB272">
        <v>39</v>
      </c>
      <c r="AD272" t="str">
        <f t="shared" si="6"/>
        <v xml:space="preserve">D  </v>
      </c>
      <c r="AE272" s="10">
        <v>5492031</v>
      </c>
    </row>
    <row r="273" spans="1:32" x14ac:dyDescent="0.25">
      <c r="A273">
        <f>INDEX(Albums!$A:$A, MATCH(C273,Albums!$C:$C,0))</f>
        <v>3</v>
      </c>
      <c r="B273">
        <f>INDEX(Albums!$B:$B, MATCH(C273,Albums!$C:$C,0))</f>
        <v>2017</v>
      </c>
      <c r="C273" t="s">
        <v>963</v>
      </c>
      <c r="D273">
        <v>10</v>
      </c>
      <c r="E273" t="s">
        <v>506</v>
      </c>
      <c r="F273" t="s">
        <v>23</v>
      </c>
      <c r="G273" s="28" t="s">
        <v>865</v>
      </c>
      <c r="H273" t="s">
        <v>25</v>
      </c>
      <c r="I273" t="s">
        <v>67</v>
      </c>
      <c r="J273">
        <v>120</v>
      </c>
      <c r="K273" t="s">
        <v>425</v>
      </c>
      <c r="L273" s="4">
        <v>31078</v>
      </c>
      <c r="M273" s="10">
        <v>1849</v>
      </c>
      <c r="N273" t="s">
        <v>401</v>
      </c>
      <c r="O273" t="s">
        <v>933</v>
      </c>
      <c r="P273" s="23" t="s">
        <v>23</v>
      </c>
      <c r="Q273">
        <v>67</v>
      </c>
      <c r="R273" t="s">
        <v>28</v>
      </c>
      <c r="S273" t="s">
        <v>23</v>
      </c>
      <c r="U273" t="s">
        <v>478</v>
      </c>
      <c r="V273" t="str">
        <f>IF(AND(ISNUMBER(L273),COUNTIF([1]Songs!$L:$L,L273)&gt;0),"YES","")</f>
        <v>YES</v>
      </c>
      <c r="W273" t="e">
        <f>IF(AND(ISNUMBER(L273),COUNTIF([2]Songs!$J:$J,L273)&gt;0),"YES","")</f>
        <v>#VALUE!</v>
      </c>
      <c r="X273" t="e">
        <f>IF(AND(ISNUMBER(L273),COUNTIF([3]CcliCombined!$D:$D,L273)&gt;0),"YES","")</f>
        <v>#VALUE!</v>
      </c>
      <c r="Y273" t="e">
        <f>IF(AND(ISNUMBER(L273),COUNTIF([4]Songs!$H:$H,L273)&gt;0),"YES","")</f>
        <v>#VALUE!</v>
      </c>
      <c r="Z273" t="s">
        <v>631</v>
      </c>
      <c r="AB273">
        <v>40</v>
      </c>
      <c r="AD273" t="str">
        <f t="shared" si="6"/>
        <v xml:space="preserve">Ab G Bb </v>
      </c>
      <c r="AE273" s="10">
        <v>7104270</v>
      </c>
    </row>
    <row r="274" spans="1:32" x14ac:dyDescent="0.25">
      <c r="A274">
        <f>INDEX(Albums!$A:$A, MATCH(C274,Albums!$C:$C,0))</f>
        <v>4</v>
      </c>
      <c r="B274">
        <f>INDEX(Albums!$B:$B, MATCH(C274,Albums!$C:$C,0))</f>
        <v>2015</v>
      </c>
      <c r="C274" t="s">
        <v>984</v>
      </c>
      <c r="D274">
        <v>1</v>
      </c>
      <c r="E274" t="s">
        <v>893</v>
      </c>
      <c r="F274" t="s">
        <v>894</v>
      </c>
      <c r="G274" s="28" t="s">
        <v>1186</v>
      </c>
      <c r="I274" t="s">
        <v>1138</v>
      </c>
      <c r="J274">
        <v>69</v>
      </c>
      <c r="K274" s="11" t="s">
        <v>371</v>
      </c>
      <c r="L274" s="10">
        <v>7053138</v>
      </c>
      <c r="M274" s="4">
        <v>2015</v>
      </c>
      <c r="N274" t="s">
        <v>807</v>
      </c>
      <c r="O274" t="s">
        <v>1199</v>
      </c>
      <c r="P274" s="23" t="s">
        <v>70</v>
      </c>
      <c r="Q274">
        <v>69</v>
      </c>
      <c r="R274" t="s">
        <v>36</v>
      </c>
      <c r="S274" t="s">
        <v>23</v>
      </c>
      <c r="U274" t="s">
        <v>478</v>
      </c>
      <c r="V274" t="str">
        <f>IF(AND(ISNUMBER(L274),COUNTIF([1]Songs!$L:$L,L274)&gt;0),"YES","")</f>
        <v/>
      </c>
      <c r="W274" t="e">
        <f>IF(AND(ISNUMBER(L274),COUNTIF([2]Songs!$J:$J,L274)&gt;0),"YES","")</f>
        <v>#VALUE!</v>
      </c>
      <c r="X274" t="e">
        <f>IF(AND(ISNUMBER(L274),COUNTIF([3]CcliCombined!$D:$D,L274)&gt;0),"YES","")</f>
        <v>#VALUE!</v>
      </c>
      <c r="Y274" t="e">
        <f>IF(AND(ISNUMBER(L274),COUNTIF([4]Songs!$H:$H,L274)&gt;0),"YES","")</f>
        <v>#VALUE!</v>
      </c>
      <c r="Z274" t="s">
        <v>631</v>
      </c>
      <c r="AA274" t="s">
        <v>1196</v>
      </c>
      <c r="AB274">
        <v>41</v>
      </c>
      <c r="AD274" t="str">
        <f t="shared" si="6"/>
        <v xml:space="preserve">C#m  E </v>
      </c>
    </row>
    <row r="275" spans="1:32" hidden="1" x14ac:dyDescent="0.25">
      <c r="A275">
        <f>INDEX(Albums!$A:$A, MATCH(C275,Albums!$C:$C,0))</f>
        <v>4</v>
      </c>
      <c r="B275">
        <f>INDEX(Albums!$B:$B, MATCH(C275,Albums!$C:$C,0))</f>
        <v>2015</v>
      </c>
      <c r="C275" t="s">
        <v>984</v>
      </c>
      <c r="D275">
        <v>2</v>
      </c>
      <c r="E275" t="s">
        <v>895</v>
      </c>
      <c r="F275" t="s">
        <v>896</v>
      </c>
      <c r="G275" s="28" t="s">
        <v>1139</v>
      </c>
      <c r="L275" s="10">
        <v>7054933</v>
      </c>
      <c r="M275" s="4">
        <v>2015</v>
      </c>
      <c r="N275" t="s">
        <v>1084</v>
      </c>
      <c r="P275" s="23" t="s">
        <v>70</v>
      </c>
      <c r="Q275">
        <v>106</v>
      </c>
      <c r="R275" t="s">
        <v>36</v>
      </c>
      <c r="S275" t="s">
        <v>23</v>
      </c>
      <c r="V275" t="str">
        <f>IF(AND(ISNUMBER(L275),COUNTIF([1]Songs!$L:$L,L275)&gt;0),"YES","")</f>
        <v/>
      </c>
      <c r="W275" t="e">
        <f>IF(AND(ISNUMBER(L275),COUNTIF([2]Songs!$J:$J,L275)&gt;0),"YES","")</f>
        <v>#VALUE!</v>
      </c>
      <c r="X275" t="e">
        <f>IF(AND(ISNUMBER(L275),COUNTIF([3]CcliCombined!$D:$D,L275)&gt;0),"YES","")</f>
        <v>#VALUE!</v>
      </c>
      <c r="Y275" t="e">
        <f>IF(AND(ISNUMBER(L275),COUNTIF([4]Songs!$H:$H,L275)&gt;0),"YES","")</f>
        <v>#VALUE!</v>
      </c>
      <c r="Z275" t="s">
        <v>631</v>
      </c>
      <c r="AA275" t="s">
        <v>1196</v>
      </c>
      <c r="AB275">
        <v>42</v>
      </c>
      <c r="AC275" t="s">
        <v>1032</v>
      </c>
      <c r="AD275" t="str">
        <f t="shared" si="6"/>
        <v xml:space="preserve"> E </v>
      </c>
      <c r="AF275" t="s">
        <v>1197</v>
      </c>
    </row>
    <row r="276" spans="1:32" x14ac:dyDescent="0.25">
      <c r="A276">
        <f>INDEX(Albums!$A:$A, MATCH(C276,Albums!$C:$C,0))</f>
        <v>4</v>
      </c>
      <c r="B276">
        <f>INDEX(Albums!$B:$B, MATCH(C276,Albums!$C:$C,0))</f>
        <v>2015</v>
      </c>
      <c r="C276" t="s">
        <v>984</v>
      </c>
      <c r="D276">
        <v>3</v>
      </c>
      <c r="E276" t="s">
        <v>897</v>
      </c>
      <c r="F276" t="s">
        <v>898</v>
      </c>
      <c r="G276" s="28" t="s">
        <v>1187</v>
      </c>
      <c r="I276" t="s">
        <v>39</v>
      </c>
      <c r="J276">
        <v>57</v>
      </c>
      <c r="K276" s="11" t="s">
        <v>371</v>
      </c>
      <c r="L276" s="10">
        <v>7054932</v>
      </c>
      <c r="M276" s="4">
        <v>2015</v>
      </c>
      <c r="N276" t="s">
        <v>1105</v>
      </c>
      <c r="O276" t="s">
        <v>1199</v>
      </c>
      <c r="P276" s="23" t="s">
        <v>70</v>
      </c>
      <c r="Q276">
        <v>57</v>
      </c>
      <c r="R276" t="s">
        <v>39</v>
      </c>
      <c r="S276" t="s">
        <v>23</v>
      </c>
      <c r="U276" t="s">
        <v>478</v>
      </c>
      <c r="V276" t="str">
        <f>IF(AND(ISNUMBER(L276),COUNTIF([1]Songs!$L:$L,L276)&gt;0),"YES","")</f>
        <v/>
      </c>
      <c r="W276" t="e">
        <f>IF(AND(ISNUMBER(L276),COUNTIF([2]Songs!$J:$J,L276)&gt;0),"YES","")</f>
        <v>#VALUE!</v>
      </c>
      <c r="X276" t="e">
        <f>IF(AND(ISNUMBER(L276),COUNTIF([3]CcliCombined!$D:$D,L276)&gt;0),"YES","")</f>
        <v>#VALUE!</v>
      </c>
      <c r="Y276" t="e">
        <f>IF(AND(ISNUMBER(L276),COUNTIF([4]Songs!$H:$H,L276)&gt;0),"YES","")</f>
        <v>#VALUE!</v>
      </c>
      <c r="Z276" t="s">
        <v>631</v>
      </c>
      <c r="AA276" t="s">
        <v>1196</v>
      </c>
      <c r="AB276">
        <v>43</v>
      </c>
      <c r="AD276" t="str">
        <f t="shared" si="6"/>
        <v xml:space="preserve">D  </v>
      </c>
    </row>
    <row r="277" spans="1:32" hidden="1" x14ac:dyDescent="0.25">
      <c r="A277">
        <f>INDEX(Albums!$A:$A, MATCH(C277,Albums!$C:$C,0))</f>
        <v>4</v>
      </c>
      <c r="B277">
        <f>INDEX(Albums!$B:$B, MATCH(C277,Albums!$C:$C,0))</f>
        <v>2015</v>
      </c>
      <c r="C277" t="s">
        <v>984</v>
      </c>
      <c r="D277">
        <v>4</v>
      </c>
      <c r="E277" t="s">
        <v>899</v>
      </c>
      <c r="F277" t="s">
        <v>900</v>
      </c>
      <c r="G277" s="28" t="s">
        <v>1104</v>
      </c>
      <c r="L277" s="10">
        <v>7054928</v>
      </c>
      <c r="M277" s="4">
        <v>2015</v>
      </c>
      <c r="N277" t="s">
        <v>1105</v>
      </c>
      <c r="P277" s="23" t="s">
        <v>70</v>
      </c>
      <c r="Q277">
        <v>97</v>
      </c>
      <c r="R277" t="s">
        <v>39</v>
      </c>
      <c r="S277" t="s">
        <v>23</v>
      </c>
      <c r="V277" t="str">
        <f>IF(AND(ISNUMBER(L277),COUNTIF([1]Songs!$L:$L,L277)&gt;0),"YES","")</f>
        <v/>
      </c>
      <c r="W277" t="e">
        <f>IF(AND(ISNUMBER(L277),COUNTIF([2]Songs!$J:$J,L277)&gt;0),"YES","")</f>
        <v>#VALUE!</v>
      </c>
      <c r="X277" t="e">
        <f>IF(AND(ISNUMBER(L277),COUNTIF([3]CcliCombined!$D:$D,L277)&gt;0),"YES","")</f>
        <v>#VALUE!</v>
      </c>
      <c r="Y277" t="e">
        <f>IF(AND(ISNUMBER(L277),COUNTIF([4]Songs!$H:$H,L277)&gt;0),"YES","")</f>
        <v>#VALUE!</v>
      </c>
      <c r="Z277" t="s">
        <v>631</v>
      </c>
      <c r="AA277" t="s">
        <v>1196</v>
      </c>
      <c r="AB277">
        <v>44</v>
      </c>
      <c r="AC277" t="s">
        <v>1032</v>
      </c>
      <c r="AD277" t="str">
        <f t="shared" si="6"/>
        <v xml:space="preserve"> D </v>
      </c>
      <c r="AF277" t="s">
        <v>1197</v>
      </c>
    </row>
    <row r="278" spans="1:32" x14ac:dyDescent="0.25">
      <c r="A278">
        <f>INDEX(Albums!$A:$A, MATCH(C278,Albums!$C:$C,0))</f>
        <v>4</v>
      </c>
      <c r="B278">
        <f>INDEX(Albums!$B:$B, MATCH(C278,Albums!$C:$C,0))</f>
        <v>2015</v>
      </c>
      <c r="C278" t="s">
        <v>984</v>
      </c>
      <c r="D278">
        <v>5</v>
      </c>
      <c r="E278" t="s">
        <v>901</v>
      </c>
      <c r="F278" t="s">
        <v>902</v>
      </c>
      <c r="G278" s="28" t="s">
        <v>1188</v>
      </c>
      <c r="I278" t="s">
        <v>47</v>
      </c>
      <c r="J278">
        <v>107</v>
      </c>
      <c r="K278" s="11" t="s">
        <v>371</v>
      </c>
      <c r="L278" s="10">
        <v>7054936</v>
      </c>
      <c r="M278" s="4">
        <v>2015</v>
      </c>
      <c r="N278" t="s">
        <v>1084</v>
      </c>
      <c r="O278" t="s">
        <v>1199</v>
      </c>
      <c r="P278" s="23" t="s">
        <v>70</v>
      </c>
      <c r="Q278">
        <v>107</v>
      </c>
      <c r="R278" t="s">
        <v>39</v>
      </c>
      <c r="S278" t="s">
        <v>23</v>
      </c>
      <c r="U278" t="s">
        <v>478</v>
      </c>
      <c r="V278" t="str">
        <f>IF(AND(ISNUMBER(L278),COUNTIF([1]Songs!$L:$L,L278)&gt;0),"YES","")</f>
        <v/>
      </c>
      <c r="W278" t="e">
        <f>IF(AND(ISNUMBER(L278),COUNTIF([2]Songs!$J:$J,L278)&gt;0),"YES","")</f>
        <v>#VALUE!</v>
      </c>
      <c r="X278" t="e">
        <f>IF(AND(ISNUMBER(L278),COUNTIF([3]CcliCombined!$D:$D,L278)&gt;0),"YES","")</f>
        <v>#VALUE!</v>
      </c>
      <c r="Y278" t="e">
        <f>IF(AND(ISNUMBER(L278),COUNTIF([4]Songs!$H:$H,L278)&gt;0),"YES","")</f>
        <v>#VALUE!</v>
      </c>
      <c r="Z278" t="s">
        <v>631</v>
      </c>
      <c r="AA278" t="s">
        <v>1196</v>
      </c>
      <c r="AB278">
        <v>45</v>
      </c>
      <c r="AD278" t="str">
        <f t="shared" si="6"/>
        <v xml:space="preserve">C  D </v>
      </c>
    </row>
    <row r="279" spans="1:32" hidden="1" x14ac:dyDescent="0.25">
      <c r="A279">
        <f>INDEX(Albums!$A:$A, MATCH(C279,Albums!$C:$C,0))</f>
        <v>4</v>
      </c>
      <c r="B279">
        <f>INDEX(Albums!$B:$B, MATCH(C279,Albums!$C:$C,0))</f>
        <v>2015</v>
      </c>
      <c r="C279" t="s">
        <v>984</v>
      </c>
      <c r="D279">
        <v>6</v>
      </c>
      <c r="E279" t="s">
        <v>903</v>
      </c>
      <c r="F279" t="s">
        <v>904</v>
      </c>
      <c r="G279" s="28" t="s">
        <v>1140</v>
      </c>
      <c r="L279" s="10">
        <v>7054935</v>
      </c>
      <c r="M279" s="4">
        <v>2015</v>
      </c>
      <c r="N279" t="s">
        <v>1105</v>
      </c>
      <c r="P279" s="23" t="s">
        <v>70</v>
      </c>
      <c r="Q279">
        <v>123</v>
      </c>
      <c r="R279" t="s">
        <v>39</v>
      </c>
      <c r="S279" t="s">
        <v>23</v>
      </c>
      <c r="V279" t="str">
        <f>IF(AND(ISNUMBER(L279),COUNTIF([1]Songs!$L:$L,L279)&gt;0),"YES","")</f>
        <v/>
      </c>
      <c r="W279" t="e">
        <f>IF(AND(ISNUMBER(L279),COUNTIF([2]Songs!$J:$J,L279)&gt;0),"YES","")</f>
        <v>#VALUE!</v>
      </c>
      <c r="X279" t="e">
        <f>IF(AND(ISNUMBER(L279),COUNTIF([3]CcliCombined!$D:$D,L279)&gt;0),"YES","")</f>
        <v>#VALUE!</v>
      </c>
      <c r="Y279" t="e">
        <f>IF(AND(ISNUMBER(L279),COUNTIF([4]Songs!$H:$H,L279)&gt;0),"YES","")</f>
        <v>#VALUE!</v>
      </c>
      <c r="Z279" t="s">
        <v>631</v>
      </c>
      <c r="AA279" t="s">
        <v>1196</v>
      </c>
      <c r="AB279">
        <v>46</v>
      </c>
      <c r="AC279" t="s">
        <v>1032</v>
      </c>
      <c r="AD279" t="str">
        <f t="shared" si="6"/>
        <v xml:space="preserve"> D </v>
      </c>
      <c r="AF279" t="s">
        <v>1197</v>
      </c>
    </row>
    <row r="280" spans="1:32" hidden="1" x14ac:dyDescent="0.25">
      <c r="A280">
        <f>INDEX(Albums!$A:$A, MATCH(C280,Albums!$C:$C,0))</f>
        <v>4</v>
      </c>
      <c r="B280">
        <f>INDEX(Albums!$B:$B, MATCH(C280,Albums!$C:$C,0))</f>
        <v>2015</v>
      </c>
      <c r="C280" t="s">
        <v>984</v>
      </c>
      <c r="D280">
        <v>7</v>
      </c>
      <c r="E280" t="s">
        <v>905</v>
      </c>
      <c r="F280" t="s">
        <v>906</v>
      </c>
      <c r="L280" s="10" t="s">
        <v>327</v>
      </c>
      <c r="P280" s="23" t="s">
        <v>70</v>
      </c>
      <c r="Q280">
        <v>62</v>
      </c>
      <c r="R280" t="s">
        <v>52</v>
      </c>
      <c r="S280" t="s">
        <v>23</v>
      </c>
      <c r="V280" t="str">
        <f>IF(AND(ISNUMBER(L280),COUNTIF([1]Songs!$L:$L,L280)&gt;0),"YES","")</f>
        <v/>
      </c>
      <c r="W280" t="e">
        <f>IF(AND(ISNUMBER(L280),COUNTIF([2]Songs!$J:$J,L280)&gt;0),"YES","")</f>
        <v>#VALUE!</v>
      </c>
      <c r="X280" t="e">
        <f>IF(AND(ISNUMBER(L280),COUNTIF([3]CcliCombined!$D:$D,L280)&gt;0),"YES","")</f>
        <v>#VALUE!</v>
      </c>
      <c r="Y280" t="e">
        <f>IF(AND(ISNUMBER(L280),COUNTIF([4]Songs!$H:$H,L280)&gt;0),"YES","")</f>
        <v>#VALUE!</v>
      </c>
      <c r="Z280" t="s">
        <v>631</v>
      </c>
      <c r="AB280">
        <v>47</v>
      </c>
      <c r="AC280" t="s">
        <v>1129</v>
      </c>
      <c r="AD280" t="str">
        <f t="shared" si="6"/>
        <v xml:space="preserve"> A </v>
      </c>
      <c r="AF280" t="s">
        <v>1197</v>
      </c>
    </row>
    <row r="281" spans="1:32" x14ac:dyDescent="0.25">
      <c r="A281">
        <f>INDEX(Albums!$A:$A, MATCH(C281,Albums!$C:$C,0))</f>
        <v>4</v>
      </c>
      <c r="B281">
        <f>INDEX(Albums!$B:$B, MATCH(C281,Albums!$C:$C,0))</f>
        <v>2015</v>
      </c>
      <c r="C281" t="s">
        <v>984</v>
      </c>
      <c r="D281">
        <v>8</v>
      </c>
      <c r="E281" t="s">
        <v>907</v>
      </c>
      <c r="F281" t="s">
        <v>908</v>
      </c>
      <c r="G281" s="28" t="s">
        <v>1141</v>
      </c>
      <c r="I281" t="s">
        <v>52</v>
      </c>
      <c r="J281">
        <v>73</v>
      </c>
      <c r="K281" s="11" t="s">
        <v>371</v>
      </c>
      <c r="L281" s="10">
        <v>7054927</v>
      </c>
      <c r="M281" s="4">
        <v>2015</v>
      </c>
      <c r="N281" t="s">
        <v>1105</v>
      </c>
      <c r="O281" t="s">
        <v>1199</v>
      </c>
      <c r="P281" s="23" t="s">
        <v>70</v>
      </c>
      <c r="Q281">
        <v>73</v>
      </c>
      <c r="R281" t="s">
        <v>31</v>
      </c>
      <c r="S281" t="s">
        <v>23</v>
      </c>
      <c r="U281" t="s">
        <v>478</v>
      </c>
      <c r="V281" t="str">
        <f>IF(AND(ISNUMBER(L281),COUNTIF([1]Songs!$L:$L,L281)&gt;0),"YES","")</f>
        <v/>
      </c>
      <c r="W281" t="e">
        <f>IF(AND(ISNUMBER(L281),COUNTIF([2]Songs!$J:$J,L281)&gt;0),"YES","")</f>
        <v>#VALUE!</v>
      </c>
      <c r="X281" t="e">
        <f>IF(AND(ISNUMBER(L281),COUNTIF([3]CcliCombined!$D:$D,L281)&gt;0),"YES","")</f>
        <v>#VALUE!</v>
      </c>
      <c r="Y281" t="e">
        <f>IF(AND(ISNUMBER(L281),COUNTIF([4]Songs!$H:$H,L281)&gt;0),"YES","")</f>
        <v>#VALUE!</v>
      </c>
      <c r="Z281" t="s">
        <v>631</v>
      </c>
      <c r="AA281" t="s">
        <v>1196</v>
      </c>
      <c r="AB281">
        <v>48</v>
      </c>
      <c r="AD281" t="str">
        <f t="shared" si="6"/>
        <v xml:space="preserve">A  B </v>
      </c>
    </row>
    <row r="282" spans="1:32" hidden="1" x14ac:dyDescent="0.25">
      <c r="A282">
        <f>INDEX(Albums!$A:$A, MATCH(C282,Albums!$C:$C,0))</f>
        <v>4</v>
      </c>
      <c r="B282">
        <f>INDEX(Albums!$B:$B, MATCH(C282,Albums!$C:$C,0))</f>
        <v>2015</v>
      </c>
      <c r="C282" t="s">
        <v>984</v>
      </c>
      <c r="D282">
        <v>9</v>
      </c>
      <c r="E282" t="s">
        <v>909</v>
      </c>
      <c r="F282" t="s">
        <v>910</v>
      </c>
      <c r="G282" s="28" t="s">
        <v>1141</v>
      </c>
      <c r="L282" s="10">
        <v>7054929</v>
      </c>
      <c r="M282" s="4">
        <v>2015</v>
      </c>
      <c r="N282" t="s">
        <v>1105</v>
      </c>
      <c r="P282" s="23" t="s">
        <v>70</v>
      </c>
      <c r="Q282">
        <v>123</v>
      </c>
      <c r="R282" t="s">
        <v>31</v>
      </c>
      <c r="S282" t="s">
        <v>23</v>
      </c>
      <c r="V282" t="str">
        <f>IF(AND(ISNUMBER(L282),COUNTIF([1]Songs!$L:$L,L282)&gt;0),"YES","")</f>
        <v/>
      </c>
      <c r="W282" t="e">
        <f>IF(AND(ISNUMBER(L282),COUNTIF([2]Songs!$J:$J,L282)&gt;0),"YES","")</f>
        <v>#VALUE!</v>
      </c>
      <c r="X282" t="e">
        <f>IF(AND(ISNUMBER(L282),COUNTIF([3]CcliCombined!$D:$D,L282)&gt;0),"YES","")</f>
        <v>#VALUE!</v>
      </c>
      <c r="Y282" t="e">
        <f>IF(AND(ISNUMBER(L282),COUNTIF([4]Songs!$H:$H,L282)&gt;0),"YES","")</f>
        <v>#VALUE!</v>
      </c>
      <c r="Z282" t="s">
        <v>631</v>
      </c>
      <c r="AA282" t="s">
        <v>1196</v>
      </c>
      <c r="AB282">
        <v>49</v>
      </c>
      <c r="AC282" t="s">
        <v>1032</v>
      </c>
      <c r="AD282" t="str">
        <f t="shared" si="6"/>
        <v xml:space="preserve"> B </v>
      </c>
      <c r="AF282" t="s">
        <v>1197</v>
      </c>
    </row>
    <row r="283" spans="1:32" hidden="1" x14ac:dyDescent="0.25">
      <c r="A283">
        <f>INDEX(Albums!$A:$A, MATCH(C283,Albums!$C:$C,0))</f>
        <v>4</v>
      </c>
      <c r="B283">
        <f>INDEX(Albums!$B:$B, MATCH(C283,Albums!$C:$C,0))</f>
        <v>2015</v>
      </c>
      <c r="C283" t="s">
        <v>984</v>
      </c>
      <c r="D283">
        <v>10</v>
      </c>
      <c r="E283" t="s">
        <v>507</v>
      </c>
      <c r="F283" t="s">
        <v>23</v>
      </c>
      <c r="G283" s="28" t="s">
        <v>1141</v>
      </c>
      <c r="L283" s="10">
        <v>7057211</v>
      </c>
      <c r="M283" s="4">
        <v>2015</v>
      </c>
      <c r="N283" t="s">
        <v>1105</v>
      </c>
      <c r="P283" s="23" t="s">
        <v>70</v>
      </c>
      <c r="Q283">
        <v>60</v>
      </c>
      <c r="R283" t="s">
        <v>31</v>
      </c>
      <c r="S283" t="s">
        <v>23</v>
      </c>
      <c r="V283" t="str">
        <f>IF(AND(ISNUMBER(L283),COUNTIF([1]Songs!$L:$L,L283)&gt;0),"YES","")</f>
        <v/>
      </c>
      <c r="W283" t="e">
        <f>IF(AND(ISNUMBER(L283),COUNTIF([2]Songs!$J:$J,L283)&gt;0),"YES","")</f>
        <v>#VALUE!</v>
      </c>
      <c r="X283" t="e">
        <f>IF(AND(ISNUMBER(L283),COUNTIF([3]CcliCombined!$D:$D,L283)&gt;0),"YES","")</f>
        <v>#VALUE!</v>
      </c>
      <c r="Y283" t="e">
        <f>IF(AND(ISNUMBER(L283),COUNTIF([4]Songs!$H:$H,L283)&gt;0),"YES","")</f>
        <v>#VALUE!</v>
      </c>
      <c r="Z283" t="s">
        <v>631</v>
      </c>
      <c r="AA283" t="s">
        <v>1196</v>
      </c>
      <c r="AB283">
        <v>50</v>
      </c>
      <c r="AC283" t="s">
        <v>1032</v>
      </c>
      <c r="AD283" t="str">
        <f t="shared" si="6"/>
        <v xml:space="preserve"> B </v>
      </c>
      <c r="AF283" t="s">
        <v>1197</v>
      </c>
    </row>
    <row r="284" spans="1:32" hidden="1" x14ac:dyDescent="0.25">
      <c r="A284">
        <f>INDEX(Albums!$A:$A, MATCH(C284,Albums!$C:$C,0))</f>
        <v>4</v>
      </c>
      <c r="B284">
        <f>INDEX(Albums!$B:$B, MATCH(C284,Albums!$C:$C,0))</f>
        <v>2015</v>
      </c>
      <c r="C284" t="s">
        <v>984</v>
      </c>
      <c r="D284">
        <v>11</v>
      </c>
      <c r="E284" t="s">
        <v>911</v>
      </c>
      <c r="F284" t="s">
        <v>912</v>
      </c>
      <c r="G284" s="28" t="s">
        <v>1141</v>
      </c>
      <c r="L284" s="10">
        <v>7054931</v>
      </c>
      <c r="M284" s="4">
        <v>2015</v>
      </c>
      <c r="N284" t="s">
        <v>1105</v>
      </c>
      <c r="P284" s="23" t="s">
        <v>70</v>
      </c>
      <c r="Q284">
        <v>69</v>
      </c>
      <c r="R284" t="s">
        <v>47</v>
      </c>
      <c r="S284" t="s">
        <v>23</v>
      </c>
      <c r="V284" t="str">
        <f>IF(AND(ISNUMBER(L284),COUNTIF([1]Songs!$L:$L,L284)&gt;0),"YES","")</f>
        <v/>
      </c>
      <c r="W284" t="e">
        <f>IF(AND(ISNUMBER(L284),COUNTIF([2]Songs!$J:$J,L284)&gt;0),"YES","")</f>
        <v>#VALUE!</v>
      </c>
      <c r="X284" t="e">
        <f>IF(AND(ISNUMBER(L284),COUNTIF([3]CcliCombined!$D:$D,L284)&gt;0),"YES","")</f>
        <v>#VALUE!</v>
      </c>
      <c r="Y284" t="e">
        <f>IF(AND(ISNUMBER(L284),COUNTIF([4]Songs!$H:$H,L284)&gt;0),"YES","")</f>
        <v>#VALUE!</v>
      </c>
      <c r="Z284" t="s">
        <v>631</v>
      </c>
      <c r="AA284" t="s">
        <v>1196</v>
      </c>
      <c r="AB284">
        <v>51</v>
      </c>
      <c r="AC284" t="s">
        <v>1032</v>
      </c>
      <c r="AD284" t="str">
        <f t="shared" si="6"/>
        <v xml:space="preserve"> C </v>
      </c>
      <c r="AF284" t="s">
        <v>1197</v>
      </c>
    </row>
    <row r="285" spans="1:32" x14ac:dyDescent="0.25">
      <c r="A285">
        <f>INDEX(Albums!$A:$A, MATCH(C285,Albums!$C:$C,0))</f>
        <v>4</v>
      </c>
      <c r="B285">
        <f>INDEX(Albums!$B:$B, MATCH(C285,Albums!$C:$C,0))</f>
        <v>2015</v>
      </c>
      <c r="C285" t="s">
        <v>984</v>
      </c>
      <c r="D285">
        <v>12</v>
      </c>
      <c r="E285" t="s">
        <v>590</v>
      </c>
      <c r="F285" t="s">
        <v>913</v>
      </c>
      <c r="G285" s="28" t="s">
        <v>1141</v>
      </c>
      <c r="I285" t="s">
        <v>47</v>
      </c>
      <c r="J285">
        <v>55</v>
      </c>
      <c r="K285" s="11" t="s">
        <v>371</v>
      </c>
      <c r="L285" s="10">
        <v>7054930</v>
      </c>
      <c r="M285" s="4">
        <v>2015</v>
      </c>
      <c r="N285" t="s">
        <v>1105</v>
      </c>
      <c r="O285" t="s">
        <v>1199</v>
      </c>
      <c r="P285" s="23" t="s">
        <v>70</v>
      </c>
      <c r="Q285">
        <v>55</v>
      </c>
      <c r="R285" t="s">
        <v>47</v>
      </c>
      <c r="S285" t="s">
        <v>23</v>
      </c>
      <c r="U285" t="s">
        <v>478</v>
      </c>
      <c r="V285" t="str">
        <f>IF(AND(ISNUMBER(L285),COUNTIF([1]Songs!$L:$L,L285)&gt;0),"YES","")</f>
        <v/>
      </c>
      <c r="W285" t="e">
        <f>IF(AND(ISNUMBER(L285),COUNTIF([2]Songs!$J:$J,L285)&gt;0),"YES","")</f>
        <v>#VALUE!</v>
      </c>
      <c r="X285" t="e">
        <f>IF(AND(ISNUMBER(L285),COUNTIF([3]CcliCombined!$D:$D,L285)&gt;0),"YES","")</f>
        <v>#VALUE!</v>
      </c>
      <c r="Y285" t="e">
        <f>IF(AND(ISNUMBER(L285),COUNTIF([4]Songs!$H:$H,L285)&gt;0),"YES","")</f>
        <v>#VALUE!</v>
      </c>
      <c r="Z285" t="s">
        <v>631</v>
      </c>
      <c r="AA285" t="s">
        <v>1196</v>
      </c>
      <c r="AB285">
        <v>52</v>
      </c>
      <c r="AD285" t="str">
        <f t="shared" ref="AD285:AD348" si="7">I285
&amp;IF(H285=I285,""," "&amp;H285)
&amp;IF(OR(R285=I285,R285=H285),""," "&amp;R285)
&amp;IF(R285=S285,""," "&amp;S285)</f>
        <v xml:space="preserve">C  </v>
      </c>
    </row>
    <row r="286" spans="1:32" x14ac:dyDescent="0.25">
      <c r="A286">
        <f>INDEX(Albums!$A:$A, MATCH(C286,Albums!$C:$C,0))</f>
        <v>5</v>
      </c>
      <c r="C286" t="s">
        <v>18</v>
      </c>
      <c r="D286">
        <v>1</v>
      </c>
      <c r="E286" t="s">
        <v>508</v>
      </c>
      <c r="F286" t="s">
        <v>23</v>
      </c>
      <c r="G286" s="28" t="s">
        <v>1189</v>
      </c>
      <c r="I286" t="s">
        <v>93</v>
      </c>
      <c r="J286">
        <v>81</v>
      </c>
      <c r="K286" s="11" t="s">
        <v>371</v>
      </c>
      <c r="L286" s="10">
        <v>7148126</v>
      </c>
      <c r="M286" s="4">
        <v>2020</v>
      </c>
      <c r="N286" t="s">
        <v>374</v>
      </c>
      <c r="O286" t="s">
        <v>1199</v>
      </c>
      <c r="P286" s="23" t="s">
        <v>27</v>
      </c>
      <c r="Q286">
        <v>81</v>
      </c>
      <c r="R286" t="s">
        <v>93</v>
      </c>
      <c r="S286" t="s">
        <v>23</v>
      </c>
      <c r="U286" t="s">
        <v>478</v>
      </c>
      <c r="V286" t="str">
        <f>IF(AND(ISNUMBER(L286),COUNTIF([1]Songs!$L:$L,L286)&gt;0),"YES","")</f>
        <v/>
      </c>
      <c r="W286" t="e">
        <f>IF(AND(ISNUMBER(L286),COUNTIF([2]Songs!$J:$J,L286)&gt;0),"YES","")</f>
        <v>#VALUE!</v>
      </c>
      <c r="X286" t="e">
        <f>IF(AND(ISNUMBER(L286),COUNTIF([3]CcliCombined!$D:$D,L286)&gt;0),"YES","")</f>
        <v>#VALUE!</v>
      </c>
      <c r="Y286" t="e">
        <f>IF(AND(ISNUMBER(L286),COUNTIF([4]Songs!$H:$H,L286)&gt;0),"YES","")</f>
        <v>#VALUE!</v>
      </c>
      <c r="Z286" t="s">
        <v>631</v>
      </c>
      <c r="AB286">
        <v>53</v>
      </c>
      <c r="AD286" t="str">
        <f t="shared" si="7"/>
        <v xml:space="preserve">Db  </v>
      </c>
    </row>
    <row r="287" spans="1:32" hidden="1" x14ac:dyDescent="0.25">
      <c r="A287">
        <f>INDEX(Albums!$A:$A, MATCH(C287,Albums!$C:$C,0))</f>
        <v>5</v>
      </c>
      <c r="C287" t="s">
        <v>18</v>
      </c>
      <c r="D287">
        <v>2</v>
      </c>
      <c r="E287" t="s">
        <v>350</v>
      </c>
      <c r="F287" t="s">
        <v>17</v>
      </c>
      <c r="G287" s="28" t="s">
        <v>1067</v>
      </c>
      <c r="I287" t="s">
        <v>52</v>
      </c>
      <c r="K287" s="11" t="s">
        <v>371</v>
      </c>
      <c r="L287" s="10">
        <v>5942543</v>
      </c>
      <c r="M287" s="4">
        <v>2011</v>
      </c>
      <c r="N287" t="s">
        <v>374</v>
      </c>
      <c r="P287" s="23" t="s">
        <v>27</v>
      </c>
      <c r="Q287">
        <v>84</v>
      </c>
      <c r="R287" t="s">
        <v>52</v>
      </c>
      <c r="S287" t="s">
        <v>23</v>
      </c>
      <c r="U287" t="s">
        <v>478</v>
      </c>
      <c r="V287" t="str">
        <f>IF(AND(ISNUMBER(L287),COUNTIF([1]Songs!$L:$L,L287)&gt;0),"YES","")</f>
        <v/>
      </c>
      <c r="W287" t="e">
        <f>IF(AND(ISNUMBER(L287),COUNTIF([2]Songs!$J:$J,L287)&gt;0),"YES","")</f>
        <v>#VALUE!</v>
      </c>
      <c r="X287" t="e">
        <f>IF(AND(ISNUMBER(L287),COUNTIF([3]CcliCombined!$D:$D,L287)&gt;0),"YES","")</f>
        <v>#VALUE!</v>
      </c>
      <c r="Y287" t="e">
        <f>IF(AND(ISNUMBER(L287),COUNTIF([4]Songs!$H:$H,L287)&gt;0),"YES","")</f>
        <v>#VALUE!</v>
      </c>
      <c r="Z287" t="s">
        <v>631</v>
      </c>
      <c r="AB287">
        <v>54</v>
      </c>
      <c r="AD287" t="str">
        <f t="shared" si="7"/>
        <v xml:space="preserve">A  </v>
      </c>
      <c r="AF287" t="s">
        <v>1197</v>
      </c>
    </row>
    <row r="288" spans="1:32" x14ac:dyDescent="0.25">
      <c r="A288">
        <f>INDEX(Albums!$A:$A, MATCH(C288,Albums!$C:$C,0))</f>
        <v>5</v>
      </c>
      <c r="C288" t="s">
        <v>18</v>
      </c>
      <c r="D288">
        <v>3</v>
      </c>
      <c r="E288" t="s">
        <v>591</v>
      </c>
      <c r="F288" t="s">
        <v>17</v>
      </c>
      <c r="G288" s="28" t="s">
        <v>1190</v>
      </c>
      <c r="I288" t="s">
        <v>93</v>
      </c>
      <c r="J288">
        <v>82</v>
      </c>
      <c r="K288" s="11" t="s">
        <v>371</v>
      </c>
      <c r="L288" s="10">
        <v>7119315</v>
      </c>
      <c r="M288" s="4">
        <v>2018</v>
      </c>
      <c r="N288" t="s">
        <v>434</v>
      </c>
      <c r="O288" t="s">
        <v>1199</v>
      </c>
      <c r="P288" s="23" t="s">
        <v>201</v>
      </c>
      <c r="Q288">
        <v>82</v>
      </c>
      <c r="R288" t="s">
        <v>47</v>
      </c>
      <c r="S288" t="s">
        <v>23</v>
      </c>
      <c r="U288" t="s">
        <v>478</v>
      </c>
      <c r="V288" t="str">
        <f>IF(AND(ISNUMBER(L288),COUNTIF([1]Songs!$L:$L,L288)&gt;0),"YES","")</f>
        <v/>
      </c>
      <c r="W288" t="e">
        <f>IF(AND(ISNUMBER(L288),COUNTIF([2]Songs!$J:$J,L288)&gt;0),"YES","")</f>
        <v>#VALUE!</v>
      </c>
      <c r="X288" t="e">
        <f>IF(AND(ISNUMBER(L288),COUNTIF([3]CcliCombined!$D:$D,L288)&gt;0),"YES","")</f>
        <v>#VALUE!</v>
      </c>
      <c r="Y288" t="e">
        <f>IF(AND(ISNUMBER(L288),COUNTIF([4]Songs!$H:$H,L288)&gt;0),"YES","")</f>
        <v>#VALUE!</v>
      </c>
      <c r="Z288" t="s">
        <v>631</v>
      </c>
      <c r="AB288">
        <v>55</v>
      </c>
      <c r="AD288" t="str">
        <f t="shared" si="7"/>
        <v xml:space="preserve">Db  C </v>
      </c>
    </row>
    <row r="289" spans="1:32" x14ac:dyDescent="0.25">
      <c r="A289">
        <f>INDEX(Albums!$A:$A, MATCH(C289,Albums!$C:$C,0))</f>
        <v>5</v>
      </c>
      <c r="C289" t="s">
        <v>18</v>
      </c>
      <c r="D289">
        <v>4</v>
      </c>
      <c r="E289" t="s">
        <v>509</v>
      </c>
      <c r="F289" t="s">
        <v>17</v>
      </c>
      <c r="G289" s="28" t="s">
        <v>1191</v>
      </c>
      <c r="I289" t="s">
        <v>39</v>
      </c>
      <c r="J289">
        <v>43</v>
      </c>
      <c r="K289" s="11" t="s">
        <v>425</v>
      </c>
      <c r="L289" s="10">
        <v>7104628</v>
      </c>
      <c r="M289" s="4">
        <v>2018</v>
      </c>
      <c r="N289" t="s">
        <v>372</v>
      </c>
      <c r="O289" t="s">
        <v>1199</v>
      </c>
      <c r="P289" s="23" t="s">
        <v>215</v>
      </c>
      <c r="Q289">
        <v>64</v>
      </c>
      <c r="R289" t="s">
        <v>39</v>
      </c>
      <c r="S289" t="s">
        <v>23</v>
      </c>
      <c r="U289" t="s">
        <v>478</v>
      </c>
      <c r="V289" t="str">
        <f>IF(AND(ISNUMBER(L289),COUNTIF([1]Songs!$L:$L,L289)&gt;0),"YES","")</f>
        <v/>
      </c>
      <c r="W289" t="e">
        <f>IF(AND(ISNUMBER(L289),COUNTIF([2]Songs!$J:$J,L289)&gt;0),"YES","")</f>
        <v>#VALUE!</v>
      </c>
      <c r="X289" t="e">
        <f>IF(AND(ISNUMBER(L289),COUNTIF([3]CcliCombined!$D:$D,L289)&gt;0),"YES","")</f>
        <v>#VALUE!</v>
      </c>
      <c r="Y289" t="e">
        <f>IF(AND(ISNUMBER(L289),COUNTIF([4]Songs!$H:$H,L289)&gt;0),"YES","")</f>
        <v>#VALUE!</v>
      </c>
      <c r="Z289" t="s">
        <v>631</v>
      </c>
      <c r="AB289">
        <v>56</v>
      </c>
      <c r="AD289" t="str">
        <f t="shared" si="7"/>
        <v xml:space="preserve">D  </v>
      </c>
    </row>
    <row r="290" spans="1:32" x14ac:dyDescent="0.25">
      <c r="A290">
        <f>INDEX(Albums!$A:$A, MATCH(C290,Albums!$C:$C,0))</f>
        <v>5</v>
      </c>
      <c r="C290" t="s">
        <v>18</v>
      </c>
      <c r="D290">
        <v>5</v>
      </c>
      <c r="E290" t="s">
        <v>510</v>
      </c>
      <c r="F290" t="s">
        <v>17</v>
      </c>
      <c r="G290" s="28" t="s">
        <v>1192</v>
      </c>
      <c r="I290" t="s">
        <v>52</v>
      </c>
      <c r="J290">
        <v>63</v>
      </c>
      <c r="K290" s="11" t="s">
        <v>371</v>
      </c>
      <c r="L290" s="10">
        <v>7123203</v>
      </c>
      <c r="M290" s="4">
        <v>2019</v>
      </c>
      <c r="N290" t="s">
        <v>1000</v>
      </c>
      <c r="O290" t="s">
        <v>1199</v>
      </c>
      <c r="P290" s="23" t="s">
        <v>35</v>
      </c>
      <c r="Q290">
        <v>63</v>
      </c>
      <c r="R290" t="s">
        <v>28</v>
      </c>
      <c r="S290" t="s">
        <v>23</v>
      </c>
      <c r="U290" t="s">
        <v>478</v>
      </c>
      <c r="V290" t="str">
        <f>IF(AND(ISNUMBER(L290),COUNTIF([1]Songs!$L:$L,L290)&gt;0),"YES","")</f>
        <v/>
      </c>
      <c r="W290" t="e">
        <f>IF(AND(ISNUMBER(L290),COUNTIF([2]Songs!$J:$J,L290)&gt;0),"YES","")</f>
        <v>#VALUE!</v>
      </c>
      <c r="X290" t="e">
        <f>IF(AND(ISNUMBER(L290),COUNTIF([3]CcliCombined!$D:$D,L290)&gt;0),"YES","")</f>
        <v>#VALUE!</v>
      </c>
      <c r="Y290" t="e">
        <f>IF(AND(ISNUMBER(L290),COUNTIF([4]Songs!$H:$H,L290)&gt;0),"YES","")</f>
        <v>#VALUE!</v>
      </c>
      <c r="Z290" t="s">
        <v>631</v>
      </c>
      <c r="AB290">
        <v>57</v>
      </c>
      <c r="AD290" t="str">
        <f t="shared" si="7"/>
        <v xml:space="preserve">A  Bb </v>
      </c>
    </row>
    <row r="291" spans="1:32" x14ac:dyDescent="0.25">
      <c r="A291">
        <f>INDEX(Albums!$A:$A, MATCH(C291,Albums!$C:$C,0))</f>
        <v>5</v>
      </c>
      <c r="C291" t="s">
        <v>18</v>
      </c>
      <c r="D291">
        <v>6</v>
      </c>
      <c r="E291" t="s">
        <v>511</v>
      </c>
      <c r="F291" t="s">
        <v>17</v>
      </c>
      <c r="G291" s="28" t="s">
        <v>1193</v>
      </c>
      <c r="I291" t="s">
        <v>52</v>
      </c>
      <c r="J291">
        <v>70</v>
      </c>
      <c r="K291" s="11" t="s">
        <v>371</v>
      </c>
      <c r="L291" s="10">
        <v>6605236</v>
      </c>
      <c r="M291" s="4">
        <v>2012</v>
      </c>
      <c r="N291" t="s">
        <v>372</v>
      </c>
      <c r="O291" t="s">
        <v>1199</v>
      </c>
      <c r="P291" s="23" t="s">
        <v>215</v>
      </c>
      <c r="Q291">
        <v>70</v>
      </c>
      <c r="R291" t="s">
        <v>52</v>
      </c>
      <c r="S291" t="s">
        <v>23</v>
      </c>
      <c r="U291" t="s">
        <v>478</v>
      </c>
      <c r="V291" t="str">
        <f>IF(AND(ISNUMBER(L291),COUNTIF([1]Songs!$L:$L,L291)&gt;0),"YES","")</f>
        <v/>
      </c>
      <c r="W291" t="e">
        <f>IF(AND(ISNUMBER(L291),COUNTIF([2]Songs!$J:$J,L291)&gt;0),"YES","")</f>
        <v>#VALUE!</v>
      </c>
      <c r="X291" t="e">
        <f>IF(AND(ISNUMBER(L291),COUNTIF([3]CcliCombined!$D:$D,L291)&gt;0),"YES","")</f>
        <v>#VALUE!</v>
      </c>
      <c r="Y291" t="e">
        <f>IF(AND(ISNUMBER(L291),COUNTIF([4]Songs!$H:$H,L291)&gt;0),"YES","")</f>
        <v>#VALUE!</v>
      </c>
      <c r="Z291" t="s">
        <v>631</v>
      </c>
      <c r="AB291">
        <v>58</v>
      </c>
      <c r="AD291" t="str">
        <f t="shared" si="7"/>
        <v xml:space="preserve">A  </v>
      </c>
    </row>
    <row r="292" spans="1:32" hidden="1" x14ac:dyDescent="0.25">
      <c r="A292">
        <f>INDEX(Albums!$A:$A, MATCH(C292,Albums!$C:$C,0))</f>
        <v>5</v>
      </c>
      <c r="C292" t="s">
        <v>18</v>
      </c>
      <c r="D292">
        <v>7</v>
      </c>
      <c r="E292" t="s">
        <v>512</v>
      </c>
      <c r="F292" t="s">
        <v>17</v>
      </c>
      <c r="G292" s="28" t="s">
        <v>1141</v>
      </c>
      <c r="L292" s="10">
        <v>3407011</v>
      </c>
      <c r="M292" s="4">
        <v>2002</v>
      </c>
      <c r="N292" t="s">
        <v>956</v>
      </c>
      <c r="P292" s="23" t="s">
        <v>70</v>
      </c>
      <c r="Q292">
        <v>80</v>
      </c>
      <c r="R292" t="s">
        <v>25</v>
      </c>
      <c r="S292" t="s">
        <v>23</v>
      </c>
      <c r="V292" t="str">
        <f>IF(AND(ISNUMBER(L292),COUNTIF([1]Songs!$L:$L,L292)&gt;0),"YES","")</f>
        <v/>
      </c>
      <c r="W292" t="e">
        <f>IF(AND(ISNUMBER(L292),COUNTIF([2]Songs!$J:$J,L292)&gt;0),"YES","")</f>
        <v>#VALUE!</v>
      </c>
      <c r="X292" t="e">
        <f>IF(AND(ISNUMBER(L292),COUNTIF([3]CcliCombined!$D:$D,L292)&gt;0),"YES","")</f>
        <v>#VALUE!</v>
      </c>
      <c r="Y292" t="e">
        <f>IF(AND(ISNUMBER(L292),COUNTIF([4]Songs!$H:$H,L292)&gt;0),"YES","")</f>
        <v>#VALUE!</v>
      </c>
      <c r="Z292" t="s">
        <v>631</v>
      </c>
      <c r="AA292" t="s">
        <v>1196</v>
      </c>
      <c r="AB292">
        <v>59</v>
      </c>
      <c r="AC292" t="s">
        <v>1032</v>
      </c>
      <c r="AD292" t="str">
        <f t="shared" si="7"/>
        <v xml:space="preserve"> G </v>
      </c>
      <c r="AF292" t="s">
        <v>1197</v>
      </c>
    </row>
    <row r="293" spans="1:32" x14ac:dyDescent="0.25">
      <c r="A293">
        <f>INDEX(Albums!$A:$A, MATCH(C293,Albums!$C:$C,0))</f>
        <v>5</v>
      </c>
      <c r="C293" t="s">
        <v>18</v>
      </c>
      <c r="D293">
        <v>8</v>
      </c>
      <c r="E293" t="s">
        <v>513</v>
      </c>
      <c r="F293" t="s">
        <v>17</v>
      </c>
      <c r="G293" s="28" t="s">
        <v>1141</v>
      </c>
      <c r="I293" t="s">
        <v>1142</v>
      </c>
      <c r="J293">
        <v>86</v>
      </c>
      <c r="K293" s="11" t="s">
        <v>371</v>
      </c>
      <c r="L293" s="10">
        <v>3406988</v>
      </c>
      <c r="M293" s="4">
        <v>2002</v>
      </c>
      <c r="N293" t="s">
        <v>956</v>
      </c>
      <c r="O293" t="s">
        <v>1199</v>
      </c>
      <c r="P293" s="23" t="s">
        <v>70</v>
      </c>
      <c r="Q293">
        <v>80</v>
      </c>
      <c r="R293" t="s">
        <v>39</v>
      </c>
      <c r="S293" t="s">
        <v>23</v>
      </c>
      <c r="U293" t="s">
        <v>478</v>
      </c>
      <c r="V293" t="str">
        <f>IF(AND(ISNUMBER(L293),COUNTIF([1]Songs!$L:$L,L293)&gt;0),"YES","")</f>
        <v/>
      </c>
      <c r="W293" t="e">
        <f>IF(AND(ISNUMBER(L293),COUNTIF([2]Songs!$J:$J,L293)&gt;0),"YES","")</f>
        <v>#VALUE!</v>
      </c>
      <c r="X293" t="e">
        <f>IF(AND(ISNUMBER(L293),COUNTIF([3]CcliCombined!$D:$D,L293)&gt;0),"YES","")</f>
        <v>#VALUE!</v>
      </c>
      <c r="Y293" t="e">
        <f>IF(AND(ISNUMBER(L293),COUNTIF([4]Songs!$H:$H,L293)&gt;0),"YES","")</f>
        <v>#VALUE!</v>
      </c>
      <c r="Z293" t="s">
        <v>631</v>
      </c>
      <c r="AA293" t="s">
        <v>1196</v>
      </c>
      <c r="AB293">
        <v>60</v>
      </c>
      <c r="AD293" t="str">
        <f t="shared" si="7"/>
        <v xml:space="preserve">Bbm  D </v>
      </c>
    </row>
    <row r="294" spans="1:32" hidden="1" x14ac:dyDescent="0.25">
      <c r="A294">
        <f>INDEX(Albums!$A:$A, MATCH(C294,Albums!$C:$C,0))</f>
        <v>5</v>
      </c>
      <c r="C294" t="s">
        <v>18</v>
      </c>
      <c r="D294">
        <v>9</v>
      </c>
      <c r="E294" t="s">
        <v>514</v>
      </c>
      <c r="F294" t="s">
        <v>17</v>
      </c>
      <c r="G294" s="28" t="s">
        <v>1141</v>
      </c>
      <c r="L294" s="10">
        <v>6590815</v>
      </c>
      <c r="M294" s="4">
        <v>2013</v>
      </c>
      <c r="N294" t="s">
        <v>956</v>
      </c>
      <c r="P294" s="23" t="s">
        <v>70</v>
      </c>
      <c r="Q294">
        <v>118</v>
      </c>
      <c r="R294" t="s">
        <v>39</v>
      </c>
      <c r="S294" t="s">
        <v>23</v>
      </c>
      <c r="V294" t="str">
        <f>IF(AND(ISNUMBER(L294),COUNTIF([1]Songs!$L:$L,L294)&gt;0),"YES","")</f>
        <v/>
      </c>
      <c r="W294" t="e">
        <f>IF(AND(ISNUMBER(L294),COUNTIF([2]Songs!$J:$J,L294)&gt;0),"YES","")</f>
        <v>#VALUE!</v>
      </c>
      <c r="X294" t="e">
        <f>IF(AND(ISNUMBER(L294),COUNTIF([3]CcliCombined!$D:$D,L294)&gt;0),"YES","")</f>
        <v>#VALUE!</v>
      </c>
      <c r="Y294" t="e">
        <f>IF(AND(ISNUMBER(L294),COUNTIF([4]Songs!$H:$H,L294)&gt;0),"YES","")</f>
        <v>#VALUE!</v>
      </c>
      <c r="Z294" t="s">
        <v>631</v>
      </c>
      <c r="AA294" t="s">
        <v>1196</v>
      </c>
      <c r="AB294">
        <v>61</v>
      </c>
      <c r="AC294" t="s">
        <v>1032</v>
      </c>
      <c r="AD294" t="str">
        <f t="shared" si="7"/>
        <v xml:space="preserve"> D </v>
      </c>
      <c r="AF294" t="s">
        <v>1197</v>
      </c>
    </row>
    <row r="295" spans="1:32" hidden="1" x14ac:dyDescent="0.25">
      <c r="A295">
        <f>INDEX(Albums!$A:$A, MATCH(C295,Albums!$C:$C,0))</f>
        <v>5</v>
      </c>
      <c r="C295" t="s">
        <v>18</v>
      </c>
      <c r="D295">
        <v>10</v>
      </c>
      <c r="E295" t="s">
        <v>515</v>
      </c>
      <c r="F295" t="s">
        <v>17</v>
      </c>
      <c r="G295" s="28" t="s">
        <v>1141</v>
      </c>
      <c r="L295" s="10">
        <v>5627789</v>
      </c>
      <c r="M295" s="4">
        <v>2009</v>
      </c>
      <c r="N295" t="s">
        <v>956</v>
      </c>
      <c r="P295" s="23" t="s">
        <v>70</v>
      </c>
      <c r="Q295">
        <v>72</v>
      </c>
      <c r="R295" t="s">
        <v>31</v>
      </c>
      <c r="S295" t="s">
        <v>23</v>
      </c>
      <c r="V295" t="str">
        <f>IF(AND(ISNUMBER(L295),COUNTIF([1]Songs!$L:$L,L295)&gt;0),"YES","")</f>
        <v/>
      </c>
      <c r="W295" t="e">
        <f>IF(AND(ISNUMBER(L295),COUNTIF([2]Songs!$J:$J,L295)&gt;0),"YES","")</f>
        <v>#VALUE!</v>
      </c>
      <c r="X295" t="e">
        <f>IF(AND(ISNUMBER(L295),COUNTIF([3]CcliCombined!$D:$D,L295)&gt;0),"YES","")</f>
        <v>#VALUE!</v>
      </c>
      <c r="Y295" t="e">
        <f>IF(AND(ISNUMBER(L295),COUNTIF([4]Songs!$H:$H,L295)&gt;0),"YES","")</f>
        <v>#VALUE!</v>
      </c>
      <c r="Z295" t="s">
        <v>631</v>
      </c>
      <c r="AA295" t="s">
        <v>1196</v>
      </c>
      <c r="AB295">
        <v>62</v>
      </c>
      <c r="AC295" t="s">
        <v>1032</v>
      </c>
      <c r="AD295" t="str">
        <f t="shared" si="7"/>
        <v xml:space="preserve"> B </v>
      </c>
      <c r="AF295" t="s">
        <v>1197</v>
      </c>
    </row>
    <row r="296" spans="1:32" hidden="1" x14ac:dyDescent="0.25">
      <c r="A296">
        <f>INDEX(Albums!$A:$A, MATCH(C296,Albums!$C:$C,0))</f>
        <v>5</v>
      </c>
      <c r="C296" t="s">
        <v>923</v>
      </c>
      <c r="D296">
        <v>1</v>
      </c>
      <c r="E296" t="s">
        <v>924</v>
      </c>
      <c r="F296" t="s">
        <v>23</v>
      </c>
      <c r="G296" s="28" t="s">
        <v>1143</v>
      </c>
      <c r="L296" s="4">
        <v>7087777</v>
      </c>
      <c r="M296" s="4">
        <v>2016</v>
      </c>
      <c r="N296" t="s">
        <v>1105</v>
      </c>
      <c r="P296" s="23" t="s">
        <v>925</v>
      </c>
      <c r="Q296">
        <v>85</v>
      </c>
      <c r="R296" t="s">
        <v>31</v>
      </c>
      <c r="V296" t="str">
        <f>IF(AND(ISNUMBER(L296),COUNTIF([1]Songs!$L:$L,L296)&gt;0),"YES","")</f>
        <v/>
      </c>
      <c r="W296" t="e">
        <f>IF(AND(ISNUMBER(L296),COUNTIF([2]Songs!$J:$J,L296)&gt;0),"YES","")</f>
        <v>#VALUE!</v>
      </c>
      <c r="X296" t="e">
        <f>IF(AND(ISNUMBER(L296),COUNTIF([3]CcliCombined!$D:$D,L296)&gt;0),"YES","")</f>
        <v>#VALUE!</v>
      </c>
      <c r="Y296" t="e">
        <f>IF(AND(ISNUMBER(L296),COUNTIF([4]Songs!$H:$H,L296)&gt;0),"YES","")</f>
        <v>#VALUE!</v>
      </c>
      <c r="Z296" t="s">
        <v>631</v>
      </c>
      <c r="AB296">
        <v>62</v>
      </c>
      <c r="AC296" t="s">
        <v>1032</v>
      </c>
      <c r="AD296" t="str">
        <f t="shared" si="7"/>
        <v xml:space="preserve"> B </v>
      </c>
      <c r="AF296" t="s">
        <v>1197</v>
      </c>
    </row>
    <row r="297" spans="1:32" x14ac:dyDescent="0.25">
      <c r="A297">
        <f>INDEX(Albums!$A:$A, MATCH(C297,Albums!$C:$C,0))</f>
        <v>6</v>
      </c>
      <c r="C297" t="s">
        <v>842</v>
      </c>
      <c r="E297" t="s">
        <v>634</v>
      </c>
      <c r="G297" s="28" t="s">
        <v>638</v>
      </c>
      <c r="H297" s="3" t="s">
        <v>47</v>
      </c>
      <c r="I297" s="3" t="s">
        <v>47</v>
      </c>
      <c r="J297" s="4">
        <v>120</v>
      </c>
      <c r="K297" s="5" t="s">
        <v>371</v>
      </c>
      <c r="L297" s="9">
        <v>42964</v>
      </c>
      <c r="M297" s="4">
        <v>1529</v>
      </c>
      <c r="N297" s="6" t="s">
        <v>401</v>
      </c>
      <c r="O297" t="s">
        <v>1199</v>
      </c>
      <c r="S297" t="s">
        <v>23</v>
      </c>
      <c r="U297" t="s">
        <v>478</v>
      </c>
      <c r="V297" t="str">
        <f>IF(AND(ISNUMBER(L297),COUNTIF([1]Songs!$L:$L,L297)&gt;0),"YES","")</f>
        <v>YES</v>
      </c>
      <c r="W297" t="e">
        <f>IF(AND(ISNUMBER(L297),COUNTIF([2]Songs!$J:$J,L297)&gt;0),"YES","")</f>
        <v>#VALUE!</v>
      </c>
      <c r="X297" t="e">
        <f>IF(AND(ISNUMBER(L297),COUNTIF([3]CcliCombined!$D:$D,L297)&gt;0),"YES","")</f>
        <v>#VALUE!</v>
      </c>
      <c r="Y297" t="e">
        <f>IF(AND(ISNUMBER(L297),COUNTIF([4]Songs!$H:$H,L297)&gt;0),"YES","")</f>
        <v>#VALUE!</v>
      </c>
      <c r="Z297" t="s">
        <v>842</v>
      </c>
      <c r="AB297">
        <v>2</v>
      </c>
      <c r="AC297" s="4"/>
      <c r="AD297" t="str">
        <f t="shared" si="7"/>
        <v xml:space="preserve">C </v>
      </c>
    </row>
    <row r="298" spans="1:32" x14ac:dyDescent="0.25">
      <c r="A298">
        <f>INDEX(Albums!$A:$A, MATCH(C298,Albums!$C:$C,0))</f>
        <v>6</v>
      </c>
      <c r="C298" t="s">
        <v>842</v>
      </c>
      <c r="E298" t="s">
        <v>635</v>
      </c>
      <c r="G298" s="28" t="s">
        <v>639</v>
      </c>
      <c r="H298" s="3" t="s">
        <v>52</v>
      </c>
      <c r="I298" s="3" t="s">
        <v>52</v>
      </c>
      <c r="J298" s="4">
        <v>62</v>
      </c>
      <c r="K298" s="5" t="s">
        <v>371</v>
      </c>
      <c r="L298" s="9">
        <v>2672885</v>
      </c>
      <c r="M298" s="4">
        <v>1999</v>
      </c>
      <c r="N298" s="6" t="s">
        <v>390</v>
      </c>
      <c r="O298" t="s">
        <v>1199</v>
      </c>
      <c r="S298" t="s">
        <v>23</v>
      </c>
      <c r="U298" t="s">
        <v>478</v>
      </c>
      <c r="V298" t="str">
        <f>IF(AND(ISNUMBER(L298),COUNTIF([1]Songs!$L:$L,L298)&gt;0),"YES","")</f>
        <v>YES</v>
      </c>
      <c r="W298" t="e">
        <f>IF(AND(ISNUMBER(L298),COUNTIF([2]Songs!$J:$J,L298)&gt;0),"YES","")</f>
        <v>#VALUE!</v>
      </c>
      <c r="X298" t="e">
        <f>IF(AND(ISNUMBER(L298),COUNTIF([3]CcliCombined!$D:$D,L298)&gt;0),"YES","")</f>
        <v>#VALUE!</v>
      </c>
      <c r="Y298" t="e">
        <f>IF(AND(ISNUMBER(L298),COUNTIF([4]Songs!$H:$H,L298)&gt;0),"YES","")</f>
        <v>#VALUE!</v>
      </c>
      <c r="Z298" t="s">
        <v>842</v>
      </c>
      <c r="AB298">
        <v>3</v>
      </c>
      <c r="AC298" s="4"/>
      <c r="AD298" t="str">
        <f t="shared" si="7"/>
        <v xml:space="preserve">A </v>
      </c>
    </row>
    <row r="299" spans="1:32" x14ac:dyDescent="0.25">
      <c r="A299">
        <f>INDEX(Albums!$A:$A, MATCH(C299,Albums!$C:$C,0))</f>
        <v>6</v>
      </c>
      <c r="C299" t="s">
        <v>842</v>
      </c>
      <c r="E299" t="s">
        <v>636</v>
      </c>
      <c r="G299" s="28" t="s">
        <v>640</v>
      </c>
      <c r="H299" s="3" t="s">
        <v>36</v>
      </c>
      <c r="I299" s="3" t="s">
        <v>36</v>
      </c>
      <c r="J299" s="4">
        <v>94</v>
      </c>
      <c r="K299" s="4" t="s">
        <v>371</v>
      </c>
      <c r="L299" s="9">
        <v>7008232</v>
      </c>
      <c r="M299" s="4">
        <v>2012</v>
      </c>
      <c r="N299" s="6" t="s">
        <v>641</v>
      </c>
      <c r="O299" t="s">
        <v>1199</v>
      </c>
      <c r="S299" t="s">
        <v>23</v>
      </c>
      <c r="U299" t="s">
        <v>478</v>
      </c>
      <c r="V299" t="str">
        <f>IF(AND(ISNUMBER(L299),COUNTIF([1]Songs!$L:$L,L299)&gt;0),"YES","")</f>
        <v>YES</v>
      </c>
      <c r="W299" t="e">
        <f>IF(AND(ISNUMBER(L299),COUNTIF([2]Songs!$J:$J,L299)&gt;0),"YES","")</f>
        <v>#VALUE!</v>
      </c>
      <c r="X299" t="e">
        <f>IF(AND(ISNUMBER(L299),COUNTIF([3]CcliCombined!$D:$D,L299)&gt;0),"YES","")</f>
        <v>#VALUE!</v>
      </c>
      <c r="Y299" t="e">
        <f>IF(AND(ISNUMBER(L299),COUNTIF([4]Songs!$H:$H,L299)&gt;0),"YES","")</f>
        <v>#VALUE!</v>
      </c>
      <c r="Z299" t="s">
        <v>842</v>
      </c>
      <c r="AB299">
        <v>4</v>
      </c>
      <c r="AC299" s="4"/>
      <c r="AD299" t="str">
        <f t="shared" si="7"/>
        <v xml:space="preserve">E </v>
      </c>
    </row>
    <row r="300" spans="1:32" x14ac:dyDescent="0.25">
      <c r="A300">
        <f>INDEX(Albums!$A:$A, MATCH(C300,Albums!$C:$C,0))</f>
        <v>6</v>
      </c>
      <c r="C300" t="s">
        <v>842</v>
      </c>
      <c r="E300" t="s">
        <v>637</v>
      </c>
      <c r="G300" s="28" t="s">
        <v>642</v>
      </c>
      <c r="H300" s="3" t="s">
        <v>52</v>
      </c>
      <c r="I300" s="3" t="s">
        <v>52</v>
      </c>
      <c r="J300" s="4">
        <v>120</v>
      </c>
      <c r="K300" s="4" t="s">
        <v>371</v>
      </c>
      <c r="L300" s="10">
        <v>120556</v>
      </c>
      <c r="M300" s="4">
        <v>1987</v>
      </c>
      <c r="N300" s="4" t="s">
        <v>381</v>
      </c>
      <c r="O300" t="s">
        <v>1199</v>
      </c>
      <c r="S300" t="s">
        <v>23</v>
      </c>
      <c r="U300" t="s">
        <v>478</v>
      </c>
      <c r="V300" t="str">
        <f>IF(AND(ISNUMBER(L300),COUNTIF([1]Songs!$L:$L,L300)&gt;0),"YES","")</f>
        <v>YES</v>
      </c>
      <c r="W300" t="e">
        <f>IF(AND(ISNUMBER(L300),COUNTIF([2]Songs!$J:$J,L300)&gt;0),"YES","")</f>
        <v>#VALUE!</v>
      </c>
      <c r="X300" t="e">
        <f>IF(AND(ISNUMBER(L300),COUNTIF([3]CcliCombined!$D:$D,L300)&gt;0),"YES","")</f>
        <v>#VALUE!</v>
      </c>
      <c r="Y300" t="e">
        <f>IF(AND(ISNUMBER(L300),COUNTIF([4]Songs!$H:$H,L300)&gt;0),"YES","")</f>
        <v>#VALUE!</v>
      </c>
      <c r="Z300" t="s">
        <v>842</v>
      </c>
      <c r="AB300">
        <v>5</v>
      </c>
      <c r="AC300" s="4"/>
      <c r="AD300" t="str">
        <f t="shared" si="7"/>
        <v xml:space="preserve">A </v>
      </c>
    </row>
    <row r="301" spans="1:32" x14ac:dyDescent="0.25">
      <c r="A301">
        <f>INDEX(Albums!$A:$A, MATCH(C301,Albums!$C:$C,0))</f>
        <v>6</v>
      </c>
      <c r="C301" t="s">
        <v>842</v>
      </c>
      <c r="E301" t="s">
        <v>643</v>
      </c>
      <c r="G301" s="28" t="s">
        <v>389</v>
      </c>
      <c r="H301" s="3" t="s">
        <v>25</v>
      </c>
      <c r="I301" s="3" t="s">
        <v>67</v>
      </c>
      <c r="J301" s="4">
        <v>62</v>
      </c>
      <c r="K301" s="4" t="s">
        <v>371</v>
      </c>
      <c r="L301" s="10">
        <v>5869860</v>
      </c>
      <c r="M301" s="4">
        <v>2010</v>
      </c>
      <c r="N301" s="4" t="s">
        <v>378</v>
      </c>
      <c r="O301" t="s">
        <v>1199</v>
      </c>
      <c r="S301" t="s">
        <v>23</v>
      </c>
      <c r="U301" t="s">
        <v>478</v>
      </c>
      <c r="V301" t="str">
        <f>IF(AND(ISNUMBER(L301),COUNTIF([1]Songs!$L:$L,L301)&gt;0),"YES","")</f>
        <v>YES</v>
      </c>
      <c r="W301" t="e">
        <f>IF(AND(ISNUMBER(L301),COUNTIF([2]Songs!$J:$J,L301)&gt;0),"YES","")</f>
        <v>#VALUE!</v>
      </c>
      <c r="X301" t="e">
        <f>IF(AND(ISNUMBER(L301),COUNTIF([3]CcliCombined!$D:$D,L301)&gt;0),"YES","")</f>
        <v>#VALUE!</v>
      </c>
      <c r="Y301" t="e">
        <f>IF(AND(ISNUMBER(L301),COUNTIF([4]Songs!$H:$H,L301)&gt;0),"YES","")</f>
        <v>#VALUE!</v>
      </c>
      <c r="Z301" t="s">
        <v>842</v>
      </c>
      <c r="AB301">
        <v>7</v>
      </c>
      <c r="AC301" s="4"/>
      <c r="AD301" t="str">
        <f t="shared" si="7"/>
        <v xml:space="preserve">Ab G </v>
      </c>
    </row>
    <row r="302" spans="1:32" x14ac:dyDescent="0.25">
      <c r="A302">
        <f>INDEX(Albums!$A:$A, MATCH(C302,Albums!$C:$C,0))</f>
        <v>6</v>
      </c>
      <c r="C302" t="s">
        <v>842</v>
      </c>
      <c r="E302" t="s">
        <v>144</v>
      </c>
      <c r="G302" s="28" t="s">
        <v>644</v>
      </c>
      <c r="H302" s="3" t="s">
        <v>25</v>
      </c>
      <c r="I302" s="3" t="s">
        <v>25</v>
      </c>
      <c r="J302" s="4">
        <v>90</v>
      </c>
      <c r="K302" s="5" t="s">
        <v>380</v>
      </c>
      <c r="L302" s="10">
        <v>22025</v>
      </c>
      <c r="M302" s="4">
        <v>1779</v>
      </c>
      <c r="N302" s="6" t="s">
        <v>401</v>
      </c>
      <c r="O302" t="s">
        <v>1199</v>
      </c>
      <c r="S302" t="s">
        <v>23</v>
      </c>
      <c r="U302" t="s">
        <v>478</v>
      </c>
      <c r="V302" t="str">
        <f>IF(AND(ISNUMBER(L302),COUNTIF([1]Songs!$L:$L,L302)&gt;0),"YES","")</f>
        <v>YES</v>
      </c>
      <c r="W302" t="e">
        <f>IF(AND(ISNUMBER(L302),COUNTIF([2]Songs!$J:$J,L302)&gt;0),"YES","")</f>
        <v>#VALUE!</v>
      </c>
      <c r="X302" t="e">
        <f>IF(AND(ISNUMBER(L302),COUNTIF([3]CcliCombined!$D:$D,L302)&gt;0),"YES","")</f>
        <v>#VALUE!</v>
      </c>
      <c r="Y302" t="e">
        <f>IF(AND(ISNUMBER(L302),COUNTIF([4]Songs!$H:$H,L302)&gt;0),"YES","")</f>
        <v>#VALUE!</v>
      </c>
      <c r="Z302" t="s">
        <v>842</v>
      </c>
      <c r="AB302">
        <v>8</v>
      </c>
      <c r="AC302" s="4"/>
      <c r="AD302" t="str">
        <f t="shared" si="7"/>
        <v xml:space="preserve">G </v>
      </c>
    </row>
    <row r="303" spans="1:32" x14ac:dyDescent="0.25">
      <c r="A303">
        <f>INDEX(Albums!$A:$A, MATCH(C303,Albums!$C:$C,0))</f>
        <v>6</v>
      </c>
      <c r="C303" t="s">
        <v>842</v>
      </c>
      <c r="E303" t="s">
        <v>645</v>
      </c>
      <c r="G303" s="28" t="s">
        <v>647</v>
      </c>
      <c r="H303" s="3" t="s">
        <v>36</v>
      </c>
      <c r="I303" s="3" t="s">
        <v>36</v>
      </c>
      <c r="J303" s="4">
        <v>63</v>
      </c>
      <c r="K303" s="5" t="s">
        <v>380</v>
      </c>
      <c r="L303" s="10">
        <v>2986399</v>
      </c>
      <c r="M303" s="4">
        <v>2001</v>
      </c>
      <c r="N303" s="4" t="s">
        <v>390</v>
      </c>
      <c r="O303" t="s">
        <v>1199</v>
      </c>
      <c r="S303" t="s">
        <v>23</v>
      </c>
      <c r="U303" t="s">
        <v>478</v>
      </c>
      <c r="V303" t="str">
        <f>IF(AND(ISNUMBER(L303),COUNTIF([1]Songs!$L:$L,L303)&gt;0),"YES","")</f>
        <v>YES</v>
      </c>
      <c r="W303" t="e">
        <f>IF(AND(ISNUMBER(L303),COUNTIF([2]Songs!$J:$J,L303)&gt;0),"YES","")</f>
        <v>#VALUE!</v>
      </c>
      <c r="X303" t="e">
        <f>IF(AND(ISNUMBER(L303),COUNTIF([3]CcliCombined!$D:$D,L303)&gt;0),"YES","")</f>
        <v>#VALUE!</v>
      </c>
      <c r="Y303" t="e">
        <f>IF(AND(ISNUMBER(L303),COUNTIF([4]Songs!$H:$H,L303)&gt;0),"YES","")</f>
        <v>#VALUE!</v>
      </c>
      <c r="Z303" t="s">
        <v>842</v>
      </c>
      <c r="AB303">
        <v>10</v>
      </c>
      <c r="AC303" s="4"/>
      <c r="AD303" t="str">
        <f t="shared" si="7"/>
        <v xml:space="preserve">E </v>
      </c>
    </row>
    <row r="304" spans="1:32" x14ac:dyDescent="0.25">
      <c r="A304">
        <f>INDEX(Albums!$A:$A, MATCH(C304,Albums!$C:$C,0))</f>
        <v>6</v>
      </c>
      <c r="C304" t="s">
        <v>842</v>
      </c>
      <c r="E304" t="s">
        <v>646</v>
      </c>
      <c r="F304" t="s">
        <v>173</v>
      </c>
      <c r="G304" s="28" t="s">
        <v>648</v>
      </c>
      <c r="H304" s="3" t="s">
        <v>25</v>
      </c>
      <c r="I304" s="3" t="s">
        <v>25</v>
      </c>
      <c r="J304" s="4">
        <v>110</v>
      </c>
      <c r="K304" s="5" t="s">
        <v>371</v>
      </c>
      <c r="L304" s="10">
        <v>25280</v>
      </c>
      <c r="M304" s="4">
        <v>1738</v>
      </c>
      <c r="N304" s="6" t="s">
        <v>401</v>
      </c>
      <c r="O304" t="s">
        <v>1199</v>
      </c>
      <c r="S304" t="s">
        <v>23</v>
      </c>
      <c r="U304" t="s">
        <v>478</v>
      </c>
      <c r="V304" t="str">
        <f>IF(AND(ISNUMBER(L304),COUNTIF([1]Songs!$L:$L,L304)&gt;0),"YES","")</f>
        <v>YES</v>
      </c>
      <c r="W304" t="e">
        <f>IF(AND(ISNUMBER(L304),COUNTIF([2]Songs!$J:$J,L304)&gt;0),"YES","")</f>
        <v>#VALUE!</v>
      </c>
      <c r="X304" t="e">
        <f>IF(AND(ISNUMBER(L304),COUNTIF([3]CcliCombined!$D:$D,L304)&gt;0),"YES","")</f>
        <v>#VALUE!</v>
      </c>
      <c r="Y304" t="e">
        <f>IF(AND(ISNUMBER(L304),COUNTIF([4]Songs!$H:$H,L304)&gt;0),"YES","")</f>
        <v>#VALUE!</v>
      </c>
      <c r="Z304" t="s">
        <v>842</v>
      </c>
      <c r="AB304">
        <v>11</v>
      </c>
      <c r="AC304" s="4"/>
      <c r="AD304" t="str">
        <f t="shared" si="7"/>
        <v xml:space="preserve">G </v>
      </c>
    </row>
    <row r="305" spans="1:30" x14ac:dyDescent="0.25">
      <c r="A305">
        <f>INDEX(Albums!$A:$A, MATCH(C305,Albums!$C:$C,0))</f>
        <v>6</v>
      </c>
      <c r="C305" t="s">
        <v>842</v>
      </c>
      <c r="E305" t="s">
        <v>649</v>
      </c>
      <c r="G305" s="28" t="s">
        <v>651</v>
      </c>
      <c r="H305" s="3" t="s">
        <v>25</v>
      </c>
      <c r="I305" s="3" t="s">
        <v>67</v>
      </c>
      <c r="J305" s="4">
        <v>96</v>
      </c>
      <c r="K305" s="5" t="s">
        <v>371</v>
      </c>
      <c r="L305" s="10">
        <v>21105</v>
      </c>
      <c r="M305" s="4">
        <v>1878</v>
      </c>
      <c r="N305" s="6" t="s">
        <v>401</v>
      </c>
      <c r="O305" t="s">
        <v>1199</v>
      </c>
      <c r="S305" t="s">
        <v>23</v>
      </c>
      <c r="U305" t="s">
        <v>478</v>
      </c>
      <c r="V305" t="str">
        <f>IF(AND(ISNUMBER(L305),COUNTIF([1]Songs!$L:$L,L305)&gt;0),"YES","")</f>
        <v>YES</v>
      </c>
      <c r="W305" t="e">
        <f>IF(AND(ISNUMBER(L305),COUNTIF([2]Songs!$J:$J,L305)&gt;0),"YES","")</f>
        <v>#VALUE!</v>
      </c>
      <c r="X305" t="e">
        <f>IF(AND(ISNUMBER(L305),COUNTIF([3]CcliCombined!$D:$D,L305)&gt;0),"YES","")</f>
        <v>#VALUE!</v>
      </c>
      <c r="Y305" t="e">
        <f>IF(AND(ISNUMBER(L305),COUNTIF([4]Songs!$H:$H,L305)&gt;0),"YES","")</f>
        <v>#VALUE!</v>
      </c>
      <c r="Z305" t="s">
        <v>842</v>
      </c>
      <c r="AB305">
        <v>13</v>
      </c>
      <c r="AC305" s="4"/>
      <c r="AD305" t="str">
        <f t="shared" si="7"/>
        <v xml:space="preserve">Ab G </v>
      </c>
    </row>
    <row r="306" spans="1:30" x14ac:dyDescent="0.25">
      <c r="A306">
        <f>INDEX(Albums!$A:$A, MATCH(C306,Albums!$C:$C,0))</f>
        <v>6</v>
      </c>
      <c r="C306" t="s">
        <v>842</v>
      </c>
      <c r="E306" t="s">
        <v>650</v>
      </c>
      <c r="G306" s="28" t="s">
        <v>652</v>
      </c>
      <c r="H306" s="3" t="s">
        <v>39</v>
      </c>
      <c r="I306" s="3" t="s">
        <v>39</v>
      </c>
      <c r="J306" s="4">
        <v>74</v>
      </c>
      <c r="K306" s="5" t="s">
        <v>371</v>
      </c>
      <c r="L306" s="10">
        <v>1431</v>
      </c>
      <c r="M306" s="4">
        <v>1984</v>
      </c>
      <c r="N306" s="6" t="s">
        <v>653</v>
      </c>
      <c r="O306" t="s">
        <v>1199</v>
      </c>
      <c r="S306" t="s">
        <v>23</v>
      </c>
      <c r="U306" t="s">
        <v>478</v>
      </c>
      <c r="V306" t="str">
        <f>IF(AND(ISNUMBER(L306),COUNTIF([1]Songs!$L:$L,L306)&gt;0),"YES","")</f>
        <v>YES</v>
      </c>
      <c r="W306" t="e">
        <f>IF(AND(ISNUMBER(L306),COUNTIF([2]Songs!$J:$J,L306)&gt;0),"YES","")</f>
        <v>#VALUE!</v>
      </c>
      <c r="X306" t="e">
        <f>IF(AND(ISNUMBER(L306),COUNTIF([3]CcliCombined!$D:$D,L306)&gt;0),"YES","")</f>
        <v>#VALUE!</v>
      </c>
      <c r="Y306" t="e">
        <f>IF(AND(ISNUMBER(L306),COUNTIF([4]Songs!$H:$H,L306)&gt;0),"YES","")</f>
        <v>#VALUE!</v>
      </c>
      <c r="Z306" t="s">
        <v>842</v>
      </c>
      <c r="AB306">
        <v>14</v>
      </c>
      <c r="AC306" s="4"/>
      <c r="AD306" t="str">
        <f t="shared" si="7"/>
        <v xml:space="preserve">D </v>
      </c>
    </row>
    <row r="307" spans="1:30" x14ac:dyDescent="0.25">
      <c r="A307">
        <f>INDEX(Albums!$A:$A, MATCH(C307,Albums!$C:$C,0))</f>
        <v>6</v>
      </c>
      <c r="C307" t="s">
        <v>842</v>
      </c>
      <c r="E307" t="s">
        <v>202</v>
      </c>
      <c r="G307" s="28" t="s">
        <v>654</v>
      </c>
      <c r="H307" s="3" t="s">
        <v>39</v>
      </c>
      <c r="I307" s="3" t="s">
        <v>78</v>
      </c>
      <c r="J307" s="4">
        <v>82</v>
      </c>
      <c r="K307" s="5" t="s">
        <v>371</v>
      </c>
      <c r="L307" s="10">
        <v>29499</v>
      </c>
      <c r="M307" s="4">
        <v>1707</v>
      </c>
      <c r="N307" s="6" t="s">
        <v>401</v>
      </c>
      <c r="O307" t="s">
        <v>1199</v>
      </c>
      <c r="S307" t="s">
        <v>23</v>
      </c>
      <c r="U307" t="s">
        <v>478</v>
      </c>
      <c r="V307" t="str">
        <f>IF(AND(ISNUMBER(L307),COUNTIF([1]Songs!$L:$L,L307)&gt;0),"YES","")</f>
        <v>YES</v>
      </c>
      <c r="W307" t="e">
        <f>IF(AND(ISNUMBER(L307),COUNTIF([2]Songs!$J:$J,L307)&gt;0),"YES","")</f>
        <v>#VALUE!</v>
      </c>
      <c r="X307" t="e">
        <f>IF(AND(ISNUMBER(L307),COUNTIF([3]CcliCombined!$D:$D,L307)&gt;0),"YES","")</f>
        <v>#VALUE!</v>
      </c>
      <c r="Y307" t="e">
        <f>IF(AND(ISNUMBER(L307),COUNTIF([4]Songs!$H:$H,L307)&gt;0),"YES","")</f>
        <v>#VALUE!</v>
      </c>
      <c r="Z307" t="s">
        <v>842</v>
      </c>
      <c r="AB307">
        <v>15</v>
      </c>
      <c r="AC307" s="4"/>
      <c r="AD307" t="str">
        <f t="shared" si="7"/>
        <v xml:space="preserve">Eb D </v>
      </c>
    </row>
    <row r="308" spans="1:30" x14ac:dyDescent="0.25">
      <c r="A308">
        <f>INDEX(Albums!$A:$A, MATCH(C308,Albums!$C:$C,0))</f>
        <v>6</v>
      </c>
      <c r="C308" t="s">
        <v>842</v>
      </c>
      <c r="E308" t="s">
        <v>655</v>
      </c>
      <c r="G308" s="28" t="s">
        <v>656</v>
      </c>
      <c r="H308" s="3" t="s">
        <v>39</v>
      </c>
      <c r="I308" s="3" t="s">
        <v>78</v>
      </c>
      <c r="J308" s="4"/>
      <c r="K308" s="5" t="s">
        <v>380</v>
      </c>
      <c r="L308" s="10">
        <v>30639</v>
      </c>
      <c r="M308" s="4">
        <v>1912</v>
      </c>
      <c r="N308" s="6" t="s">
        <v>401</v>
      </c>
      <c r="O308" t="s">
        <v>1199</v>
      </c>
      <c r="S308" t="s">
        <v>23</v>
      </c>
      <c r="U308" t="s">
        <v>478</v>
      </c>
      <c r="V308" t="str">
        <f>IF(AND(ISNUMBER(L308),COUNTIF([1]Songs!$L:$L,L308)&gt;0),"YES","")</f>
        <v>YES</v>
      </c>
      <c r="W308" t="e">
        <f>IF(AND(ISNUMBER(L308),COUNTIF([2]Songs!$J:$J,L308)&gt;0),"YES","")</f>
        <v>#VALUE!</v>
      </c>
      <c r="X308" t="e">
        <f>IF(AND(ISNUMBER(L308),COUNTIF([3]CcliCombined!$D:$D,L308)&gt;0),"YES","")</f>
        <v>#VALUE!</v>
      </c>
      <c r="Y308" t="e">
        <f>IF(AND(ISNUMBER(L308),COUNTIF([4]Songs!$H:$H,L308)&gt;0),"YES","")</f>
        <v>#VALUE!</v>
      </c>
      <c r="Z308" t="s">
        <v>842</v>
      </c>
      <c r="AB308">
        <v>18</v>
      </c>
      <c r="AC308" s="4"/>
      <c r="AD308" t="str">
        <f t="shared" si="7"/>
        <v xml:space="preserve">Eb D </v>
      </c>
    </row>
    <row r="309" spans="1:30" x14ac:dyDescent="0.25">
      <c r="A309">
        <f>INDEX(Albums!$A:$A, MATCH(C309,Albums!$C:$C,0))</f>
        <v>6</v>
      </c>
      <c r="C309" t="s">
        <v>842</v>
      </c>
      <c r="E309" t="s">
        <v>657</v>
      </c>
      <c r="G309" s="28" t="s">
        <v>659</v>
      </c>
      <c r="H309" s="3" t="s">
        <v>47</v>
      </c>
      <c r="I309" s="3" t="s">
        <v>47</v>
      </c>
      <c r="J309" s="4">
        <v>73</v>
      </c>
      <c r="K309" s="4" t="s">
        <v>371</v>
      </c>
      <c r="L309" s="10">
        <v>5937510</v>
      </c>
      <c r="M309" s="4">
        <v>2011</v>
      </c>
      <c r="N309" s="4" t="s">
        <v>660</v>
      </c>
      <c r="O309" t="s">
        <v>1199</v>
      </c>
      <c r="S309" t="s">
        <v>23</v>
      </c>
      <c r="U309" t="s">
        <v>478</v>
      </c>
      <c r="V309" t="str">
        <f>IF(AND(ISNUMBER(L309),COUNTIF([1]Songs!$L:$L,L309)&gt;0),"YES","")</f>
        <v>YES</v>
      </c>
      <c r="W309" t="e">
        <f>IF(AND(ISNUMBER(L309),COUNTIF([2]Songs!$J:$J,L309)&gt;0),"YES","")</f>
        <v>#VALUE!</v>
      </c>
      <c r="X309" t="e">
        <f>IF(AND(ISNUMBER(L309),COUNTIF([3]CcliCombined!$D:$D,L309)&gt;0),"YES","")</f>
        <v>#VALUE!</v>
      </c>
      <c r="Y309" t="e">
        <f>IF(AND(ISNUMBER(L309),COUNTIF([4]Songs!$H:$H,L309)&gt;0),"YES","")</f>
        <v>#VALUE!</v>
      </c>
      <c r="Z309" t="s">
        <v>842</v>
      </c>
      <c r="AB309">
        <v>22</v>
      </c>
      <c r="AC309" s="4"/>
      <c r="AD309" t="str">
        <f t="shared" si="7"/>
        <v xml:space="preserve">C </v>
      </c>
    </row>
    <row r="310" spans="1:30" x14ac:dyDescent="0.25">
      <c r="A310">
        <f>INDEX(Albums!$A:$A, MATCH(C310,Albums!$C:$C,0))</f>
        <v>6</v>
      </c>
      <c r="C310" t="s">
        <v>842</v>
      </c>
      <c r="E310" t="s">
        <v>658</v>
      </c>
      <c r="G310" s="28" t="s">
        <v>661</v>
      </c>
      <c r="H310" s="3" t="s">
        <v>25</v>
      </c>
      <c r="I310" s="3" t="s">
        <v>25</v>
      </c>
      <c r="J310" s="4">
        <v>49</v>
      </c>
      <c r="K310" s="4" t="s">
        <v>371</v>
      </c>
      <c r="L310" s="10">
        <v>1101763</v>
      </c>
      <c r="M310" s="4">
        <v>1991</v>
      </c>
      <c r="N310" s="4" t="s">
        <v>381</v>
      </c>
      <c r="O310" t="s">
        <v>1199</v>
      </c>
      <c r="S310" t="s">
        <v>23</v>
      </c>
      <c r="U310" t="s">
        <v>478</v>
      </c>
      <c r="V310" t="str">
        <f>IF(AND(ISNUMBER(L310),COUNTIF([1]Songs!$L:$L,L310)&gt;0),"YES","")</f>
        <v>YES</v>
      </c>
      <c r="W310" t="e">
        <f>IF(AND(ISNUMBER(L310),COUNTIF([2]Songs!$J:$J,L310)&gt;0),"YES","")</f>
        <v>#VALUE!</v>
      </c>
      <c r="X310" t="e">
        <f>IF(AND(ISNUMBER(L310),COUNTIF([3]CcliCombined!$D:$D,L310)&gt;0),"YES","")</f>
        <v>#VALUE!</v>
      </c>
      <c r="Y310" t="e">
        <f>IF(AND(ISNUMBER(L310),COUNTIF([4]Songs!$H:$H,L310)&gt;0),"YES","")</f>
        <v>#VALUE!</v>
      </c>
      <c r="Z310" t="s">
        <v>842</v>
      </c>
      <c r="AB310">
        <v>23</v>
      </c>
      <c r="AC310" s="4"/>
      <c r="AD310" t="str">
        <f t="shared" si="7"/>
        <v xml:space="preserve">G </v>
      </c>
    </row>
    <row r="311" spans="1:30" x14ac:dyDescent="0.25">
      <c r="A311">
        <f>INDEX(Albums!$A:$A, MATCH(C311,Albums!$C:$C,0))</f>
        <v>6</v>
      </c>
      <c r="C311" t="s">
        <v>842</v>
      </c>
      <c r="E311" t="s">
        <v>309</v>
      </c>
      <c r="G311" s="28" t="s">
        <v>662</v>
      </c>
      <c r="H311" s="3" t="s">
        <v>39</v>
      </c>
      <c r="I311" s="3" t="s">
        <v>39</v>
      </c>
      <c r="J311" s="4">
        <v>66</v>
      </c>
      <c r="K311" s="5" t="s">
        <v>663</v>
      </c>
      <c r="L311" s="10">
        <v>22324</v>
      </c>
      <c r="M311" s="4">
        <v>1873</v>
      </c>
      <c r="N311" s="6" t="s">
        <v>401</v>
      </c>
      <c r="O311" t="s">
        <v>1199</v>
      </c>
      <c r="S311" t="s">
        <v>23</v>
      </c>
      <c r="U311" t="s">
        <v>478</v>
      </c>
      <c r="V311" t="str">
        <f>IF(AND(ISNUMBER(L311),COUNTIF([1]Songs!$L:$L,L311)&gt;0),"YES","")</f>
        <v>YES</v>
      </c>
      <c r="W311" t="e">
        <f>IF(AND(ISNUMBER(L311),COUNTIF([2]Songs!$J:$J,L311)&gt;0),"YES","")</f>
        <v>#VALUE!</v>
      </c>
      <c r="X311" t="e">
        <f>IF(AND(ISNUMBER(L311),COUNTIF([3]CcliCombined!$D:$D,L311)&gt;0),"YES","")</f>
        <v>#VALUE!</v>
      </c>
      <c r="Y311" t="e">
        <f>IF(AND(ISNUMBER(L311),COUNTIF([4]Songs!$H:$H,L311)&gt;0),"YES","")</f>
        <v>#VALUE!</v>
      </c>
      <c r="Z311" t="s">
        <v>842</v>
      </c>
      <c r="AB311">
        <v>25</v>
      </c>
      <c r="AC311" s="4"/>
      <c r="AD311" t="str">
        <f t="shared" si="7"/>
        <v xml:space="preserve">D </v>
      </c>
    </row>
    <row r="312" spans="1:30" x14ac:dyDescent="0.25">
      <c r="A312">
        <f>INDEX(Albums!$A:$A, MATCH(C312,Albums!$C:$C,0))</f>
        <v>6</v>
      </c>
      <c r="C312" t="s">
        <v>842</v>
      </c>
      <c r="E312" t="s">
        <v>664</v>
      </c>
      <c r="G312" s="28" t="s">
        <v>665</v>
      </c>
      <c r="H312" s="3" t="s">
        <v>176</v>
      </c>
      <c r="I312" s="3" t="s">
        <v>84</v>
      </c>
      <c r="J312" s="4">
        <v>67</v>
      </c>
      <c r="K312" s="5" t="s">
        <v>371</v>
      </c>
      <c r="L312" s="9">
        <v>5910977</v>
      </c>
      <c r="M312" s="4">
        <v>2009</v>
      </c>
      <c r="N312" s="6" t="s">
        <v>666</v>
      </c>
      <c r="O312" t="s">
        <v>1199</v>
      </c>
      <c r="S312" t="s">
        <v>23</v>
      </c>
      <c r="U312" t="s">
        <v>478</v>
      </c>
      <c r="V312" t="str">
        <f>IF(AND(ISNUMBER(L312),COUNTIF([1]Songs!$L:$L,L312)&gt;0),"YES","")</f>
        <v>YES</v>
      </c>
      <c r="W312" t="e">
        <f>IF(AND(ISNUMBER(L312),COUNTIF([2]Songs!$J:$J,L312)&gt;0),"YES","")</f>
        <v>#VALUE!</v>
      </c>
      <c r="X312" t="e">
        <f>IF(AND(ISNUMBER(L312),COUNTIF([3]CcliCombined!$D:$D,L312)&gt;0),"YES","")</f>
        <v>#VALUE!</v>
      </c>
      <c r="Y312" t="e">
        <f>IF(AND(ISNUMBER(L312),COUNTIF([4]Songs!$H:$H,L312)&gt;0),"YES","")</f>
        <v>#VALUE!</v>
      </c>
      <c r="Z312" t="s">
        <v>842</v>
      </c>
      <c r="AB312">
        <v>27</v>
      </c>
      <c r="AC312" s="4"/>
      <c r="AD312" t="str">
        <f t="shared" si="7"/>
        <v xml:space="preserve">F# F </v>
      </c>
    </row>
    <row r="313" spans="1:30" x14ac:dyDescent="0.25">
      <c r="A313">
        <f>INDEX(Albums!$A:$A, MATCH(C313,Albums!$C:$C,0))</f>
        <v>6</v>
      </c>
      <c r="C313" t="s">
        <v>842</v>
      </c>
      <c r="E313" t="s">
        <v>667</v>
      </c>
      <c r="G313" s="28" t="s">
        <v>669</v>
      </c>
      <c r="H313" s="3" t="s">
        <v>39</v>
      </c>
      <c r="I313" s="3" t="s">
        <v>39</v>
      </c>
      <c r="J313" s="4">
        <v>137</v>
      </c>
      <c r="K313" s="5" t="s">
        <v>371</v>
      </c>
      <c r="L313" s="9">
        <v>6186078</v>
      </c>
      <c r="M313" s="4">
        <v>2011</v>
      </c>
      <c r="N313" s="6" t="s">
        <v>381</v>
      </c>
      <c r="O313" t="s">
        <v>1199</v>
      </c>
      <c r="S313" t="s">
        <v>23</v>
      </c>
      <c r="U313" t="s">
        <v>478</v>
      </c>
      <c r="V313" t="str">
        <f>IF(AND(ISNUMBER(L313),COUNTIF([1]Songs!$L:$L,L313)&gt;0),"YES","")</f>
        <v>YES</v>
      </c>
      <c r="W313" t="e">
        <f>IF(AND(ISNUMBER(L313),COUNTIF([2]Songs!$J:$J,L313)&gt;0),"YES","")</f>
        <v>#VALUE!</v>
      </c>
      <c r="X313" t="e">
        <f>IF(AND(ISNUMBER(L313),COUNTIF([3]CcliCombined!$D:$D,L313)&gt;0),"YES","")</f>
        <v>#VALUE!</v>
      </c>
      <c r="Y313" t="e">
        <f>IF(AND(ISNUMBER(L313),COUNTIF([4]Songs!$H:$H,L313)&gt;0),"YES","")</f>
        <v>#VALUE!</v>
      </c>
      <c r="Z313" t="s">
        <v>842</v>
      </c>
      <c r="AB313">
        <v>30</v>
      </c>
      <c r="AC313" s="4"/>
      <c r="AD313" t="str">
        <f t="shared" si="7"/>
        <v xml:space="preserve">D </v>
      </c>
    </row>
    <row r="314" spans="1:30" x14ac:dyDescent="0.25">
      <c r="A314">
        <f>INDEX(Albums!$A:$A, MATCH(C314,Albums!$C:$C,0))</f>
        <v>6</v>
      </c>
      <c r="C314" t="s">
        <v>842</v>
      </c>
      <c r="E314" t="s">
        <v>668</v>
      </c>
      <c r="G314" s="28" t="s">
        <v>670</v>
      </c>
      <c r="H314" s="3" t="s">
        <v>47</v>
      </c>
      <c r="I314" s="3" t="s">
        <v>47</v>
      </c>
      <c r="J314" s="4">
        <v>83</v>
      </c>
      <c r="K314" s="5" t="s">
        <v>371</v>
      </c>
      <c r="L314" s="10">
        <v>4705190</v>
      </c>
      <c r="M314" s="4">
        <v>2005</v>
      </c>
      <c r="N314" s="4" t="s">
        <v>372</v>
      </c>
      <c r="O314" t="s">
        <v>1199</v>
      </c>
      <c r="S314" t="s">
        <v>23</v>
      </c>
      <c r="U314" t="s">
        <v>478</v>
      </c>
      <c r="V314" t="str">
        <f>IF(AND(ISNUMBER(L314),COUNTIF([1]Songs!$L:$L,L314)&gt;0),"YES","")</f>
        <v>YES</v>
      </c>
      <c r="W314" t="e">
        <f>IF(AND(ISNUMBER(L314),COUNTIF([2]Songs!$J:$J,L314)&gt;0),"YES","")</f>
        <v>#VALUE!</v>
      </c>
      <c r="X314" t="e">
        <f>IF(AND(ISNUMBER(L314),COUNTIF([3]CcliCombined!$D:$D,L314)&gt;0),"YES","")</f>
        <v>#VALUE!</v>
      </c>
      <c r="Y314" t="e">
        <f>IF(AND(ISNUMBER(L314),COUNTIF([4]Songs!$H:$H,L314)&gt;0),"YES","")</f>
        <v>#VALUE!</v>
      </c>
      <c r="Z314" t="s">
        <v>842</v>
      </c>
      <c r="AB314">
        <v>31</v>
      </c>
      <c r="AC314" s="4"/>
      <c r="AD314" t="str">
        <f t="shared" si="7"/>
        <v xml:space="preserve">C </v>
      </c>
    </row>
    <row r="315" spans="1:30" x14ac:dyDescent="0.25">
      <c r="A315">
        <f>INDEX(Albums!$A:$A, MATCH(C315,Albums!$C:$C,0))</f>
        <v>6</v>
      </c>
      <c r="C315" t="s">
        <v>842</v>
      </c>
      <c r="E315" t="s">
        <v>671</v>
      </c>
      <c r="G315" s="28" t="s">
        <v>648</v>
      </c>
      <c r="H315" s="3" t="s">
        <v>47</v>
      </c>
      <c r="I315" s="3" t="s">
        <v>47</v>
      </c>
      <c r="J315" s="4">
        <v>90</v>
      </c>
      <c r="K315" s="4" t="s">
        <v>371</v>
      </c>
      <c r="L315" s="9">
        <v>27965</v>
      </c>
      <c r="M315" s="4">
        <v>1739</v>
      </c>
      <c r="N315" s="6" t="s">
        <v>401</v>
      </c>
      <c r="O315" t="s">
        <v>1199</v>
      </c>
      <c r="S315" t="s">
        <v>23</v>
      </c>
      <c r="U315" t="s">
        <v>478</v>
      </c>
      <c r="V315" t="str">
        <f>IF(AND(ISNUMBER(L315),COUNTIF([1]Songs!$L:$L,L315)&gt;0),"YES","")</f>
        <v>YES</v>
      </c>
      <c r="W315" t="e">
        <f>IF(AND(ISNUMBER(L315),COUNTIF([2]Songs!$J:$J,L315)&gt;0),"YES","")</f>
        <v>#VALUE!</v>
      </c>
      <c r="X315" t="e">
        <f>IF(AND(ISNUMBER(L315),COUNTIF([3]CcliCombined!$D:$D,L315)&gt;0),"YES","")</f>
        <v>#VALUE!</v>
      </c>
      <c r="Y315" t="e">
        <f>IF(AND(ISNUMBER(L315),COUNTIF([4]Songs!$H:$H,L315)&gt;0),"YES","")</f>
        <v>#VALUE!</v>
      </c>
      <c r="Z315" t="s">
        <v>842</v>
      </c>
      <c r="AB315">
        <v>33</v>
      </c>
      <c r="AC315" s="4"/>
      <c r="AD315" t="str">
        <f t="shared" si="7"/>
        <v xml:space="preserve">C </v>
      </c>
    </row>
    <row r="316" spans="1:30" x14ac:dyDescent="0.25">
      <c r="A316">
        <f>INDEX(Albums!$A:$A, MATCH(C316,Albums!$C:$C,0))</f>
        <v>6</v>
      </c>
      <c r="C316" t="s">
        <v>842</v>
      </c>
      <c r="E316" t="s">
        <v>671</v>
      </c>
      <c r="F316" t="s">
        <v>672</v>
      </c>
      <c r="G316" s="28" t="s">
        <v>674</v>
      </c>
      <c r="H316" s="3" t="s">
        <v>47</v>
      </c>
      <c r="I316" s="3" t="s">
        <v>47</v>
      </c>
      <c r="J316" s="4">
        <v>118</v>
      </c>
      <c r="K316" s="4" t="s">
        <v>371</v>
      </c>
      <c r="L316" s="9">
        <v>7019316</v>
      </c>
      <c r="M316" s="4">
        <v>2014</v>
      </c>
      <c r="N316" s="6" t="s">
        <v>403</v>
      </c>
      <c r="O316" t="s">
        <v>1199</v>
      </c>
      <c r="S316" t="s">
        <v>23</v>
      </c>
      <c r="U316" t="s">
        <v>478</v>
      </c>
      <c r="V316" t="str">
        <f>IF(AND(ISNUMBER(L316),COUNTIF([1]Songs!$L:$L,L316)&gt;0),"YES","")</f>
        <v>YES</v>
      </c>
      <c r="W316" t="e">
        <f>IF(AND(ISNUMBER(L316),COUNTIF([2]Songs!$J:$J,L316)&gt;0),"YES","")</f>
        <v>#VALUE!</v>
      </c>
      <c r="X316" t="e">
        <f>IF(AND(ISNUMBER(L316),COUNTIF([3]CcliCombined!$D:$D,L316)&gt;0),"YES","")</f>
        <v>#VALUE!</v>
      </c>
      <c r="Y316" t="e">
        <f>IF(AND(ISNUMBER(L316),COUNTIF([4]Songs!$H:$H,L316)&gt;0),"YES","")</f>
        <v>#VALUE!</v>
      </c>
      <c r="Z316" t="s">
        <v>842</v>
      </c>
      <c r="AB316">
        <v>34</v>
      </c>
      <c r="AC316" s="4" t="s">
        <v>853</v>
      </c>
      <c r="AD316" t="str">
        <f t="shared" si="7"/>
        <v xml:space="preserve">C </v>
      </c>
    </row>
    <row r="317" spans="1:30" x14ac:dyDescent="0.25">
      <c r="A317">
        <f>INDEX(Albums!$A:$A, MATCH(C317,Albums!$C:$C,0))</f>
        <v>6</v>
      </c>
      <c r="C317" t="s">
        <v>842</v>
      </c>
      <c r="E317" t="s">
        <v>673</v>
      </c>
      <c r="G317" s="28" t="s">
        <v>130</v>
      </c>
      <c r="H317" s="3" t="s">
        <v>39</v>
      </c>
      <c r="I317" s="3" t="s">
        <v>39</v>
      </c>
      <c r="J317" s="4">
        <v>98</v>
      </c>
      <c r="K317" s="5" t="s">
        <v>371</v>
      </c>
      <c r="L317" s="9">
        <v>2430948</v>
      </c>
      <c r="M317" s="4">
        <v>1998</v>
      </c>
      <c r="N317" s="6" t="s">
        <v>675</v>
      </c>
      <c r="O317" t="s">
        <v>1199</v>
      </c>
      <c r="S317" t="s">
        <v>23</v>
      </c>
      <c r="U317" t="s">
        <v>478</v>
      </c>
      <c r="V317" t="str">
        <f>IF(AND(ISNUMBER(L317),COUNTIF([1]Songs!$L:$L,L317)&gt;0),"YES","")</f>
        <v>YES</v>
      </c>
      <c r="W317" t="e">
        <f>IF(AND(ISNUMBER(L317),COUNTIF([2]Songs!$J:$J,L317)&gt;0),"YES","")</f>
        <v>#VALUE!</v>
      </c>
      <c r="X317" t="e">
        <f>IF(AND(ISNUMBER(L317),COUNTIF([3]CcliCombined!$D:$D,L317)&gt;0),"YES","")</f>
        <v>#VALUE!</v>
      </c>
      <c r="Y317" t="e">
        <f>IF(AND(ISNUMBER(L317),COUNTIF([4]Songs!$H:$H,L317)&gt;0),"YES","")</f>
        <v>#VALUE!</v>
      </c>
      <c r="Z317" t="s">
        <v>842</v>
      </c>
      <c r="AB317">
        <v>35</v>
      </c>
      <c r="AC317" s="4"/>
      <c r="AD317" t="str">
        <f t="shared" si="7"/>
        <v xml:space="preserve">D </v>
      </c>
    </row>
    <row r="318" spans="1:30" x14ac:dyDescent="0.25">
      <c r="A318">
        <f>INDEX(Albums!$A:$A, MATCH(C318,Albums!$C:$C,0))</f>
        <v>6</v>
      </c>
      <c r="C318" t="s">
        <v>842</v>
      </c>
      <c r="E318" t="s">
        <v>40</v>
      </c>
      <c r="G318" s="28" t="s">
        <v>676</v>
      </c>
      <c r="H318" s="3" t="s">
        <v>39</v>
      </c>
      <c r="I318" s="3" t="s">
        <v>39</v>
      </c>
      <c r="J318" s="4">
        <v>80</v>
      </c>
      <c r="K318" s="5" t="s">
        <v>380</v>
      </c>
      <c r="L318" s="10">
        <v>108389</v>
      </c>
      <c r="M318" s="4">
        <v>1758</v>
      </c>
      <c r="N318" s="6" t="s">
        <v>401</v>
      </c>
      <c r="O318" t="s">
        <v>1199</v>
      </c>
      <c r="S318" t="s">
        <v>23</v>
      </c>
      <c r="U318" t="s">
        <v>478</v>
      </c>
      <c r="V318" t="str">
        <f>IF(AND(ISNUMBER(L318),COUNTIF([1]Songs!$L:$L,L318)&gt;0),"YES","")</f>
        <v>YES</v>
      </c>
      <c r="W318" t="e">
        <f>IF(AND(ISNUMBER(L318),COUNTIF([2]Songs!$J:$J,L318)&gt;0),"YES","")</f>
        <v>#VALUE!</v>
      </c>
      <c r="X318" t="e">
        <f>IF(AND(ISNUMBER(L318),COUNTIF([3]CcliCombined!$D:$D,L318)&gt;0),"YES","")</f>
        <v>#VALUE!</v>
      </c>
      <c r="Y318" t="e">
        <f>IF(AND(ISNUMBER(L318),COUNTIF([4]Songs!$H:$H,L318)&gt;0),"YES","")</f>
        <v>#VALUE!</v>
      </c>
      <c r="Z318" t="s">
        <v>842</v>
      </c>
      <c r="AB318">
        <v>36</v>
      </c>
      <c r="AC318" s="4"/>
      <c r="AD318" t="str">
        <f t="shared" si="7"/>
        <v xml:space="preserve">D </v>
      </c>
    </row>
    <row r="319" spans="1:30" x14ac:dyDescent="0.25">
      <c r="A319">
        <f>INDEX(Albums!$A:$A, MATCH(C319,Albums!$C:$C,0))</f>
        <v>6</v>
      </c>
      <c r="C319" t="s">
        <v>842</v>
      </c>
      <c r="E319" t="s">
        <v>677</v>
      </c>
      <c r="F319" t="s">
        <v>166</v>
      </c>
      <c r="G319" s="28" t="s">
        <v>384</v>
      </c>
      <c r="H319" s="3" t="s">
        <v>39</v>
      </c>
      <c r="I319" s="3" t="s">
        <v>679</v>
      </c>
      <c r="J319" s="4">
        <v>76</v>
      </c>
      <c r="K319" s="5" t="s">
        <v>371</v>
      </c>
      <c r="L319" s="9">
        <v>6463818</v>
      </c>
      <c r="M319" s="4">
        <v>2013</v>
      </c>
      <c r="N319" s="6" t="s">
        <v>385</v>
      </c>
      <c r="O319" t="s">
        <v>1199</v>
      </c>
      <c r="S319" t="s">
        <v>23</v>
      </c>
      <c r="U319" t="s">
        <v>478</v>
      </c>
      <c r="V319" t="str">
        <f>IF(AND(ISNUMBER(L319),COUNTIF([1]Songs!$L:$L,L319)&gt;0),"YES","")</f>
        <v>YES</v>
      </c>
      <c r="W319" t="e">
        <f>IF(AND(ISNUMBER(L319),COUNTIF([2]Songs!$J:$J,L319)&gt;0),"YES","")</f>
        <v>#VALUE!</v>
      </c>
      <c r="X319" t="e">
        <f>IF(AND(ISNUMBER(L319),COUNTIF([3]CcliCombined!$D:$D,L319)&gt;0),"YES","")</f>
        <v>#VALUE!</v>
      </c>
      <c r="Y319" t="e">
        <f>IF(AND(ISNUMBER(L319),COUNTIF([4]Songs!$H:$H,L319)&gt;0),"YES","")</f>
        <v>#VALUE!</v>
      </c>
      <c r="Z319" t="s">
        <v>842</v>
      </c>
      <c r="AB319">
        <v>38</v>
      </c>
      <c r="AC319" s="4"/>
      <c r="AD319" t="str">
        <f t="shared" si="7"/>
        <v xml:space="preserve">Db,Eb D </v>
      </c>
    </row>
    <row r="320" spans="1:30" x14ac:dyDescent="0.25">
      <c r="A320">
        <f>INDEX(Albums!$A:$A, MATCH(C320,Albums!$C:$C,0))</f>
        <v>6</v>
      </c>
      <c r="C320" t="s">
        <v>842</v>
      </c>
      <c r="E320" t="s">
        <v>678</v>
      </c>
      <c r="G320" s="28" t="s">
        <v>681</v>
      </c>
      <c r="H320" s="3" t="s">
        <v>52</v>
      </c>
      <c r="I320" s="3" t="s">
        <v>28</v>
      </c>
      <c r="J320" s="4">
        <v>95</v>
      </c>
      <c r="K320" s="5" t="s">
        <v>371</v>
      </c>
      <c r="L320" s="9">
        <v>1537904</v>
      </c>
      <c r="M320" s="4">
        <v>1996</v>
      </c>
      <c r="N320" s="6" t="s">
        <v>682</v>
      </c>
      <c r="O320" t="s">
        <v>1199</v>
      </c>
      <c r="S320" t="s">
        <v>23</v>
      </c>
      <c r="U320" t="s">
        <v>478</v>
      </c>
      <c r="V320" t="str">
        <f>IF(AND(ISNUMBER(L320),COUNTIF([1]Songs!$L:$L,L320)&gt;0),"YES","")</f>
        <v>YES</v>
      </c>
      <c r="W320" t="e">
        <f>IF(AND(ISNUMBER(L320),COUNTIF([2]Songs!$J:$J,L320)&gt;0),"YES","")</f>
        <v>#VALUE!</v>
      </c>
      <c r="X320" t="e">
        <f>IF(AND(ISNUMBER(L320),COUNTIF([3]CcliCombined!$D:$D,L320)&gt;0),"YES","")</f>
        <v>#VALUE!</v>
      </c>
      <c r="Y320" t="e">
        <f>IF(AND(ISNUMBER(L320),COUNTIF([4]Songs!$H:$H,L320)&gt;0),"YES","")</f>
        <v>#VALUE!</v>
      </c>
      <c r="Z320" t="s">
        <v>842</v>
      </c>
      <c r="AB320">
        <v>40</v>
      </c>
      <c r="AC320" s="4"/>
      <c r="AD320" t="str">
        <f t="shared" si="7"/>
        <v xml:space="preserve">Bb A </v>
      </c>
    </row>
    <row r="321" spans="1:30" x14ac:dyDescent="0.25">
      <c r="A321">
        <f>INDEX(Albums!$A:$A, MATCH(C321,Albums!$C:$C,0))</f>
        <v>6</v>
      </c>
      <c r="C321" t="s">
        <v>842</v>
      </c>
      <c r="E321" t="s">
        <v>683</v>
      </c>
      <c r="G321" s="28" t="s">
        <v>684</v>
      </c>
      <c r="H321" s="3" t="s">
        <v>47</v>
      </c>
      <c r="I321" s="3" t="s">
        <v>47</v>
      </c>
      <c r="J321" s="4">
        <v>79</v>
      </c>
      <c r="K321" s="5" t="s">
        <v>371</v>
      </c>
      <c r="L321" s="9">
        <v>7102440</v>
      </c>
      <c r="M321" s="4">
        <v>2017</v>
      </c>
      <c r="N321" s="6" t="s">
        <v>453</v>
      </c>
      <c r="O321" t="s">
        <v>1199</v>
      </c>
      <c r="S321" t="s">
        <v>23</v>
      </c>
      <c r="U321" t="s">
        <v>478</v>
      </c>
      <c r="V321" t="str">
        <f>IF(AND(ISNUMBER(L321),COUNTIF([1]Songs!$L:$L,L321)&gt;0),"YES","")</f>
        <v>YES</v>
      </c>
      <c r="W321" t="e">
        <f>IF(AND(ISNUMBER(L321),COUNTIF([2]Songs!$J:$J,L321)&gt;0),"YES","")</f>
        <v>#VALUE!</v>
      </c>
      <c r="X321" t="e">
        <f>IF(AND(ISNUMBER(L321),COUNTIF([3]CcliCombined!$D:$D,L321)&gt;0),"YES","")</f>
        <v>#VALUE!</v>
      </c>
      <c r="Y321" t="e">
        <f>IF(AND(ISNUMBER(L321),COUNTIF([4]Songs!$H:$H,L321)&gt;0),"YES","")</f>
        <v>#VALUE!</v>
      </c>
      <c r="Z321" t="s">
        <v>842</v>
      </c>
      <c r="AB321">
        <v>42</v>
      </c>
      <c r="AC321" s="4"/>
      <c r="AD321" t="str">
        <f t="shared" si="7"/>
        <v xml:space="preserve">C </v>
      </c>
    </row>
    <row r="322" spans="1:30" x14ac:dyDescent="0.25">
      <c r="A322">
        <f>INDEX(Albums!$A:$A, MATCH(C322,Albums!$C:$C,0))</f>
        <v>6</v>
      </c>
      <c r="C322" t="s">
        <v>842</v>
      </c>
      <c r="E322" t="s">
        <v>307</v>
      </c>
      <c r="G322" s="28" t="s">
        <v>685</v>
      </c>
      <c r="H322" s="3" t="s">
        <v>176</v>
      </c>
      <c r="I322" s="3" t="s">
        <v>686</v>
      </c>
      <c r="J322" s="4">
        <v>66</v>
      </c>
      <c r="K322" s="4" t="s">
        <v>371</v>
      </c>
      <c r="L322" s="10">
        <v>5869877</v>
      </c>
      <c r="M322" s="4">
        <v>2010</v>
      </c>
      <c r="N322" s="4" t="s">
        <v>378</v>
      </c>
      <c r="O322" t="s">
        <v>1199</v>
      </c>
      <c r="S322" t="s">
        <v>23</v>
      </c>
      <c r="U322" t="s">
        <v>478</v>
      </c>
      <c r="V322" t="str">
        <f>IF(AND(ISNUMBER(L322),COUNTIF([1]Songs!$L:$L,L322)&gt;0),"YES","")</f>
        <v>YES</v>
      </c>
      <c r="W322" t="e">
        <f>IF(AND(ISNUMBER(L322),COUNTIF([2]Songs!$J:$J,L322)&gt;0),"YES","")</f>
        <v>#VALUE!</v>
      </c>
      <c r="X322" t="e">
        <f>IF(AND(ISNUMBER(L322),COUNTIF([3]CcliCombined!$D:$D,L322)&gt;0),"YES","")</f>
        <v>#VALUE!</v>
      </c>
      <c r="Y322" t="e">
        <f>IF(AND(ISNUMBER(L322),COUNTIF([4]Songs!$H:$H,L322)&gt;0),"YES","")</f>
        <v>#VALUE!</v>
      </c>
      <c r="Z322" t="s">
        <v>842</v>
      </c>
      <c r="AB322">
        <v>47</v>
      </c>
      <c r="AC322" s="4"/>
      <c r="AD322" t="str">
        <f t="shared" si="7"/>
        <v xml:space="preserve">Gb F </v>
      </c>
    </row>
    <row r="323" spans="1:30" x14ac:dyDescent="0.25">
      <c r="A323">
        <f>INDEX(Albums!$A:$A, MATCH(C323,Albums!$C:$C,0))</f>
        <v>6</v>
      </c>
      <c r="C323" t="s">
        <v>842</v>
      </c>
      <c r="E323" t="s">
        <v>687</v>
      </c>
      <c r="G323" s="28" t="s">
        <v>688</v>
      </c>
      <c r="H323" s="3" t="s">
        <v>31</v>
      </c>
      <c r="I323" s="3" t="s">
        <v>31</v>
      </c>
      <c r="J323" s="4">
        <v>76</v>
      </c>
      <c r="K323" s="5" t="s">
        <v>371</v>
      </c>
      <c r="L323" s="9">
        <v>7068806</v>
      </c>
      <c r="M323" s="4">
        <v>2016</v>
      </c>
      <c r="N323" s="6" t="s">
        <v>385</v>
      </c>
      <c r="O323" t="s">
        <v>1199</v>
      </c>
      <c r="S323" t="s">
        <v>23</v>
      </c>
      <c r="U323" t="s">
        <v>478</v>
      </c>
      <c r="V323" t="str">
        <f>IF(AND(ISNUMBER(L323),COUNTIF([1]Songs!$L:$L,L323)&gt;0),"YES","")</f>
        <v>YES</v>
      </c>
      <c r="W323" t="e">
        <f>IF(AND(ISNUMBER(L323),COUNTIF([2]Songs!$J:$J,L323)&gt;0),"YES","")</f>
        <v>#VALUE!</v>
      </c>
      <c r="X323" t="e">
        <f>IF(AND(ISNUMBER(L323),COUNTIF([3]CcliCombined!$D:$D,L323)&gt;0),"YES","")</f>
        <v>#VALUE!</v>
      </c>
      <c r="Y323" t="e">
        <f>IF(AND(ISNUMBER(L323),COUNTIF([4]Songs!$H:$H,L323)&gt;0),"YES","")</f>
        <v>#VALUE!</v>
      </c>
      <c r="Z323" t="s">
        <v>842</v>
      </c>
      <c r="AB323">
        <v>50</v>
      </c>
      <c r="AC323" s="4"/>
      <c r="AD323" t="str">
        <f t="shared" si="7"/>
        <v xml:space="preserve">B </v>
      </c>
    </row>
    <row r="324" spans="1:30" x14ac:dyDescent="0.25">
      <c r="A324">
        <f>INDEX(Albums!$A:$A, MATCH(C324,Albums!$C:$C,0))</f>
        <v>6</v>
      </c>
      <c r="C324" t="s">
        <v>842</v>
      </c>
      <c r="E324" t="s">
        <v>689</v>
      </c>
      <c r="G324" s="28" t="s">
        <v>690</v>
      </c>
      <c r="H324" s="3" t="s">
        <v>47</v>
      </c>
      <c r="I324" s="3" t="s">
        <v>47</v>
      </c>
      <c r="J324" s="4">
        <v>80</v>
      </c>
      <c r="K324" s="5" t="s">
        <v>371</v>
      </c>
      <c r="L324" s="9">
        <v>5037070</v>
      </c>
      <c r="M324" s="4">
        <v>2006</v>
      </c>
      <c r="N324" s="6" t="s">
        <v>378</v>
      </c>
      <c r="O324" t="s">
        <v>1199</v>
      </c>
      <c r="S324" t="s">
        <v>23</v>
      </c>
      <c r="U324" t="s">
        <v>478</v>
      </c>
      <c r="V324" t="str">
        <f>IF(AND(ISNUMBER(L324),COUNTIF([1]Songs!$L:$L,L324)&gt;0),"YES","")</f>
        <v>YES</v>
      </c>
      <c r="W324" t="e">
        <f>IF(AND(ISNUMBER(L324),COUNTIF([2]Songs!$J:$J,L324)&gt;0),"YES","")</f>
        <v>#VALUE!</v>
      </c>
      <c r="X324" t="e">
        <f>IF(AND(ISNUMBER(L324),COUNTIF([3]CcliCombined!$D:$D,L324)&gt;0),"YES","")</f>
        <v>#VALUE!</v>
      </c>
      <c r="Y324" t="e">
        <f>IF(AND(ISNUMBER(L324),COUNTIF([4]Songs!$H:$H,L324)&gt;0),"YES","")</f>
        <v>#VALUE!</v>
      </c>
      <c r="Z324" t="s">
        <v>842</v>
      </c>
      <c r="AB324">
        <v>54</v>
      </c>
      <c r="AC324" s="4"/>
      <c r="AD324" t="str">
        <f t="shared" si="7"/>
        <v xml:space="preserve">C </v>
      </c>
    </row>
    <row r="325" spans="1:30" x14ac:dyDescent="0.25">
      <c r="A325">
        <f>INDEX(Albums!$A:$A, MATCH(C325,Albums!$C:$C,0))</f>
        <v>6</v>
      </c>
      <c r="C325" t="s">
        <v>842</v>
      </c>
      <c r="E325" t="s">
        <v>691</v>
      </c>
      <c r="G325" s="28" t="s">
        <v>387</v>
      </c>
      <c r="H325" s="3" t="s">
        <v>52</v>
      </c>
      <c r="I325" s="3" t="s">
        <v>52</v>
      </c>
      <c r="J325" s="4">
        <v>88</v>
      </c>
      <c r="K325" s="5" t="s">
        <v>371</v>
      </c>
      <c r="L325" s="10">
        <v>7091509</v>
      </c>
      <c r="M325" s="4">
        <v>2017</v>
      </c>
      <c r="N325" s="4" t="s">
        <v>666</v>
      </c>
      <c r="O325" t="s">
        <v>1199</v>
      </c>
      <c r="S325" t="s">
        <v>23</v>
      </c>
      <c r="U325" t="s">
        <v>478</v>
      </c>
      <c r="V325" t="str">
        <f>IF(AND(ISNUMBER(L325),COUNTIF([1]Songs!$L:$L,L325)&gt;0),"YES","")</f>
        <v>YES</v>
      </c>
      <c r="W325" t="e">
        <f>IF(AND(ISNUMBER(L325),COUNTIF([2]Songs!$J:$J,L325)&gt;0),"YES","")</f>
        <v>#VALUE!</v>
      </c>
      <c r="X325" t="e">
        <f>IF(AND(ISNUMBER(L325),COUNTIF([3]CcliCombined!$D:$D,L325)&gt;0),"YES","")</f>
        <v>#VALUE!</v>
      </c>
      <c r="Y325" t="e">
        <f>IF(AND(ISNUMBER(L325),COUNTIF([4]Songs!$H:$H,L325)&gt;0),"YES","")</f>
        <v>#VALUE!</v>
      </c>
      <c r="Z325" t="s">
        <v>842</v>
      </c>
      <c r="AB325">
        <v>57</v>
      </c>
      <c r="AC325" s="4" t="s">
        <v>853</v>
      </c>
      <c r="AD325" t="str">
        <f t="shared" si="7"/>
        <v xml:space="preserve">A </v>
      </c>
    </row>
    <row r="326" spans="1:30" x14ac:dyDescent="0.25">
      <c r="A326">
        <f>INDEX(Albums!$A:$A, MATCH(C326,Albums!$C:$C,0))</f>
        <v>6</v>
      </c>
      <c r="C326" t="s">
        <v>842</v>
      </c>
      <c r="E326" t="s">
        <v>114</v>
      </c>
      <c r="F326" t="s">
        <v>692</v>
      </c>
      <c r="G326" s="28" t="s">
        <v>693</v>
      </c>
      <c r="H326" s="3" t="s">
        <v>47</v>
      </c>
      <c r="I326" s="3" t="s">
        <v>47</v>
      </c>
      <c r="J326" s="4">
        <v>100</v>
      </c>
      <c r="K326" s="5" t="s">
        <v>380</v>
      </c>
      <c r="L326" s="10">
        <v>7109317</v>
      </c>
      <c r="M326" s="4">
        <v>2018</v>
      </c>
      <c r="N326" s="6" t="s">
        <v>694</v>
      </c>
      <c r="O326" t="s">
        <v>1199</v>
      </c>
      <c r="S326" t="s">
        <v>23</v>
      </c>
      <c r="U326" t="s">
        <v>478</v>
      </c>
      <c r="V326" t="str">
        <f>IF(AND(ISNUMBER(L326),COUNTIF([1]Songs!$L:$L,L326)&gt;0),"YES","")</f>
        <v>YES</v>
      </c>
      <c r="W326" t="e">
        <f>IF(AND(ISNUMBER(L326),COUNTIF([2]Songs!$J:$J,L326)&gt;0),"YES","")</f>
        <v>#VALUE!</v>
      </c>
      <c r="X326" t="e">
        <f>IF(AND(ISNUMBER(L326),COUNTIF([3]CcliCombined!$D:$D,L326)&gt;0),"YES","")</f>
        <v>#VALUE!</v>
      </c>
      <c r="Y326" t="e">
        <f>IF(AND(ISNUMBER(L326),COUNTIF([4]Songs!$H:$H,L326)&gt;0),"YES","")</f>
        <v>#VALUE!</v>
      </c>
      <c r="Z326" t="s">
        <v>842</v>
      </c>
      <c r="AB326">
        <v>61</v>
      </c>
      <c r="AC326" s="4"/>
      <c r="AD326" t="str">
        <f t="shared" si="7"/>
        <v xml:space="preserve">C </v>
      </c>
    </row>
    <row r="327" spans="1:30" x14ac:dyDescent="0.25">
      <c r="A327">
        <f>INDEX(Albums!$A:$A, MATCH(C327,Albums!$C:$C,0))</f>
        <v>6</v>
      </c>
      <c r="C327" t="s">
        <v>842</v>
      </c>
      <c r="E327" t="s">
        <v>296</v>
      </c>
      <c r="F327" t="s">
        <v>695</v>
      </c>
      <c r="G327" s="28" t="s">
        <v>697</v>
      </c>
      <c r="H327" s="3" t="s">
        <v>52</v>
      </c>
      <c r="I327" s="3" t="s">
        <v>28</v>
      </c>
      <c r="J327" s="4">
        <v>115</v>
      </c>
      <c r="K327" s="4" t="s">
        <v>371</v>
      </c>
      <c r="L327" s="9">
        <v>6550556</v>
      </c>
      <c r="M327" s="4">
        <v>2012</v>
      </c>
      <c r="N327" s="6" t="s">
        <v>698</v>
      </c>
      <c r="O327" t="s">
        <v>1199</v>
      </c>
      <c r="S327" t="s">
        <v>23</v>
      </c>
      <c r="U327" t="s">
        <v>478</v>
      </c>
      <c r="V327" t="str">
        <f>IF(AND(ISNUMBER(L327),COUNTIF([1]Songs!$L:$L,L327)&gt;0),"YES","")</f>
        <v>YES</v>
      </c>
      <c r="W327" t="e">
        <f>IF(AND(ISNUMBER(L327),COUNTIF([2]Songs!$J:$J,L327)&gt;0),"YES","")</f>
        <v>#VALUE!</v>
      </c>
      <c r="X327" t="e">
        <f>IF(AND(ISNUMBER(L327),COUNTIF([3]CcliCombined!$D:$D,L327)&gt;0),"YES","")</f>
        <v>#VALUE!</v>
      </c>
      <c r="Y327" t="e">
        <f>IF(AND(ISNUMBER(L327),COUNTIF([4]Songs!$H:$H,L327)&gt;0),"YES","")</f>
        <v>#VALUE!</v>
      </c>
      <c r="Z327" t="s">
        <v>842</v>
      </c>
      <c r="AB327">
        <v>63</v>
      </c>
      <c r="AC327" s="4" t="s">
        <v>853</v>
      </c>
      <c r="AD327" t="str">
        <f t="shared" si="7"/>
        <v xml:space="preserve">Bb A </v>
      </c>
    </row>
    <row r="328" spans="1:30" x14ac:dyDescent="0.25">
      <c r="A328">
        <f>INDEX(Albums!$A:$A, MATCH(C328,Albums!$C:$C,0))</f>
        <v>6</v>
      </c>
      <c r="C328" t="s">
        <v>842</v>
      </c>
      <c r="E328" t="s">
        <v>696</v>
      </c>
      <c r="G328" s="28" t="s">
        <v>699</v>
      </c>
      <c r="H328" s="3" t="s">
        <v>25</v>
      </c>
      <c r="I328" s="3" t="s">
        <v>25</v>
      </c>
      <c r="J328" s="4">
        <v>94</v>
      </c>
      <c r="K328" s="4" t="s">
        <v>371</v>
      </c>
      <c r="L328" s="9">
        <v>4026635</v>
      </c>
      <c r="M328" s="4">
        <v>2003</v>
      </c>
      <c r="N328" s="6" t="s">
        <v>700</v>
      </c>
      <c r="O328" t="s">
        <v>1199</v>
      </c>
      <c r="S328" t="s">
        <v>23</v>
      </c>
      <c r="U328" t="s">
        <v>478</v>
      </c>
      <c r="V328" t="str">
        <f>IF(AND(ISNUMBER(L328),COUNTIF([1]Songs!$L:$L,L328)&gt;0),"YES","")</f>
        <v>YES</v>
      </c>
      <c r="W328" t="e">
        <f>IF(AND(ISNUMBER(L328),COUNTIF([2]Songs!$J:$J,L328)&gt;0),"YES","")</f>
        <v>#VALUE!</v>
      </c>
      <c r="X328" t="e">
        <f>IF(AND(ISNUMBER(L328),COUNTIF([3]CcliCombined!$D:$D,L328)&gt;0),"YES","")</f>
        <v>#VALUE!</v>
      </c>
      <c r="Y328" t="e">
        <f>IF(AND(ISNUMBER(L328),COUNTIF([4]Songs!$H:$H,L328)&gt;0),"YES","")</f>
        <v>#VALUE!</v>
      </c>
      <c r="Z328" t="s">
        <v>842</v>
      </c>
      <c r="AB328">
        <v>64</v>
      </c>
      <c r="AC328" s="4"/>
      <c r="AD328" t="str">
        <f t="shared" si="7"/>
        <v xml:space="preserve">G </v>
      </c>
    </row>
    <row r="329" spans="1:30" x14ac:dyDescent="0.25">
      <c r="A329">
        <f>INDEX(Albums!$A:$A, MATCH(C329,Albums!$C:$C,0))</f>
        <v>6</v>
      </c>
      <c r="C329" t="s">
        <v>842</v>
      </c>
      <c r="E329" t="s">
        <v>701</v>
      </c>
      <c r="G329" s="28" t="s">
        <v>702</v>
      </c>
      <c r="H329" s="3" t="s">
        <v>47</v>
      </c>
      <c r="I329" s="3" t="s">
        <v>47</v>
      </c>
      <c r="J329" s="4">
        <v>68</v>
      </c>
      <c r="K329" s="4" t="s">
        <v>371</v>
      </c>
      <c r="L329" s="9">
        <v>7111925</v>
      </c>
      <c r="M329" s="4">
        <v>2018</v>
      </c>
      <c r="N329" s="6" t="s">
        <v>432</v>
      </c>
      <c r="O329" t="s">
        <v>1199</v>
      </c>
      <c r="S329" t="s">
        <v>23</v>
      </c>
      <c r="U329" t="s">
        <v>478</v>
      </c>
      <c r="V329" t="str">
        <f>IF(AND(ISNUMBER(L329),COUNTIF([1]Songs!$L:$L,L329)&gt;0),"YES","")</f>
        <v>YES</v>
      </c>
      <c r="W329" t="e">
        <f>IF(AND(ISNUMBER(L329),COUNTIF([2]Songs!$J:$J,L329)&gt;0),"YES","")</f>
        <v>#VALUE!</v>
      </c>
      <c r="X329" t="e">
        <f>IF(AND(ISNUMBER(L329),COUNTIF([3]CcliCombined!$D:$D,L329)&gt;0),"YES","")</f>
        <v>#VALUE!</v>
      </c>
      <c r="Y329" t="e">
        <f>IF(AND(ISNUMBER(L329),COUNTIF([4]Songs!$H:$H,L329)&gt;0),"YES","")</f>
        <v>#VALUE!</v>
      </c>
      <c r="Z329" t="s">
        <v>842</v>
      </c>
      <c r="AB329">
        <v>67</v>
      </c>
      <c r="AC329" s="4"/>
      <c r="AD329" t="str">
        <f t="shared" si="7"/>
        <v xml:space="preserve">C </v>
      </c>
    </row>
    <row r="330" spans="1:30" x14ac:dyDescent="0.25">
      <c r="A330">
        <f>INDEX(Albums!$A:$A, MATCH(C330,Albums!$C:$C,0))</f>
        <v>6</v>
      </c>
      <c r="C330" t="s">
        <v>842</v>
      </c>
      <c r="E330" t="s">
        <v>703</v>
      </c>
      <c r="G330" s="28" t="s">
        <v>707</v>
      </c>
      <c r="H330" s="3" t="s">
        <v>25</v>
      </c>
      <c r="I330" s="3" t="s">
        <v>25</v>
      </c>
      <c r="J330" s="4">
        <v>80</v>
      </c>
      <c r="K330" s="5" t="s">
        <v>380</v>
      </c>
      <c r="L330" s="9">
        <v>3287884</v>
      </c>
      <c r="M330" s="4">
        <v>2004</v>
      </c>
      <c r="N330" s="6" t="s">
        <v>381</v>
      </c>
      <c r="O330" t="s">
        <v>1199</v>
      </c>
      <c r="S330" t="s">
        <v>23</v>
      </c>
      <c r="U330" t="s">
        <v>478</v>
      </c>
      <c r="V330" t="str">
        <f>IF(AND(ISNUMBER(L330),COUNTIF([1]Songs!$L:$L,L330)&gt;0),"YES","")</f>
        <v>YES</v>
      </c>
      <c r="W330" t="e">
        <f>IF(AND(ISNUMBER(L330),COUNTIF([2]Songs!$J:$J,L330)&gt;0),"YES","")</f>
        <v>#VALUE!</v>
      </c>
      <c r="X330" t="e">
        <f>IF(AND(ISNUMBER(L330),COUNTIF([3]CcliCombined!$D:$D,L330)&gt;0),"YES","")</f>
        <v>#VALUE!</v>
      </c>
      <c r="Y330" t="e">
        <f>IF(AND(ISNUMBER(L330),COUNTIF([4]Songs!$H:$H,L330)&gt;0),"YES","")</f>
        <v>#VALUE!</v>
      </c>
      <c r="Z330" t="s">
        <v>842</v>
      </c>
      <c r="AB330">
        <v>70</v>
      </c>
      <c r="AC330" s="4"/>
      <c r="AD330" t="str">
        <f t="shared" si="7"/>
        <v xml:space="preserve">G </v>
      </c>
    </row>
    <row r="331" spans="1:30" x14ac:dyDescent="0.25">
      <c r="A331">
        <f>INDEX(Albums!$A:$A, MATCH(C331,Albums!$C:$C,0))</f>
        <v>6</v>
      </c>
      <c r="C331" t="s">
        <v>842</v>
      </c>
      <c r="E331" t="s">
        <v>704</v>
      </c>
      <c r="F331" t="s">
        <v>705</v>
      </c>
      <c r="G331" s="28" t="s">
        <v>708</v>
      </c>
      <c r="H331" s="3" t="s">
        <v>52</v>
      </c>
      <c r="I331" s="3" t="s">
        <v>28</v>
      </c>
      <c r="J331" s="4">
        <v>57</v>
      </c>
      <c r="K331" s="5" t="s">
        <v>371</v>
      </c>
      <c r="L331" s="10">
        <v>6129798</v>
      </c>
      <c r="M331" s="4">
        <v>2011</v>
      </c>
      <c r="N331" s="4" t="s">
        <v>381</v>
      </c>
      <c r="O331" t="s">
        <v>1199</v>
      </c>
      <c r="S331" t="s">
        <v>23</v>
      </c>
      <c r="U331" t="s">
        <v>478</v>
      </c>
      <c r="V331" t="str">
        <f>IF(AND(ISNUMBER(L331),COUNTIF([1]Songs!$L:$L,L331)&gt;0),"YES","")</f>
        <v>YES</v>
      </c>
      <c r="W331" t="e">
        <f>IF(AND(ISNUMBER(L331),COUNTIF([2]Songs!$J:$J,L331)&gt;0),"YES","")</f>
        <v>#VALUE!</v>
      </c>
      <c r="X331" t="e">
        <f>IF(AND(ISNUMBER(L331),COUNTIF([3]CcliCombined!$D:$D,L331)&gt;0),"YES","")</f>
        <v>#VALUE!</v>
      </c>
      <c r="Y331" t="e">
        <f>IF(AND(ISNUMBER(L331),COUNTIF([4]Songs!$H:$H,L331)&gt;0),"YES","")</f>
        <v>#VALUE!</v>
      </c>
      <c r="Z331" t="s">
        <v>842</v>
      </c>
      <c r="AB331">
        <v>71</v>
      </c>
      <c r="AC331" s="4" t="s">
        <v>853</v>
      </c>
      <c r="AD331" t="str">
        <f t="shared" si="7"/>
        <v xml:space="preserve">Bb A </v>
      </c>
    </row>
    <row r="332" spans="1:30" x14ac:dyDescent="0.25">
      <c r="A332">
        <f>INDEX(Albums!$A:$A, MATCH(C332,Albums!$C:$C,0))</f>
        <v>6</v>
      </c>
      <c r="C332" t="s">
        <v>842</v>
      </c>
      <c r="E332" t="s">
        <v>706</v>
      </c>
      <c r="G332" s="28" t="s">
        <v>709</v>
      </c>
      <c r="H332" s="4" t="s">
        <v>39</v>
      </c>
      <c r="I332" s="4" t="s">
        <v>39</v>
      </c>
      <c r="J332" s="4"/>
      <c r="K332" s="5" t="s">
        <v>371</v>
      </c>
      <c r="L332" s="10">
        <v>1156</v>
      </c>
      <c r="M332" s="4">
        <v>1826</v>
      </c>
      <c r="N332" s="4" t="s">
        <v>401</v>
      </c>
      <c r="O332" t="s">
        <v>1199</v>
      </c>
      <c r="S332" t="s">
        <v>23</v>
      </c>
      <c r="U332" t="s">
        <v>478</v>
      </c>
      <c r="V332" t="str">
        <f>IF(AND(ISNUMBER(L332),COUNTIF([1]Songs!$L:$L,L332)&gt;0),"YES","")</f>
        <v>YES</v>
      </c>
      <c r="W332" t="e">
        <f>IF(AND(ISNUMBER(L332),COUNTIF([2]Songs!$J:$J,L332)&gt;0),"YES","")</f>
        <v>#VALUE!</v>
      </c>
      <c r="X332" t="e">
        <f>IF(AND(ISNUMBER(L332),COUNTIF([3]CcliCombined!$D:$D,L332)&gt;0),"YES","")</f>
        <v>#VALUE!</v>
      </c>
      <c r="Y332" t="e">
        <f>IF(AND(ISNUMBER(L332),COUNTIF([4]Songs!$H:$H,L332)&gt;0),"YES","")</f>
        <v>#VALUE!</v>
      </c>
      <c r="Z332" t="s">
        <v>842</v>
      </c>
      <c r="AB332">
        <v>72</v>
      </c>
      <c r="AC332" s="4"/>
      <c r="AD332" t="str">
        <f t="shared" si="7"/>
        <v xml:space="preserve">D </v>
      </c>
    </row>
    <row r="333" spans="1:30" x14ac:dyDescent="0.25">
      <c r="A333">
        <f>INDEX(Albums!$A:$A, MATCH(C333,Albums!$C:$C,0))</f>
        <v>6</v>
      </c>
      <c r="C333" t="s">
        <v>842</v>
      </c>
      <c r="E333" t="s">
        <v>53</v>
      </c>
      <c r="G333" s="28" t="s">
        <v>710</v>
      </c>
      <c r="H333" s="3" t="s">
        <v>25</v>
      </c>
      <c r="I333" s="3" t="s">
        <v>25</v>
      </c>
      <c r="J333" s="4">
        <v>120</v>
      </c>
      <c r="K333" s="5" t="s">
        <v>371</v>
      </c>
      <c r="L333" s="10">
        <v>21545</v>
      </c>
      <c r="M333" s="4">
        <v>1985</v>
      </c>
      <c r="N333" s="6" t="s">
        <v>711</v>
      </c>
      <c r="O333" t="s">
        <v>1199</v>
      </c>
      <c r="S333" t="s">
        <v>23</v>
      </c>
      <c r="U333" t="s">
        <v>478</v>
      </c>
      <c r="V333" t="str">
        <f>IF(AND(ISNUMBER(L333),COUNTIF([1]Songs!$L:$L,L333)&gt;0),"YES","")</f>
        <v>YES</v>
      </c>
      <c r="W333" t="e">
        <f>IF(AND(ISNUMBER(L333),COUNTIF([2]Songs!$J:$J,L333)&gt;0),"YES","")</f>
        <v>#VALUE!</v>
      </c>
      <c r="X333" t="e">
        <f>IF(AND(ISNUMBER(L333),COUNTIF([3]CcliCombined!$D:$D,L333)&gt;0),"YES","")</f>
        <v>#VALUE!</v>
      </c>
      <c r="Y333" t="e">
        <f>IF(AND(ISNUMBER(L333),COUNTIF([4]Songs!$H:$H,L333)&gt;0),"YES","")</f>
        <v>#VALUE!</v>
      </c>
      <c r="Z333" t="s">
        <v>842</v>
      </c>
      <c r="AB333">
        <v>73</v>
      </c>
      <c r="AC333" s="4"/>
      <c r="AD333" t="str">
        <f t="shared" si="7"/>
        <v xml:space="preserve">G </v>
      </c>
    </row>
    <row r="334" spans="1:30" x14ac:dyDescent="0.25">
      <c r="A334">
        <f>INDEX(Albums!$A:$A, MATCH(C334,Albums!$C:$C,0))</f>
        <v>6</v>
      </c>
      <c r="C334" t="s">
        <v>842</v>
      </c>
      <c r="E334" t="s">
        <v>712</v>
      </c>
      <c r="G334" s="28" t="s">
        <v>713</v>
      </c>
      <c r="H334" s="4" t="s">
        <v>25</v>
      </c>
      <c r="I334" s="4" t="s">
        <v>67</v>
      </c>
      <c r="J334" s="4">
        <v>64</v>
      </c>
      <c r="K334" s="5" t="s">
        <v>462</v>
      </c>
      <c r="L334" s="10">
        <v>107816</v>
      </c>
      <c r="M334" s="4">
        <v>1787</v>
      </c>
      <c r="N334" s="4" t="s">
        <v>401</v>
      </c>
      <c r="O334" t="s">
        <v>1199</v>
      </c>
      <c r="S334" t="s">
        <v>23</v>
      </c>
      <c r="U334" t="s">
        <v>478</v>
      </c>
      <c r="V334" t="str">
        <f>IF(AND(ISNUMBER(L334),COUNTIF([1]Songs!$L:$L,L334)&gt;0),"YES","")</f>
        <v>YES</v>
      </c>
      <c r="W334" t="e">
        <f>IF(AND(ISNUMBER(L334),COUNTIF([2]Songs!$J:$J,L334)&gt;0),"YES","")</f>
        <v>#VALUE!</v>
      </c>
      <c r="X334" t="e">
        <f>IF(AND(ISNUMBER(L334),COUNTIF([3]CcliCombined!$D:$D,L334)&gt;0),"YES","")</f>
        <v>#VALUE!</v>
      </c>
      <c r="Y334" t="e">
        <f>IF(AND(ISNUMBER(L334),COUNTIF([4]Songs!$H:$H,L334)&gt;0),"YES","")</f>
        <v>#VALUE!</v>
      </c>
      <c r="Z334" t="s">
        <v>842</v>
      </c>
      <c r="AB334">
        <v>77</v>
      </c>
      <c r="AC334" s="4"/>
      <c r="AD334" t="str">
        <f t="shared" si="7"/>
        <v xml:space="preserve">Ab G </v>
      </c>
    </row>
    <row r="335" spans="1:30" x14ac:dyDescent="0.25">
      <c r="A335">
        <f>INDEX(Albums!$A:$A, MATCH(C335,Albums!$C:$C,0))</f>
        <v>6</v>
      </c>
      <c r="C335" t="s">
        <v>842</v>
      </c>
      <c r="E335" t="s">
        <v>714</v>
      </c>
      <c r="G335" s="28" t="s">
        <v>721</v>
      </c>
      <c r="H335" s="3" t="s">
        <v>39</v>
      </c>
      <c r="I335" s="3" t="s">
        <v>39</v>
      </c>
      <c r="J335" s="4">
        <v>80</v>
      </c>
      <c r="K335" s="5" t="s">
        <v>371</v>
      </c>
      <c r="L335" s="9">
        <v>2978857</v>
      </c>
      <c r="M335" s="4">
        <v>2002</v>
      </c>
      <c r="N335" s="6" t="s">
        <v>722</v>
      </c>
      <c r="O335" t="s">
        <v>1199</v>
      </c>
      <c r="S335" t="s">
        <v>23</v>
      </c>
      <c r="U335" t="s">
        <v>478</v>
      </c>
      <c r="V335" t="str">
        <f>IF(AND(ISNUMBER(L335),COUNTIF([1]Songs!$L:$L,L335)&gt;0),"YES","")</f>
        <v>YES</v>
      </c>
      <c r="W335" t="e">
        <f>IF(AND(ISNUMBER(L335),COUNTIF([2]Songs!$J:$J,L335)&gt;0),"YES","")</f>
        <v>#VALUE!</v>
      </c>
      <c r="X335" t="e">
        <f>IF(AND(ISNUMBER(L335),COUNTIF([3]CcliCombined!$D:$D,L335)&gt;0),"YES","")</f>
        <v>#VALUE!</v>
      </c>
      <c r="Y335" t="e">
        <f>IF(AND(ISNUMBER(L335),COUNTIF([4]Songs!$H:$H,L335)&gt;0),"YES","")</f>
        <v>#VALUE!</v>
      </c>
      <c r="Z335" t="s">
        <v>842</v>
      </c>
      <c r="AB335">
        <v>80</v>
      </c>
      <c r="AC335" s="4"/>
      <c r="AD335" t="str">
        <f t="shared" si="7"/>
        <v xml:space="preserve">D </v>
      </c>
    </row>
    <row r="336" spans="1:30" x14ac:dyDescent="0.25">
      <c r="A336">
        <f>INDEX(Albums!$A:$A, MATCH(C336,Albums!$C:$C,0))</f>
        <v>6</v>
      </c>
      <c r="C336" t="s">
        <v>842</v>
      </c>
      <c r="E336" t="s">
        <v>715</v>
      </c>
      <c r="G336" s="28" t="s">
        <v>723</v>
      </c>
      <c r="H336" s="4" t="s">
        <v>47</v>
      </c>
      <c r="I336" s="4" t="s">
        <v>93</v>
      </c>
      <c r="J336" s="4">
        <v>96</v>
      </c>
      <c r="K336" s="5" t="s">
        <v>371</v>
      </c>
      <c r="L336" s="10">
        <v>31762</v>
      </c>
      <c r="M336" s="4">
        <v>1883</v>
      </c>
      <c r="N336" s="4" t="s">
        <v>401</v>
      </c>
      <c r="O336" t="s">
        <v>1199</v>
      </c>
      <c r="S336" t="s">
        <v>23</v>
      </c>
      <c r="U336" t="s">
        <v>478</v>
      </c>
      <c r="V336" t="str">
        <f>IF(AND(ISNUMBER(L336),COUNTIF([1]Songs!$L:$L,L336)&gt;0),"YES","")</f>
        <v>YES</v>
      </c>
      <c r="W336" t="e">
        <f>IF(AND(ISNUMBER(L336),COUNTIF([2]Songs!$J:$J,L336)&gt;0),"YES","")</f>
        <v>#VALUE!</v>
      </c>
      <c r="X336" t="e">
        <f>IF(AND(ISNUMBER(L336),COUNTIF([3]CcliCombined!$D:$D,L336)&gt;0),"YES","")</f>
        <v>#VALUE!</v>
      </c>
      <c r="Y336" t="e">
        <f>IF(AND(ISNUMBER(L336),COUNTIF([4]Songs!$H:$H,L336)&gt;0),"YES","")</f>
        <v>#VALUE!</v>
      </c>
      <c r="Z336" t="s">
        <v>842</v>
      </c>
      <c r="AB336">
        <v>81</v>
      </c>
      <c r="AC336" s="4"/>
      <c r="AD336" t="str">
        <f t="shared" si="7"/>
        <v xml:space="preserve">Db C </v>
      </c>
    </row>
    <row r="337" spans="1:30" x14ac:dyDescent="0.25">
      <c r="A337">
        <f>INDEX(Albums!$A:$A, MATCH(C337,Albums!$C:$C,0))</f>
        <v>6</v>
      </c>
      <c r="C337" t="s">
        <v>842</v>
      </c>
      <c r="E337" t="s">
        <v>716</v>
      </c>
      <c r="G337" s="28" t="s">
        <v>724</v>
      </c>
      <c r="H337" s="3" t="s">
        <v>31</v>
      </c>
      <c r="I337" s="3" t="s">
        <v>31</v>
      </c>
      <c r="J337" s="4">
        <v>85</v>
      </c>
      <c r="K337" s="5" t="s">
        <v>371</v>
      </c>
      <c r="L337" s="10">
        <v>5869884</v>
      </c>
      <c r="M337" s="4">
        <v>2010</v>
      </c>
      <c r="N337" s="4" t="s">
        <v>378</v>
      </c>
      <c r="O337" t="s">
        <v>1199</v>
      </c>
      <c r="S337" t="s">
        <v>23</v>
      </c>
      <c r="U337" t="s">
        <v>478</v>
      </c>
      <c r="V337" t="str">
        <f>IF(AND(ISNUMBER(L337),COUNTIF([1]Songs!$L:$L,L337)&gt;0),"YES","")</f>
        <v>YES</v>
      </c>
      <c r="W337" t="e">
        <f>IF(AND(ISNUMBER(L337),COUNTIF([2]Songs!$J:$J,L337)&gt;0),"YES","")</f>
        <v>#VALUE!</v>
      </c>
      <c r="X337" t="e">
        <f>IF(AND(ISNUMBER(L337),COUNTIF([3]CcliCombined!$D:$D,L337)&gt;0),"YES","")</f>
        <v>#VALUE!</v>
      </c>
      <c r="Y337" t="e">
        <f>IF(AND(ISNUMBER(L337),COUNTIF([4]Songs!$H:$H,L337)&gt;0),"YES","")</f>
        <v>#VALUE!</v>
      </c>
      <c r="Z337" t="s">
        <v>842</v>
      </c>
      <c r="AB337">
        <v>82</v>
      </c>
      <c r="AC337" s="4"/>
      <c r="AD337" t="str">
        <f t="shared" si="7"/>
        <v xml:space="preserve">B </v>
      </c>
    </row>
    <row r="338" spans="1:30" x14ac:dyDescent="0.25">
      <c r="A338">
        <f>INDEX(Albums!$A:$A, MATCH(C338,Albums!$C:$C,0))</f>
        <v>6</v>
      </c>
      <c r="C338" t="s">
        <v>842</v>
      </c>
      <c r="E338" t="s">
        <v>81</v>
      </c>
      <c r="F338" t="s">
        <v>717</v>
      </c>
      <c r="G338" s="28" t="s">
        <v>725</v>
      </c>
      <c r="H338" s="3" t="s">
        <v>25</v>
      </c>
      <c r="I338" s="3" t="s">
        <v>67</v>
      </c>
      <c r="J338" s="4">
        <v>106</v>
      </c>
      <c r="K338" s="4" t="s">
        <v>371</v>
      </c>
      <c r="L338" s="9">
        <v>25297</v>
      </c>
      <c r="M338" s="4">
        <v>1905</v>
      </c>
      <c r="N338" s="4" t="s">
        <v>401</v>
      </c>
      <c r="O338" t="s">
        <v>1199</v>
      </c>
      <c r="S338" t="s">
        <v>23</v>
      </c>
      <c r="U338" t="s">
        <v>478</v>
      </c>
      <c r="V338" t="str">
        <f>IF(AND(ISNUMBER(L338),COUNTIF([1]Songs!$L:$L,L338)&gt;0),"YES","")</f>
        <v>YES</v>
      </c>
      <c r="W338" t="e">
        <f>IF(AND(ISNUMBER(L338),COUNTIF([2]Songs!$J:$J,L338)&gt;0),"YES","")</f>
        <v>#VALUE!</v>
      </c>
      <c r="X338" t="e">
        <f>IF(AND(ISNUMBER(L338),COUNTIF([3]CcliCombined!$D:$D,L338)&gt;0),"YES","")</f>
        <v>#VALUE!</v>
      </c>
      <c r="Y338" t="e">
        <f>IF(AND(ISNUMBER(L338),COUNTIF([4]Songs!$H:$H,L338)&gt;0),"YES","")</f>
        <v>#VALUE!</v>
      </c>
      <c r="Z338" t="s">
        <v>842</v>
      </c>
      <c r="AB338">
        <v>83</v>
      </c>
      <c r="AC338" s="4"/>
      <c r="AD338" t="str">
        <f t="shared" si="7"/>
        <v xml:space="preserve">Ab G </v>
      </c>
    </row>
    <row r="339" spans="1:30" x14ac:dyDescent="0.25">
      <c r="A339">
        <f>INDEX(Albums!$A:$A, MATCH(C339,Albums!$C:$C,0))</f>
        <v>6</v>
      </c>
      <c r="C339" t="s">
        <v>842</v>
      </c>
      <c r="E339" t="s">
        <v>718</v>
      </c>
      <c r="G339" s="28" t="s">
        <v>726</v>
      </c>
      <c r="H339" s="3" t="s">
        <v>52</v>
      </c>
      <c r="I339" s="3" t="s">
        <v>52</v>
      </c>
      <c r="J339" s="4">
        <v>76</v>
      </c>
      <c r="K339" s="5" t="s">
        <v>371</v>
      </c>
      <c r="L339" s="10">
        <v>23914</v>
      </c>
      <c r="M339" s="4">
        <v>1987</v>
      </c>
      <c r="N339" s="4" t="s">
        <v>660</v>
      </c>
      <c r="O339" t="s">
        <v>1199</v>
      </c>
      <c r="S339" t="s">
        <v>23</v>
      </c>
      <c r="U339" t="s">
        <v>478</v>
      </c>
      <c r="V339" t="str">
        <f>IF(AND(ISNUMBER(L339),COUNTIF([1]Songs!$L:$L,L339)&gt;0),"YES","")</f>
        <v>YES</v>
      </c>
      <c r="W339" t="e">
        <f>IF(AND(ISNUMBER(L339),COUNTIF([2]Songs!$J:$J,L339)&gt;0),"YES","")</f>
        <v>#VALUE!</v>
      </c>
      <c r="X339" t="e">
        <f>IF(AND(ISNUMBER(L339),COUNTIF([3]CcliCombined!$D:$D,L339)&gt;0),"YES","")</f>
        <v>#VALUE!</v>
      </c>
      <c r="Y339" t="e">
        <f>IF(AND(ISNUMBER(L339),COUNTIF([4]Songs!$H:$H,L339)&gt;0),"YES","")</f>
        <v>#VALUE!</v>
      </c>
      <c r="Z339" t="s">
        <v>842</v>
      </c>
      <c r="AB339">
        <v>84</v>
      </c>
      <c r="AC339" s="4"/>
      <c r="AD339" t="str">
        <f t="shared" si="7"/>
        <v xml:space="preserve">A </v>
      </c>
    </row>
    <row r="340" spans="1:30" x14ac:dyDescent="0.25">
      <c r="A340">
        <f>INDEX(Albums!$A:$A, MATCH(C340,Albums!$C:$C,0))</f>
        <v>6</v>
      </c>
      <c r="C340" t="s">
        <v>842</v>
      </c>
      <c r="E340" t="s">
        <v>727</v>
      </c>
      <c r="G340" s="28" t="s">
        <v>730</v>
      </c>
      <c r="H340" t="s">
        <v>39</v>
      </c>
      <c r="I340" t="s">
        <v>78</v>
      </c>
      <c r="J340" s="4">
        <v>66</v>
      </c>
      <c r="K340" s="5" t="s">
        <v>663</v>
      </c>
      <c r="L340" s="10">
        <v>7074703</v>
      </c>
      <c r="M340" s="4">
        <v>1876</v>
      </c>
      <c r="N340" s="4" t="s">
        <v>401</v>
      </c>
      <c r="O340" t="s">
        <v>1199</v>
      </c>
      <c r="S340" t="s">
        <v>23</v>
      </c>
      <c r="U340" t="s">
        <v>478</v>
      </c>
      <c r="V340" t="str">
        <f>IF(AND(ISNUMBER(L340),COUNTIF([1]Songs!$L:$L,L340)&gt;0),"YES","")</f>
        <v>YES</v>
      </c>
      <c r="W340" t="e">
        <f>IF(AND(ISNUMBER(L340),COUNTIF([2]Songs!$J:$J,L340)&gt;0),"YES","")</f>
        <v>#VALUE!</v>
      </c>
      <c r="X340" t="e">
        <f>IF(AND(ISNUMBER(L340),COUNTIF([3]CcliCombined!$D:$D,L340)&gt;0),"YES","")</f>
        <v>#VALUE!</v>
      </c>
      <c r="Y340" t="e">
        <f>IF(AND(ISNUMBER(L340),COUNTIF([4]Songs!$H:$H,L340)&gt;0),"YES","")</f>
        <v>#VALUE!</v>
      </c>
      <c r="Z340" t="s">
        <v>842</v>
      </c>
      <c r="AB340">
        <v>88</v>
      </c>
      <c r="AC340" s="4"/>
      <c r="AD340" t="str">
        <f t="shared" si="7"/>
        <v xml:space="preserve">Eb D </v>
      </c>
    </row>
    <row r="341" spans="1:30" x14ac:dyDescent="0.25">
      <c r="A341">
        <f>INDEX(Albums!$A:$A, MATCH(C341,Albums!$C:$C,0))</f>
        <v>6</v>
      </c>
      <c r="C341" t="s">
        <v>842</v>
      </c>
      <c r="E341" t="s">
        <v>728</v>
      </c>
      <c r="G341" s="28" t="s">
        <v>731</v>
      </c>
      <c r="H341" t="s">
        <v>176</v>
      </c>
      <c r="I341" t="s">
        <v>176</v>
      </c>
      <c r="J341" s="4">
        <v>120</v>
      </c>
      <c r="K341" s="5" t="s">
        <v>380</v>
      </c>
      <c r="L341" s="10">
        <v>2328610</v>
      </c>
      <c r="M341" s="4">
        <v>1886</v>
      </c>
      <c r="N341" s="4" t="s">
        <v>401</v>
      </c>
      <c r="O341" t="s">
        <v>1199</v>
      </c>
      <c r="S341" t="s">
        <v>23</v>
      </c>
      <c r="U341" t="s">
        <v>478</v>
      </c>
      <c r="V341" t="str">
        <f>IF(AND(ISNUMBER(L341),COUNTIF([1]Songs!$L:$L,L341)&gt;0),"YES","")</f>
        <v>YES</v>
      </c>
      <c r="W341" t="e">
        <f>IF(AND(ISNUMBER(L341),COUNTIF([2]Songs!$J:$J,L341)&gt;0),"YES","")</f>
        <v>#VALUE!</v>
      </c>
      <c r="X341" t="e">
        <f>IF(AND(ISNUMBER(L341),COUNTIF([3]CcliCombined!$D:$D,L341)&gt;0),"YES","")</f>
        <v>#VALUE!</v>
      </c>
      <c r="Y341" t="e">
        <f>IF(AND(ISNUMBER(L341),COUNTIF([4]Songs!$H:$H,L341)&gt;0),"YES","")</f>
        <v>#VALUE!</v>
      </c>
      <c r="Z341" t="s">
        <v>842</v>
      </c>
      <c r="AB341">
        <v>89</v>
      </c>
      <c r="AC341" s="4"/>
      <c r="AD341" t="str">
        <f t="shared" si="7"/>
        <v xml:space="preserve">F </v>
      </c>
    </row>
    <row r="342" spans="1:30" x14ac:dyDescent="0.25">
      <c r="A342">
        <f>INDEX(Albums!$A:$A, MATCH(C342,Albums!$C:$C,0))</f>
        <v>6</v>
      </c>
      <c r="C342" t="s">
        <v>842</v>
      </c>
      <c r="E342" t="s">
        <v>729</v>
      </c>
      <c r="G342" s="28" t="s">
        <v>732</v>
      </c>
      <c r="H342" s="3" t="s">
        <v>25</v>
      </c>
      <c r="I342" s="3" t="s">
        <v>25</v>
      </c>
      <c r="J342" s="4">
        <v>120</v>
      </c>
      <c r="K342" s="5" t="s">
        <v>371</v>
      </c>
      <c r="L342" s="10">
        <v>26399</v>
      </c>
      <c r="M342" s="4">
        <v>1932</v>
      </c>
      <c r="N342" s="4" t="s">
        <v>733</v>
      </c>
      <c r="O342" t="s">
        <v>1199</v>
      </c>
      <c r="S342" t="s">
        <v>23</v>
      </c>
      <c r="U342" t="s">
        <v>478</v>
      </c>
      <c r="V342" t="str">
        <f>IF(AND(ISNUMBER(L342),COUNTIF([1]Songs!$L:$L,L342)&gt;0),"YES","")</f>
        <v>YES</v>
      </c>
      <c r="W342" t="e">
        <f>IF(AND(ISNUMBER(L342),COUNTIF([2]Songs!$J:$J,L342)&gt;0),"YES","")</f>
        <v>#VALUE!</v>
      </c>
      <c r="X342" t="e">
        <f>IF(AND(ISNUMBER(L342),COUNTIF([3]CcliCombined!$D:$D,L342)&gt;0),"YES","")</f>
        <v>#VALUE!</v>
      </c>
      <c r="Y342" t="e">
        <f>IF(AND(ISNUMBER(L342),COUNTIF([4]Songs!$H:$H,L342)&gt;0),"YES","")</f>
        <v>#VALUE!</v>
      </c>
      <c r="Z342" t="s">
        <v>842</v>
      </c>
      <c r="AB342">
        <v>90</v>
      </c>
      <c r="AC342" s="4"/>
      <c r="AD342" t="str">
        <f t="shared" si="7"/>
        <v xml:space="preserve">G </v>
      </c>
    </row>
    <row r="343" spans="1:30" x14ac:dyDescent="0.25">
      <c r="A343">
        <f>INDEX(Albums!$A:$A, MATCH(C343,Albums!$C:$C,0))</f>
        <v>6</v>
      </c>
      <c r="C343" t="s">
        <v>842</v>
      </c>
      <c r="E343" t="s">
        <v>734</v>
      </c>
      <c r="G343" s="28" t="s">
        <v>737</v>
      </c>
      <c r="H343" s="3" t="s">
        <v>47</v>
      </c>
      <c r="I343" s="3" t="s">
        <v>47</v>
      </c>
      <c r="J343" s="4"/>
      <c r="K343" s="5" t="s">
        <v>371</v>
      </c>
      <c r="L343" s="10">
        <v>25376</v>
      </c>
      <c r="M343" s="4">
        <v>1873</v>
      </c>
      <c r="N343" s="6" t="s">
        <v>401</v>
      </c>
      <c r="O343" t="s">
        <v>1199</v>
      </c>
      <c r="S343" t="s">
        <v>23</v>
      </c>
      <c r="U343" t="s">
        <v>478</v>
      </c>
      <c r="V343" t="str">
        <f>IF(AND(ISNUMBER(L343),COUNTIF([1]Songs!$L:$L,L343)&gt;0),"YES","")</f>
        <v>YES</v>
      </c>
      <c r="W343" t="e">
        <f>IF(AND(ISNUMBER(L343),COUNTIF([2]Songs!$J:$J,L343)&gt;0),"YES","")</f>
        <v>#VALUE!</v>
      </c>
      <c r="X343" t="e">
        <f>IF(AND(ISNUMBER(L343),COUNTIF([3]CcliCombined!$D:$D,L343)&gt;0),"YES","")</f>
        <v>#VALUE!</v>
      </c>
      <c r="Y343" t="e">
        <f>IF(AND(ISNUMBER(L343),COUNTIF([4]Songs!$H:$H,L343)&gt;0),"YES","")</f>
        <v>#VALUE!</v>
      </c>
      <c r="Z343" t="s">
        <v>842</v>
      </c>
      <c r="AB343">
        <v>94</v>
      </c>
      <c r="AC343" s="4"/>
      <c r="AD343" t="str">
        <f t="shared" si="7"/>
        <v xml:space="preserve">C </v>
      </c>
    </row>
    <row r="344" spans="1:30" x14ac:dyDescent="0.25">
      <c r="A344">
        <f>INDEX(Albums!$A:$A, MATCH(C344,Albums!$C:$C,0))</f>
        <v>6</v>
      </c>
      <c r="C344" t="s">
        <v>842</v>
      </c>
      <c r="E344" t="s">
        <v>735</v>
      </c>
      <c r="G344" s="28" t="s">
        <v>738</v>
      </c>
      <c r="H344" s="3" t="s">
        <v>25</v>
      </c>
      <c r="I344" s="3" t="s">
        <v>25</v>
      </c>
      <c r="J344" s="4"/>
      <c r="K344" s="5" t="s">
        <v>371</v>
      </c>
      <c r="L344" s="10">
        <v>148576</v>
      </c>
      <c r="M344" s="4">
        <v>1876</v>
      </c>
      <c r="N344" s="6" t="s">
        <v>401</v>
      </c>
      <c r="O344" t="s">
        <v>1199</v>
      </c>
      <c r="S344" t="s">
        <v>23</v>
      </c>
      <c r="U344" t="s">
        <v>478</v>
      </c>
      <c r="V344" t="str">
        <f>IF(AND(ISNUMBER(L344),COUNTIF([1]Songs!$L:$L,L344)&gt;0),"YES","")</f>
        <v>YES</v>
      </c>
      <c r="W344" t="e">
        <f>IF(AND(ISNUMBER(L344),COUNTIF([2]Songs!$J:$J,L344)&gt;0),"YES","")</f>
        <v>#VALUE!</v>
      </c>
      <c r="X344" t="e">
        <f>IF(AND(ISNUMBER(L344),COUNTIF([3]CcliCombined!$D:$D,L344)&gt;0),"YES","")</f>
        <v>#VALUE!</v>
      </c>
      <c r="Y344" t="e">
        <f>IF(AND(ISNUMBER(L344),COUNTIF([4]Songs!$H:$H,L344)&gt;0),"YES","")</f>
        <v>#VALUE!</v>
      </c>
      <c r="Z344" t="s">
        <v>842</v>
      </c>
      <c r="AB344">
        <v>95</v>
      </c>
      <c r="AC344" s="4"/>
      <c r="AD344" t="str">
        <f t="shared" si="7"/>
        <v xml:space="preserve">G </v>
      </c>
    </row>
    <row r="345" spans="1:30" x14ac:dyDescent="0.25">
      <c r="A345">
        <f>INDEX(Albums!$A:$A, MATCH(C345,Albums!$C:$C,0))</f>
        <v>6</v>
      </c>
      <c r="C345" t="s">
        <v>842</v>
      </c>
      <c r="E345" t="s">
        <v>736</v>
      </c>
      <c r="G345" s="28" t="s">
        <v>739</v>
      </c>
      <c r="H345" s="3" t="s">
        <v>47</v>
      </c>
      <c r="I345" s="3" t="s">
        <v>47</v>
      </c>
      <c r="J345" s="4">
        <v>65</v>
      </c>
      <c r="K345" s="5" t="s">
        <v>425</v>
      </c>
      <c r="L345" s="9">
        <v>7121850</v>
      </c>
      <c r="M345" s="4">
        <v>2018</v>
      </c>
      <c r="N345" s="4" t="s">
        <v>467</v>
      </c>
      <c r="O345" t="s">
        <v>1199</v>
      </c>
      <c r="S345" t="s">
        <v>23</v>
      </c>
      <c r="U345" t="s">
        <v>478</v>
      </c>
      <c r="V345" t="str">
        <f>IF(AND(ISNUMBER(L345),COUNTIF([1]Songs!$L:$L,L345)&gt;0),"YES","")</f>
        <v>YES</v>
      </c>
      <c r="W345" t="e">
        <f>IF(AND(ISNUMBER(L345),COUNTIF([2]Songs!$J:$J,L345)&gt;0),"YES","")</f>
        <v>#VALUE!</v>
      </c>
      <c r="X345" t="e">
        <f>IF(AND(ISNUMBER(L345),COUNTIF([3]CcliCombined!$D:$D,L345)&gt;0),"YES","")</f>
        <v>#VALUE!</v>
      </c>
      <c r="Y345" t="e">
        <f>IF(AND(ISNUMBER(L345),COUNTIF([4]Songs!$H:$H,L345)&gt;0),"YES","")</f>
        <v>#VALUE!</v>
      </c>
      <c r="Z345" t="s">
        <v>842</v>
      </c>
      <c r="AB345">
        <v>96</v>
      </c>
      <c r="AC345" s="4" t="s">
        <v>854</v>
      </c>
      <c r="AD345" t="str">
        <f t="shared" si="7"/>
        <v xml:space="preserve">C </v>
      </c>
    </row>
    <row r="346" spans="1:30" x14ac:dyDescent="0.25">
      <c r="A346">
        <f>INDEX(Albums!$A:$A, MATCH(C346,Albums!$C:$C,0))</f>
        <v>6</v>
      </c>
      <c r="C346" t="s">
        <v>842</v>
      </c>
      <c r="E346" t="s">
        <v>740</v>
      </c>
      <c r="G346" s="28" t="s">
        <v>391</v>
      </c>
      <c r="H346" s="3" t="s">
        <v>31</v>
      </c>
      <c r="I346" s="3" t="s">
        <v>31</v>
      </c>
      <c r="J346" s="4">
        <v>76</v>
      </c>
      <c r="K346" s="5" t="s">
        <v>371</v>
      </c>
      <c r="L346" s="10">
        <v>6223539</v>
      </c>
      <c r="M346" s="4">
        <v>2012</v>
      </c>
      <c r="N346" s="4" t="s">
        <v>443</v>
      </c>
      <c r="O346" t="s">
        <v>1199</v>
      </c>
      <c r="S346" t="s">
        <v>23</v>
      </c>
      <c r="U346" t="s">
        <v>478</v>
      </c>
      <c r="V346" t="str">
        <f>IF(AND(ISNUMBER(L346),COUNTIF([1]Songs!$L:$L,L346)&gt;0),"YES","")</f>
        <v>YES</v>
      </c>
      <c r="W346" t="e">
        <f>IF(AND(ISNUMBER(L346),COUNTIF([2]Songs!$J:$J,L346)&gt;0),"YES","")</f>
        <v>#VALUE!</v>
      </c>
      <c r="X346" t="e">
        <f>IF(AND(ISNUMBER(L346),COUNTIF([3]CcliCombined!$D:$D,L346)&gt;0),"YES","")</f>
        <v>#VALUE!</v>
      </c>
      <c r="Y346" t="e">
        <f>IF(AND(ISNUMBER(L346),COUNTIF([4]Songs!$H:$H,L346)&gt;0),"YES","")</f>
        <v>#VALUE!</v>
      </c>
      <c r="Z346" t="s">
        <v>842</v>
      </c>
      <c r="AB346">
        <v>99</v>
      </c>
      <c r="AC346" s="4"/>
      <c r="AD346" t="str">
        <f t="shared" si="7"/>
        <v xml:space="preserve">B </v>
      </c>
    </row>
    <row r="347" spans="1:30" x14ac:dyDescent="0.25">
      <c r="A347">
        <f>INDEX(Albums!$A:$A, MATCH(C347,Albums!$C:$C,0))</f>
        <v>6</v>
      </c>
      <c r="C347" t="s">
        <v>842</v>
      </c>
      <c r="E347" t="s">
        <v>741</v>
      </c>
      <c r="G347" s="28" t="s">
        <v>743</v>
      </c>
      <c r="H347" s="3" t="s">
        <v>47</v>
      </c>
      <c r="I347" s="3" t="s">
        <v>93</v>
      </c>
      <c r="J347" s="4">
        <v>86</v>
      </c>
      <c r="K347" s="5" t="s">
        <v>744</v>
      </c>
      <c r="L347" s="10">
        <v>23206</v>
      </c>
      <c r="M347" s="4">
        <v>1835</v>
      </c>
      <c r="N347" s="6" t="s">
        <v>401</v>
      </c>
      <c r="O347" t="s">
        <v>1199</v>
      </c>
      <c r="S347" t="s">
        <v>23</v>
      </c>
      <c r="U347" t="s">
        <v>478</v>
      </c>
      <c r="V347" t="str">
        <f>IF(AND(ISNUMBER(L347),COUNTIF([1]Songs!$L:$L,L347)&gt;0),"YES","")</f>
        <v>YES</v>
      </c>
      <c r="W347" t="e">
        <f>IF(AND(ISNUMBER(L347),COUNTIF([2]Songs!$J:$J,L347)&gt;0),"YES","")</f>
        <v>#VALUE!</v>
      </c>
      <c r="X347" t="e">
        <f>IF(AND(ISNUMBER(L347),COUNTIF([3]CcliCombined!$D:$D,L347)&gt;0),"YES","")</f>
        <v>#VALUE!</v>
      </c>
      <c r="Y347" t="e">
        <f>IF(AND(ISNUMBER(L347),COUNTIF([4]Songs!$H:$H,L347)&gt;0),"YES","")</f>
        <v>#VALUE!</v>
      </c>
      <c r="Z347" t="s">
        <v>842</v>
      </c>
      <c r="AB347">
        <v>100</v>
      </c>
      <c r="AC347" s="4"/>
      <c r="AD347" t="str">
        <f t="shared" si="7"/>
        <v xml:space="preserve">Db C </v>
      </c>
    </row>
    <row r="348" spans="1:30" x14ac:dyDescent="0.25">
      <c r="A348">
        <f>INDEX(Albums!$A:$A, MATCH(C348,Albums!$C:$C,0))</f>
        <v>6</v>
      </c>
      <c r="C348" t="s">
        <v>842</v>
      </c>
      <c r="E348" t="s">
        <v>741</v>
      </c>
      <c r="F348" t="s">
        <v>742</v>
      </c>
      <c r="G348" s="28" t="s">
        <v>745</v>
      </c>
      <c r="H348" s="3" t="s">
        <v>52</v>
      </c>
      <c r="I348" s="3" t="s">
        <v>52</v>
      </c>
      <c r="J348" s="4">
        <v>73</v>
      </c>
      <c r="K348" s="5" t="s">
        <v>380</v>
      </c>
      <c r="L348" s="9">
        <v>5635850</v>
      </c>
      <c r="M348" s="4">
        <v>2009</v>
      </c>
      <c r="N348" s="6" t="s">
        <v>746</v>
      </c>
      <c r="O348" t="s">
        <v>1199</v>
      </c>
      <c r="S348" t="s">
        <v>23</v>
      </c>
      <c r="U348" t="s">
        <v>478</v>
      </c>
      <c r="V348" t="str">
        <f>IF(AND(ISNUMBER(L348),COUNTIF([1]Songs!$L:$L,L348)&gt;0),"YES","")</f>
        <v>YES</v>
      </c>
      <c r="W348" t="e">
        <f>IF(AND(ISNUMBER(L348),COUNTIF([2]Songs!$J:$J,L348)&gt;0),"YES","")</f>
        <v>#VALUE!</v>
      </c>
      <c r="X348" t="e">
        <f>IF(AND(ISNUMBER(L348),COUNTIF([3]CcliCombined!$D:$D,L348)&gt;0),"YES","")</f>
        <v>#VALUE!</v>
      </c>
      <c r="Y348" t="e">
        <f>IF(AND(ISNUMBER(L348),COUNTIF([4]Songs!$H:$H,L348)&gt;0),"YES","")</f>
        <v>#VALUE!</v>
      </c>
      <c r="Z348" t="s">
        <v>842</v>
      </c>
      <c r="AB348">
        <v>101</v>
      </c>
      <c r="AC348" s="4"/>
      <c r="AD348" t="str">
        <f t="shared" si="7"/>
        <v xml:space="preserve">A </v>
      </c>
    </row>
    <row r="349" spans="1:30" x14ac:dyDescent="0.25">
      <c r="A349">
        <f>INDEX(Albums!$A:$A, MATCH(C349,Albums!$C:$C,0))</f>
        <v>6</v>
      </c>
      <c r="C349" t="s">
        <v>842</v>
      </c>
      <c r="E349" t="s">
        <v>747</v>
      </c>
      <c r="F349" t="s">
        <v>748</v>
      </c>
      <c r="G349" s="28" t="s">
        <v>598</v>
      </c>
      <c r="H349" s="3" t="s">
        <v>47</v>
      </c>
      <c r="I349" s="3" t="s">
        <v>47</v>
      </c>
      <c r="J349" s="4">
        <v>54</v>
      </c>
      <c r="K349" s="4" t="s">
        <v>371</v>
      </c>
      <c r="L349" s="9">
        <v>1045238</v>
      </c>
      <c r="M349" s="4">
        <v>1993</v>
      </c>
      <c r="N349" s="6" t="s">
        <v>751</v>
      </c>
      <c r="O349" t="s">
        <v>1199</v>
      </c>
      <c r="S349" t="s">
        <v>23</v>
      </c>
      <c r="U349" t="s">
        <v>478</v>
      </c>
      <c r="V349" t="str">
        <f>IF(AND(ISNUMBER(L349),COUNTIF([1]Songs!$L:$L,L349)&gt;0),"YES","")</f>
        <v>YES</v>
      </c>
      <c r="W349" t="e">
        <f>IF(AND(ISNUMBER(L349),COUNTIF([2]Songs!$J:$J,L349)&gt;0),"YES","")</f>
        <v>#VALUE!</v>
      </c>
      <c r="X349" t="e">
        <f>IF(AND(ISNUMBER(L349),COUNTIF([3]CcliCombined!$D:$D,L349)&gt;0),"YES","")</f>
        <v>#VALUE!</v>
      </c>
      <c r="Y349" t="e">
        <f>IF(AND(ISNUMBER(L349),COUNTIF([4]Songs!$H:$H,L349)&gt;0),"YES","")</f>
        <v>#VALUE!</v>
      </c>
      <c r="Z349" t="s">
        <v>842</v>
      </c>
      <c r="AB349">
        <v>104</v>
      </c>
      <c r="AC349" s="4"/>
      <c r="AD349" t="str">
        <f t="shared" ref="AD349:AD412" si="8">I349
&amp;IF(H349=I349,""," "&amp;H349)
&amp;IF(OR(R349=I349,R349=H349),""," "&amp;R349)
&amp;IF(R349=S349,""," "&amp;S349)</f>
        <v xml:space="preserve">C </v>
      </c>
    </row>
    <row r="350" spans="1:30" x14ac:dyDescent="0.25">
      <c r="A350">
        <f>INDEX(Albums!$A:$A, MATCH(C350,Albums!$C:$C,0))</f>
        <v>6</v>
      </c>
      <c r="C350" t="s">
        <v>842</v>
      </c>
      <c r="E350" t="s">
        <v>749</v>
      </c>
      <c r="G350" s="28" t="s">
        <v>157</v>
      </c>
      <c r="H350" s="3" t="s">
        <v>47</v>
      </c>
      <c r="I350" s="3" t="s">
        <v>47</v>
      </c>
      <c r="J350" s="4">
        <v>52</v>
      </c>
      <c r="K350" s="5" t="s">
        <v>380</v>
      </c>
      <c r="L350" s="10">
        <v>16787</v>
      </c>
      <c r="M350" s="4">
        <v>1985</v>
      </c>
      <c r="N350" s="4" t="s">
        <v>752</v>
      </c>
      <c r="O350" t="s">
        <v>1199</v>
      </c>
      <c r="S350" t="s">
        <v>23</v>
      </c>
      <c r="U350" t="s">
        <v>478</v>
      </c>
      <c r="V350" t="str">
        <f>IF(AND(ISNUMBER(L350),COUNTIF([1]Songs!$L:$L,L350)&gt;0),"YES","")</f>
        <v>YES</v>
      </c>
      <c r="W350" t="e">
        <f>IF(AND(ISNUMBER(L350),COUNTIF([2]Songs!$J:$J,L350)&gt;0),"YES","")</f>
        <v>#VALUE!</v>
      </c>
      <c r="X350" t="e">
        <f>IF(AND(ISNUMBER(L350),COUNTIF([3]CcliCombined!$D:$D,L350)&gt;0),"YES","")</f>
        <v>#VALUE!</v>
      </c>
      <c r="Y350" t="e">
        <f>IF(AND(ISNUMBER(L350),COUNTIF([4]Songs!$H:$H,L350)&gt;0),"YES","")</f>
        <v>#VALUE!</v>
      </c>
      <c r="Z350" t="s">
        <v>842</v>
      </c>
      <c r="AB350">
        <v>105</v>
      </c>
      <c r="AC350" s="4"/>
      <c r="AD350" t="str">
        <f t="shared" si="8"/>
        <v xml:space="preserve">C </v>
      </c>
    </row>
    <row r="351" spans="1:30" x14ac:dyDescent="0.25">
      <c r="A351">
        <f>INDEX(Albums!$A:$A, MATCH(C351,Albums!$C:$C,0))</f>
        <v>6</v>
      </c>
      <c r="C351" t="s">
        <v>842</v>
      </c>
      <c r="E351" t="s">
        <v>750</v>
      </c>
      <c r="G351" s="28" t="s">
        <v>391</v>
      </c>
      <c r="H351" s="3" t="s">
        <v>47</v>
      </c>
      <c r="I351" s="3" t="s">
        <v>47</v>
      </c>
      <c r="J351" s="4">
        <v>130</v>
      </c>
      <c r="K351" s="5" t="s">
        <v>371</v>
      </c>
      <c r="L351" s="9">
        <v>6223577</v>
      </c>
      <c r="M351" s="4">
        <v>2012</v>
      </c>
      <c r="N351" s="6" t="s">
        <v>383</v>
      </c>
      <c r="O351" t="s">
        <v>1199</v>
      </c>
      <c r="S351" t="s">
        <v>23</v>
      </c>
      <c r="U351" t="s">
        <v>478</v>
      </c>
      <c r="V351" t="str">
        <f>IF(AND(ISNUMBER(L351),COUNTIF([1]Songs!$L:$L,L351)&gt;0),"YES","")</f>
        <v>YES</v>
      </c>
      <c r="W351" t="e">
        <f>IF(AND(ISNUMBER(L351),COUNTIF([2]Songs!$J:$J,L351)&gt;0),"YES","")</f>
        <v>#VALUE!</v>
      </c>
      <c r="X351" t="e">
        <f>IF(AND(ISNUMBER(L351),COUNTIF([3]CcliCombined!$D:$D,L351)&gt;0),"YES","")</f>
        <v>#VALUE!</v>
      </c>
      <c r="Y351" t="e">
        <f>IF(AND(ISNUMBER(L351),COUNTIF([4]Songs!$H:$H,L351)&gt;0),"YES","")</f>
        <v>#VALUE!</v>
      </c>
      <c r="Z351" t="s">
        <v>842</v>
      </c>
      <c r="AB351">
        <v>106</v>
      </c>
      <c r="AC351" s="4"/>
      <c r="AD351" t="str">
        <f t="shared" si="8"/>
        <v xml:space="preserve">C </v>
      </c>
    </row>
    <row r="352" spans="1:30" x14ac:dyDescent="0.25">
      <c r="A352">
        <f>INDEX(Albums!$A:$A, MATCH(C352,Albums!$C:$C,0))</f>
        <v>6</v>
      </c>
      <c r="C352" t="s">
        <v>842</v>
      </c>
      <c r="E352" t="s">
        <v>753</v>
      </c>
      <c r="G352" s="28" t="s">
        <v>754</v>
      </c>
      <c r="H352" s="3" t="s">
        <v>176</v>
      </c>
      <c r="I352" s="3" t="s">
        <v>176</v>
      </c>
      <c r="J352" s="4"/>
      <c r="K352" s="5" t="s">
        <v>371</v>
      </c>
      <c r="L352" s="10">
        <v>33935</v>
      </c>
      <c r="M352" s="4">
        <v>1874</v>
      </c>
      <c r="N352" s="4" t="s">
        <v>401</v>
      </c>
      <c r="O352" t="s">
        <v>1199</v>
      </c>
      <c r="S352" t="s">
        <v>23</v>
      </c>
      <c r="U352" t="s">
        <v>478</v>
      </c>
      <c r="V352" t="str">
        <f>IF(AND(ISNUMBER(L352),COUNTIF([1]Songs!$L:$L,L352)&gt;0),"YES","")</f>
        <v>YES</v>
      </c>
      <c r="W352" t="e">
        <f>IF(AND(ISNUMBER(L352),COUNTIF([2]Songs!$J:$J,L352)&gt;0),"YES","")</f>
        <v>#VALUE!</v>
      </c>
      <c r="X352" t="e">
        <f>IF(AND(ISNUMBER(L352),COUNTIF([3]CcliCombined!$D:$D,L352)&gt;0),"YES","")</f>
        <v>#VALUE!</v>
      </c>
      <c r="Y352" t="e">
        <f>IF(AND(ISNUMBER(L352),COUNTIF([4]Songs!$H:$H,L352)&gt;0),"YES","")</f>
        <v>#VALUE!</v>
      </c>
      <c r="Z352" t="s">
        <v>842</v>
      </c>
      <c r="AB352">
        <v>108</v>
      </c>
      <c r="AC352" s="4"/>
      <c r="AD352" t="str">
        <f t="shared" si="8"/>
        <v xml:space="preserve">F </v>
      </c>
    </row>
    <row r="353" spans="1:30" x14ac:dyDescent="0.25">
      <c r="A353">
        <f>INDEX(Albums!$A:$A, MATCH(C353,Albums!$C:$C,0))</f>
        <v>6</v>
      </c>
      <c r="C353" t="s">
        <v>842</v>
      </c>
      <c r="E353" t="s">
        <v>755</v>
      </c>
      <c r="G353" s="28" t="s">
        <v>756</v>
      </c>
      <c r="H353" s="3" t="s">
        <v>25</v>
      </c>
      <c r="I353" s="3" t="s">
        <v>25</v>
      </c>
      <c r="J353" s="4">
        <v>86</v>
      </c>
      <c r="K353" s="5" t="s">
        <v>371</v>
      </c>
      <c r="L353" s="10">
        <v>117947</v>
      </c>
      <c r="M353" s="4">
        <v>1989</v>
      </c>
      <c r="N353" s="6" t="s">
        <v>653</v>
      </c>
      <c r="O353" t="s">
        <v>1199</v>
      </c>
      <c r="S353" t="s">
        <v>23</v>
      </c>
      <c r="U353" t="s">
        <v>478</v>
      </c>
      <c r="V353" t="str">
        <f>IF(AND(ISNUMBER(L353),COUNTIF([1]Songs!$L:$L,L353)&gt;0),"YES","")</f>
        <v>YES</v>
      </c>
      <c r="W353" t="e">
        <f>IF(AND(ISNUMBER(L353),COUNTIF([2]Songs!$J:$J,L353)&gt;0),"YES","")</f>
        <v>#VALUE!</v>
      </c>
      <c r="X353" t="e">
        <f>IF(AND(ISNUMBER(L353),COUNTIF([3]CcliCombined!$D:$D,L353)&gt;0),"YES","")</f>
        <v>#VALUE!</v>
      </c>
      <c r="Y353" t="e">
        <f>IF(AND(ISNUMBER(L353),COUNTIF([4]Songs!$H:$H,L353)&gt;0),"YES","")</f>
        <v>#VALUE!</v>
      </c>
      <c r="Z353" t="s">
        <v>842</v>
      </c>
      <c r="AB353">
        <v>111</v>
      </c>
      <c r="AC353" s="4"/>
      <c r="AD353" t="str">
        <f t="shared" si="8"/>
        <v xml:space="preserve">G </v>
      </c>
    </row>
    <row r="354" spans="1:30" x14ac:dyDescent="0.25">
      <c r="A354">
        <f>INDEX(Albums!$A:$A, MATCH(C354,Albums!$C:$C,0))</f>
        <v>6</v>
      </c>
      <c r="C354" t="s">
        <v>842</v>
      </c>
      <c r="E354" t="s">
        <v>758</v>
      </c>
      <c r="G354" s="28" t="s">
        <v>759</v>
      </c>
      <c r="H354" s="3" t="s">
        <v>39</v>
      </c>
      <c r="I354" s="3" t="s">
        <v>39</v>
      </c>
      <c r="J354" s="4">
        <v>82</v>
      </c>
      <c r="K354" s="5" t="s">
        <v>380</v>
      </c>
      <c r="L354" s="9">
        <v>18448</v>
      </c>
      <c r="M354" s="4">
        <v>1917</v>
      </c>
      <c r="N354" s="6" t="s">
        <v>401</v>
      </c>
      <c r="O354" t="s">
        <v>1199</v>
      </c>
      <c r="S354" t="s">
        <v>23</v>
      </c>
      <c r="U354" t="s">
        <v>478</v>
      </c>
      <c r="V354" t="str">
        <f>IF(AND(ISNUMBER(L354),COUNTIF([1]Songs!$L:$L,L354)&gt;0),"YES","")</f>
        <v>YES</v>
      </c>
      <c r="W354" t="e">
        <f>IF(AND(ISNUMBER(L354),COUNTIF([2]Songs!$J:$J,L354)&gt;0),"YES","")</f>
        <v>#VALUE!</v>
      </c>
      <c r="X354" t="e">
        <f>IF(AND(ISNUMBER(L354),COUNTIF([3]CcliCombined!$D:$D,L354)&gt;0),"YES","")</f>
        <v>#VALUE!</v>
      </c>
      <c r="Y354" t="e">
        <f>IF(AND(ISNUMBER(L354),COUNTIF([4]Songs!$H:$H,L354)&gt;0),"YES","")</f>
        <v>#VALUE!</v>
      </c>
      <c r="Z354" t="s">
        <v>842</v>
      </c>
      <c r="AB354">
        <v>115</v>
      </c>
      <c r="AC354" s="4"/>
      <c r="AD354" t="str">
        <f t="shared" si="8"/>
        <v xml:space="preserve">D </v>
      </c>
    </row>
    <row r="355" spans="1:30" x14ac:dyDescent="0.25">
      <c r="A355">
        <f>INDEX(Albums!$A:$A, MATCH(C355,Albums!$C:$C,0))</f>
        <v>6</v>
      </c>
      <c r="C355" t="s">
        <v>842</v>
      </c>
      <c r="E355" t="s">
        <v>166</v>
      </c>
      <c r="G355" s="28" t="s">
        <v>760</v>
      </c>
      <c r="H355" s="3" t="s">
        <v>52</v>
      </c>
      <c r="I355" s="3" t="s">
        <v>28</v>
      </c>
      <c r="J355" s="4"/>
      <c r="K355" s="5" t="s">
        <v>371</v>
      </c>
      <c r="L355" s="9">
        <v>1527</v>
      </c>
      <c r="M355" s="4">
        <v>1981</v>
      </c>
      <c r="N355" s="6" t="s">
        <v>761</v>
      </c>
      <c r="O355" t="s">
        <v>1199</v>
      </c>
      <c r="S355" t="s">
        <v>23</v>
      </c>
      <c r="U355" t="s">
        <v>478</v>
      </c>
      <c r="V355" t="str">
        <f>IF(AND(ISNUMBER(L355),COUNTIF([1]Songs!$L:$L,L355)&gt;0),"YES","")</f>
        <v>YES</v>
      </c>
      <c r="W355" t="e">
        <f>IF(AND(ISNUMBER(L355),COUNTIF([2]Songs!$J:$J,L355)&gt;0),"YES","")</f>
        <v>#VALUE!</v>
      </c>
      <c r="X355" t="e">
        <f>IF(AND(ISNUMBER(L355),COUNTIF([3]CcliCombined!$D:$D,L355)&gt;0),"YES","")</f>
        <v>#VALUE!</v>
      </c>
      <c r="Y355" t="e">
        <f>IF(AND(ISNUMBER(L355),COUNTIF([4]Songs!$H:$H,L355)&gt;0),"YES","")</f>
        <v>#VALUE!</v>
      </c>
      <c r="Z355" t="s">
        <v>842</v>
      </c>
      <c r="AB355">
        <v>116</v>
      </c>
      <c r="AC355" s="4"/>
      <c r="AD355" t="str">
        <f t="shared" si="8"/>
        <v xml:space="preserve">Bb A </v>
      </c>
    </row>
    <row r="356" spans="1:30" x14ac:dyDescent="0.25">
      <c r="A356">
        <f>INDEX(Albums!$A:$A, MATCH(C356,Albums!$C:$C,0))</f>
        <v>6</v>
      </c>
      <c r="C356" t="s">
        <v>842</v>
      </c>
      <c r="E356" t="s">
        <v>762</v>
      </c>
      <c r="F356" t="s">
        <v>763</v>
      </c>
      <c r="G356" s="28" t="s">
        <v>769</v>
      </c>
      <c r="H356" s="3" t="s">
        <v>25</v>
      </c>
      <c r="I356" s="3" t="s">
        <v>28</v>
      </c>
      <c r="J356" s="4">
        <v>90</v>
      </c>
      <c r="K356" s="4" t="s">
        <v>371</v>
      </c>
      <c r="L356" s="10">
        <v>24133</v>
      </c>
      <c r="M356" s="4">
        <v>1862</v>
      </c>
      <c r="N356" s="6" t="s">
        <v>401</v>
      </c>
      <c r="O356" t="s">
        <v>1199</v>
      </c>
      <c r="S356" t="s">
        <v>23</v>
      </c>
      <c r="U356" t="s">
        <v>478</v>
      </c>
      <c r="V356" t="str">
        <f>IF(AND(ISNUMBER(L356),COUNTIF([1]Songs!$L:$L,L356)&gt;0),"YES","")</f>
        <v>YES</v>
      </c>
      <c r="W356" t="e">
        <f>IF(AND(ISNUMBER(L356),COUNTIF([2]Songs!$J:$J,L356)&gt;0),"YES","")</f>
        <v>#VALUE!</v>
      </c>
      <c r="X356" t="e">
        <f>IF(AND(ISNUMBER(L356),COUNTIF([3]CcliCombined!$D:$D,L356)&gt;0),"YES","")</f>
        <v>#VALUE!</v>
      </c>
      <c r="Y356" t="e">
        <f>IF(AND(ISNUMBER(L356),COUNTIF([4]Songs!$H:$H,L356)&gt;0),"YES","")</f>
        <v>#VALUE!</v>
      </c>
      <c r="Z356" t="s">
        <v>842</v>
      </c>
      <c r="AB356">
        <v>121</v>
      </c>
      <c r="AC356" s="4"/>
      <c r="AD356" t="str">
        <f t="shared" si="8"/>
        <v xml:space="preserve">Bb G </v>
      </c>
    </row>
    <row r="357" spans="1:30" x14ac:dyDescent="0.25">
      <c r="A357">
        <f>INDEX(Albums!$A:$A, MATCH(C357,Albums!$C:$C,0))</f>
        <v>6</v>
      </c>
      <c r="C357" t="s">
        <v>842</v>
      </c>
      <c r="E357" t="s">
        <v>764</v>
      </c>
      <c r="G357" s="28" t="s">
        <v>770</v>
      </c>
      <c r="H357" s="3" t="s">
        <v>39</v>
      </c>
      <c r="I357" s="3" t="s">
        <v>39</v>
      </c>
      <c r="J357" s="4">
        <v>76</v>
      </c>
      <c r="K357" s="5" t="s">
        <v>371</v>
      </c>
      <c r="L357" s="10">
        <v>6428853</v>
      </c>
      <c r="M357" s="4">
        <v>2012</v>
      </c>
      <c r="N357" s="4" t="s">
        <v>372</v>
      </c>
      <c r="O357" t="s">
        <v>1199</v>
      </c>
      <c r="S357" t="s">
        <v>23</v>
      </c>
      <c r="U357" t="s">
        <v>478</v>
      </c>
      <c r="V357" t="str">
        <f>IF(AND(ISNUMBER(L357),COUNTIF([1]Songs!$L:$L,L357)&gt;0),"YES","")</f>
        <v>YES</v>
      </c>
      <c r="W357" t="e">
        <f>IF(AND(ISNUMBER(L357),COUNTIF([2]Songs!$J:$J,L357)&gt;0),"YES","")</f>
        <v>#VALUE!</v>
      </c>
      <c r="X357" t="e">
        <f>IF(AND(ISNUMBER(L357),COUNTIF([3]CcliCombined!$D:$D,L357)&gt;0),"YES","")</f>
        <v>#VALUE!</v>
      </c>
      <c r="Y357" t="e">
        <f>IF(AND(ISNUMBER(L357),COUNTIF([4]Songs!$H:$H,L357)&gt;0),"YES","")</f>
        <v>#VALUE!</v>
      </c>
      <c r="Z357" t="s">
        <v>842</v>
      </c>
      <c r="AB357">
        <v>122</v>
      </c>
      <c r="AC357" s="4"/>
      <c r="AD357" t="str">
        <f t="shared" si="8"/>
        <v xml:space="preserve">D </v>
      </c>
    </row>
    <row r="358" spans="1:30" x14ac:dyDescent="0.25">
      <c r="A358">
        <f>INDEX(Albums!$A:$A, MATCH(C358,Albums!$C:$C,0))</f>
        <v>6</v>
      </c>
      <c r="C358" t="s">
        <v>842</v>
      </c>
      <c r="E358" t="s">
        <v>764</v>
      </c>
      <c r="F358" t="s">
        <v>765</v>
      </c>
      <c r="G358" s="28" t="s">
        <v>771</v>
      </c>
      <c r="H358" s="3" t="s">
        <v>31</v>
      </c>
      <c r="I358" s="3" t="s">
        <v>31</v>
      </c>
      <c r="J358" s="4">
        <v>91</v>
      </c>
      <c r="K358" s="5" t="s">
        <v>371</v>
      </c>
      <c r="L358" s="9">
        <v>7065990</v>
      </c>
      <c r="M358" s="4">
        <v>2016</v>
      </c>
      <c r="N358" s="4" t="s">
        <v>374</v>
      </c>
      <c r="O358" t="s">
        <v>1199</v>
      </c>
      <c r="S358" t="s">
        <v>23</v>
      </c>
      <c r="U358" t="s">
        <v>478</v>
      </c>
      <c r="V358" t="str">
        <f>IF(AND(ISNUMBER(L358),COUNTIF([1]Songs!$L:$L,L358)&gt;0),"YES","")</f>
        <v>YES</v>
      </c>
      <c r="W358" t="e">
        <f>IF(AND(ISNUMBER(L358),COUNTIF([2]Songs!$J:$J,L358)&gt;0),"YES","")</f>
        <v>#VALUE!</v>
      </c>
      <c r="X358" t="e">
        <f>IF(AND(ISNUMBER(L358),COUNTIF([3]CcliCombined!$D:$D,L358)&gt;0),"YES","")</f>
        <v>#VALUE!</v>
      </c>
      <c r="Y358" t="e">
        <f>IF(AND(ISNUMBER(L358),COUNTIF([4]Songs!$H:$H,L358)&gt;0),"YES","")</f>
        <v>#VALUE!</v>
      </c>
      <c r="Z358" t="s">
        <v>842</v>
      </c>
      <c r="AB358">
        <v>123</v>
      </c>
      <c r="AC358" s="4"/>
      <c r="AD358" t="str">
        <f t="shared" si="8"/>
        <v xml:space="preserve">B </v>
      </c>
    </row>
    <row r="359" spans="1:30" x14ac:dyDescent="0.25">
      <c r="A359">
        <f>INDEX(Albums!$A:$A, MATCH(C359,Albums!$C:$C,0))</f>
        <v>6</v>
      </c>
      <c r="C359" t="s">
        <v>842</v>
      </c>
      <c r="E359" t="s">
        <v>766</v>
      </c>
      <c r="G359" s="28" t="s">
        <v>669</v>
      </c>
      <c r="H359" s="3" t="s">
        <v>47</v>
      </c>
      <c r="I359" s="3" t="s">
        <v>47</v>
      </c>
      <c r="J359" s="4">
        <v>110</v>
      </c>
      <c r="K359" s="5" t="s">
        <v>371</v>
      </c>
      <c r="L359" s="9">
        <v>7002032</v>
      </c>
      <c r="M359" s="4">
        <v>2013</v>
      </c>
      <c r="N359" s="6" t="s">
        <v>381</v>
      </c>
      <c r="O359" t="s">
        <v>1199</v>
      </c>
      <c r="S359" t="s">
        <v>23</v>
      </c>
      <c r="U359" t="s">
        <v>478</v>
      </c>
      <c r="V359" t="str">
        <f>IF(AND(ISNUMBER(L359),COUNTIF([1]Songs!$L:$L,L359)&gt;0),"YES","")</f>
        <v>YES</v>
      </c>
      <c r="W359" t="e">
        <f>IF(AND(ISNUMBER(L359),COUNTIF([2]Songs!$J:$J,L359)&gt;0),"YES","")</f>
        <v>#VALUE!</v>
      </c>
      <c r="X359" t="e">
        <f>IF(AND(ISNUMBER(L359),COUNTIF([3]CcliCombined!$D:$D,L359)&gt;0),"YES","")</f>
        <v>#VALUE!</v>
      </c>
      <c r="Y359" t="e">
        <f>IF(AND(ISNUMBER(L359),COUNTIF([4]Songs!$H:$H,L359)&gt;0),"YES","")</f>
        <v>#VALUE!</v>
      </c>
      <c r="Z359" t="s">
        <v>842</v>
      </c>
      <c r="AB359">
        <v>124</v>
      </c>
      <c r="AC359" s="4"/>
      <c r="AD359" t="str">
        <f t="shared" si="8"/>
        <v xml:space="preserve">C </v>
      </c>
    </row>
    <row r="360" spans="1:30" x14ac:dyDescent="0.25">
      <c r="A360">
        <f>INDEX(Albums!$A:$A, MATCH(C360,Albums!$C:$C,0))</f>
        <v>6</v>
      </c>
      <c r="C360" t="s">
        <v>842</v>
      </c>
      <c r="E360" t="s">
        <v>767</v>
      </c>
      <c r="G360" s="28" t="s">
        <v>611</v>
      </c>
      <c r="H360" s="3" t="s">
        <v>36</v>
      </c>
      <c r="I360" s="3" t="s">
        <v>36</v>
      </c>
      <c r="J360" s="4">
        <v>138</v>
      </c>
      <c r="K360" s="5" t="s">
        <v>371</v>
      </c>
      <c r="L360" s="9">
        <v>2397964</v>
      </c>
      <c r="M360" s="4">
        <v>1998</v>
      </c>
      <c r="N360" s="4" t="s">
        <v>372</v>
      </c>
      <c r="O360" t="s">
        <v>1199</v>
      </c>
      <c r="S360" t="s">
        <v>23</v>
      </c>
      <c r="U360" t="s">
        <v>478</v>
      </c>
      <c r="V360" t="str">
        <f>IF(AND(ISNUMBER(L360),COUNTIF([1]Songs!$L:$L,L360)&gt;0),"YES","")</f>
        <v>YES</v>
      </c>
      <c r="W360" t="e">
        <f>IF(AND(ISNUMBER(L360),COUNTIF([2]Songs!$J:$J,L360)&gt;0),"YES","")</f>
        <v>#VALUE!</v>
      </c>
      <c r="X360" t="e">
        <f>IF(AND(ISNUMBER(L360),COUNTIF([3]CcliCombined!$D:$D,L360)&gt;0),"YES","")</f>
        <v>#VALUE!</v>
      </c>
      <c r="Y360" t="e">
        <f>IF(AND(ISNUMBER(L360),COUNTIF([4]Songs!$H:$H,L360)&gt;0),"YES","")</f>
        <v>#VALUE!</v>
      </c>
      <c r="Z360" t="s">
        <v>842</v>
      </c>
      <c r="AB360">
        <v>125</v>
      </c>
      <c r="AC360" s="4"/>
      <c r="AD360" t="str">
        <f t="shared" si="8"/>
        <v xml:space="preserve">E </v>
      </c>
    </row>
    <row r="361" spans="1:30" x14ac:dyDescent="0.25">
      <c r="A361">
        <f>INDEX(Albums!$A:$A, MATCH(C361,Albums!$C:$C,0))</f>
        <v>6</v>
      </c>
      <c r="C361" t="s">
        <v>842</v>
      </c>
      <c r="E361" t="s">
        <v>768</v>
      </c>
      <c r="G361" s="28" t="s">
        <v>772</v>
      </c>
      <c r="H361" s="3" t="s">
        <v>176</v>
      </c>
      <c r="I361" s="3" t="s">
        <v>176</v>
      </c>
      <c r="J361" s="4">
        <v>100</v>
      </c>
      <c r="K361" s="5" t="s">
        <v>371</v>
      </c>
      <c r="L361" s="10">
        <v>78835</v>
      </c>
      <c r="M361" s="4">
        <v>1841</v>
      </c>
      <c r="N361" s="6" t="s">
        <v>401</v>
      </c>
      <c r="O361" t="s">
        <v>1199</v>
      </c>
      <c r="S361" t="s">
        <v>23</v>
      </c>
      <c r="U361" t="s">
        <v>478</v>
      </c>
      <c r="V361" t="str">
        <f>IF(AND(ISNUMBER(L361),COUNTIF([1]Songs!$L:$L,L361)&gt;0),"YES","")</f>
        <v>YES</v>
      </c>
      <c r="W361" t="e">
        <f>IF(AND(ISNUMBER(L361),COUNTIF([2]Songs!$J:$J,L361)&gt;0),"YES","")</f>
        <v>#VALUE!</v>
      </c>
      <c r="X361" t="e">
        <f>IF(AND(ISNUMBER(L361),COUNTIF([3]CcliCombined!$D:$D,L361)&gt;0),"YES","")</f>
        <v>#VALUE!</v>
      </c>
      <c r="Y361" t="e">
        <f>IF(AND(ISNUMBER(L361),COUNTIF([4]Songs!$H:$H,L361)&gt;0),"YES","")</f>
        <v>#VALUE!</v>
      </c>
      <c r="Z361" t="s">
        <v>842</v>
      </c>
      <c r="AB361">
        <v>126</v>
      </c>
      <c r="AC361" s="4"/>
      <c r="AD361" t="str">
        <f t="shared" si="8"/>
        <v xml:space="preserve">F </v>
      </c>
    </row>
    <row r="362" spans="1:30" x14ac:dyDescent="0.25">
      <c r="A362">
        <f>INDEX(Albums!$A:$A, MATCH(C362,Albums!$C:$C,0))</f>
        <v>6</v>
      </c>
      <c r="C362" t="s">
        <v>842</v>
      </c>
      <c r="E362" t="s">
        <v>773</v>
      </c>
      <c r="G362" s="28" t="s">
        <v>379</v>
      </c>
      <c r="H362" s="3" t="s">
        <v>39</v>
      </c>
      <c r="I362" s="3" t="s">
        <v>39</v>
      </c>
      <c r="J362" s="4">
        <v>58</v>
      </c>
      <c r="K362" s="5" t="s">
        <v>380</v>
      </c>
      <c r="L362" s="9">
        <v>4611992</v>
      </c>
      <c r="M362" s="4">
        <v>2005</v>
      </c>
      <c r="N362" s="4" t="s">
        <v>381</v>
      </c>
      <c r="O362" t="s">
        <v>1199</v>
      </c>
      <c r="S362" t="s">
        <v>23</v>
      </c>
      <c r="U362" t="s">
        <v>478</v>
      </c>
      <c r="V362" t="str">
        <f>IF(AND(ISNUMBER(L362),COUNTIF([1]Songs!$L:$L,L362)&gt;0),"YES","")</f>
        <v>YES</v>
      </c>
      <c r="W362" t="e">
        <f>IF(AND(ISNUMBER(L362),COUNTIF([2]Songs!$J:$J,L362)&gt;0),"YES","")</f>
        <v>#VALUE!</v>
      </c>
      <c r="X362" t="e">
        <f>IF(AND(ISNUMBER(L362),COUNTIF([3]CcliCombined!$D:$D,L362)&gt;0),"YES","")</f>
        <v>#VALUE!</v>
      </c>
      <c r="Y362" t="e">
        <f>IF(AND(ISNUMBER(L362),COUNTIF([4]Songs!$H:$H,L362)&gt;0),"YES","")</f>
        <v>#VALUE!</v>
      </c>
      <c r="Z362" t="s">
        <v>842</v>
      </c>
      <c r="AB362">
        <v>129</v>
      </c>
      <c r="AC362" s="4"/>
      <c r="AD362" t="str">
        <f t="shared" si="8"/>
        <v xml:space="preserve">D </v>
      </c>
    </row>
    <row r="363" spans="1:30" x14ac:dyDescent="0.25">
      <c r="A363">
        <f>INDEX(Albums!$A:$A, MATCH(C363,Albums!$C:$C,0))</f>
        <v>6</v>
      </c>
      <c r="C363" t="s">
        <v>842</v>
      </c>
      <c r="E363" t="s">
        <v>774</v>
      </c>
      <c r="G363" s="28" t="s">
        <v>775</v>
      </c>
      <c r="H363" s="3" t="s">
        <v>776</v>
      </c>
      <c r="I363" s="3" t="s">
        <v>776</v>
      </c>
      <c r="J363" s="4">
        <v>72</v>
      </c>
      <c r="K363" s="5" t="s">
        <v>371</v>
      </c>
      <c r="L363" s="10">
        <v>137178</v>
      </c>
      <c r="M363" s="4">
        <v>1875</v>
      </c>
      <c r="N363" s="6" t="s">
        <v>401</v>
      </c>
      <c r="O363" t="s">
        <v>1199</v>
      </c>
      <c r="S363" t="s">
        <v>23</v>
      </c>
      <c r="U363" t="s">
        <v>478</v>
      </c>
      <c r="V363" t="str">
        <f>IF(AND(ISNUMBER(L363),COUNTIF([1]Songs!$L:$L,L363)&gt;0),"YES","")</f>
        <v>YES</v>
      </c>
      <c r="W363" t="e">
        <f>IF(AND(ISNUMBER(L363),COUNTIF([2]Songs!$J:$J,L363)&gt;0),"YES","")</f>
        <v>#VALUE!</v>
      </c>
      <c r="X363" t="e">
        <f>IF(AND(ISNUMBER(L363),COUNTIF([3]CcliCombined!$D:$D,L363)&gt;0),"YES","")</f>
        <v>#VALUE!</v>
      </c>
      <c r="Y363" t="e">
        <f>IF(AND(ISNUMBER(L363),COUNTIF([4]Songs!$H:$H,L363)&gt;0),"YES","")</f>
        <v>#VALUE!</v>
      </c>
      <c r="Z363" t="s">
        <v>842</v>
      </c>
      <c r="AB363">
        <v>132</v>
      </c>
      <c r="AC363" s="4"/>
      <c r="AD363" t="str">
        <f t="shared" si="8"/>
        <v xml:space="preserve">Em </v>
      </c>
    </row>
    <row r="364" spans="1:30" x14ac:dyDescent="0.25">
      <c r="A364">
        <f>INDEX(Albums!$A:$A, MATCH(C364,Albums!$C:$C,0))</f>
        <v>6</v>
      </c>
      <c r="C364" t="s">
        <v>842</v>
      </c>
      <c r="E364" t="s">
        <v>777</v>
      </c>
      <c r="G364" s="28" t="s">
        <v>708</v>
      </c>
      <c r="H364" s="3" t="s">
        <v>39</v>
      </c>
      <c r="I364" s="3" t="s">
        <v>39</v>
      </c>
      <c r="J364" s="4">
        <v>70</v>
      </c>
      <c r="K364" s="5" t="s">
        <v>371</v>
      </c>
      <c r="L364" s="10">
        <v>7044259</v>
      </c>
      <c r="M364" s="4">
        <v>2015</v>
      </c>
      <c r="N364" s="4" t="s">
        <v>381</v>
      </c>
      <c r="O364" t="s">
        <v>1199</v>
      </c>
      <c r="S364" t="s">
        <v>23</v>
      </c>
      <c r="U364" t="s">
        <v>478</v>
      </c>
      <c r="V364" t="str">
        <f>IF(AND(ISNUMBER(L364),COUNTIF([1]Songs!$L:$L,L364)&gt;0),"YES","")</f>
        <v>YES</v>
      </c>
      <c r="W364" t="e">
        <f>IF(AND(ISNUMBER(L364),COUNTIF([2]Songs!$J:$J,L364)&gt;0),"YES","")</f>
        <v>#VALUE!</v>
      </c>
      <c r="X364" t="e">
        <f>IF(AND(ISNUMBER(L364),COUNTIF([3]CcliCombined!$D:$D,L364)&gt;0),"YES","")</f>
        <v>#VALUE!</v>
      </c>
      <c r="Y364" t="e">
        <f>IF(AND(ISNUMBER(L364),COUNTIF([4]Songs!$H:$H,L364)&gt;0),"YES","")</f>
        <v>#VALUE!</v>
      </c>
      <c r="Z364" t="s">
        <v>842</v>
      </c>
      <c r="AB364">
        <v>134</v>
      </c>
      <c r="AC364" s="4" t="s">
        <v>853</v>
      </c>
      <c r="AD364" t="str">
        <f t="shared" si="8"/>
        <v xml:space="preserve">D </v>
      </c>
    </row>
    <row r="365" spans="1:30" x14ac:dyDescent="0.25">
      <c r="A365">
        <f>INDEX(Albums!$A:$A, MATCH(C365,Albums!$C:$C,0))</f>
        <v>6</v>
      </c>
      <c r="C365" t="s">
        <v>842</v>
      </c>
      <c r="E365" t="s">
        <v>778</v>
      </c>
      <c r="G365" s="28" t="s">
        <v>43</v>
      </c>
      <c r="H365" s="3" t="s">
        <v>39</v>
      </c>
      <c r="I365" s="3" t="s">
        <v>78</v>
      </c>
      <c r="J365" s="4">
        <v>71</v>
      </c>
      <c r="K365" s="5" t="s">
        <v>371</v>
      </c>
      <c r="L365" s="10">
        <v>1564362</v>
      </c>
      <c r="M365" s="4">
        <v>1995</v>
      </c>
      <c r="N365" s="4" t="s">
        <v>381</v>
      </c>
      <c r="O365" t="s">
        <v>1199</v>
      </c>
      <c r="S365" t="s">
        <v>23</v>
      </c>
      <c r="U365" t="s">
        <v>478</v>
      </c>
      <c r="V365" t="str">
        <f>IF(AND(ISNUMBER(L365),COUNTIF([1]Songs!$L:$L,L365)&gt;0),"YES","")</f>
        <v>YES</v>
      </c>
      <c r="W365" t="e">
        <f>IF(AND(ISNUMBER(L365),COUNTIF([2]Songs!$J:$J,L365)&gt;0),"YES","")</f>
        <v>#VALUE!</v>
      </c>
      <c r="X365" t="e">
        <f>IF(AND(ISNUMBER(L365),COUNTIF([3]CcliCombined!$D:$D,L365)&gt;0),"YES","")</f>
        <v>#VALUE!</v>
      </c>
      <c r="Y365" t="e">
        <f>IF(AND(ISNUMBER(L365),COUNTIF([4]Songs!$H:$H,L365)&gt;0),"YES","")</f>
        <v>#VALUE!</v>
      </c>
      <c r="Z365" t="s">
        <v>842</v>
      </c>
      <c r="AB365">
        <v>135</v>
      </c>
      <c r="AC365" s="4"/>
      <c r="AD365" t="str">
        <f t="shared" si="8"/>
        <v xml:space="preserve">Eb D </v>
      </c>
    </row>
    <row r="366" spans="1:30" x14ac:dyDescent="0.25">
      <c r="A366">
        <f>INDEX(Albums!$A:$A, MATCH(C366,Albums!$C:$C,0))</f>
        <v>6</v>
      </c>
      <c r="C366" t="s">
        <v>842</v>
      </c>
      <c r="E366" t="s">
        <v>779</v>
      </c>
      <c r="G366" s="28" t="s">
        <v>780</v>
      </c>
      <c r="H366" s="4" t="s">
        <v>176</v>
      </c>
      <c r="I366" s="4" t="s">
        <v>176</v>
      </c>
      <c r="J366" s="4">
        <v>96</v>
      </c>
      <c r="K366" s="5" t="s">
        <v>371</v>
      </c>
      <c r="L366" s="10">
        <v>47017</v>
      </c>
      <c r="M366" s="4">
        <v>1865</v>
      </c>
      <c r="N366" s="4" t="s">
        <v>401</v>
      </c>
      <c r="O366" t="s">
        <v>1199</v>
      </c>
      <c r="S366" t="s">
        <v>23</v>
      </c>
      <c r="U366" t="s">
        <v>478</v>
      </c>
      <c r="V366" t="str">
        <f>IF(AND(ISNUMBER(L366),COUNTIF([1]Songs!$L:$L,L366)&gt;0),"YES","")</f>
        <v>YES</v>
      </c>
      <c r="W366" t="e">
        <f>IF(AND(ISNUMBER(L366),COUNTIF([2]Songs!$J:$J,L366)&gt;0),"YES","")</f>
        <v>#VALUE!</v>
      </c>
      <c r="X366" t="e">
        <f>IF(AND(ISNUMBER(L366),COUNTIF([3]CcliCombined!$D:$D,L366)&gt;0),"YES","")</f>
        <v>#VALUE!</v>
      </c>
      <c r="Y366" t="e">
        <f>IF(AND(ISNUMBER(L366),COUNTIF([4]Songs!$H:$H,L366)&gt;0),"YES","")</f>
        <v>#VALUE!</v>
      </c>
      <c r="Z366" t="s">
        <v>842</v>
      </c>
      <c r="AB366">
        <v>137</v>
      </c>
      <c r="AC366" s="4"/>
      <c r="AD366" t="str">
        <f t="shared" si="8"/>
        <v xml:space="preserve">F </v>
      </c>
    </row>
    <row r="367" spans="1:30" x14ac:dyDescent="0.25">
      <c r="A367">
        <f>INDEX(Albums!$A:$A, MATCH(C367,Albums!$C:$C,0))</f>
        <v>6</v>
      </c>
      <c r="C367" t="s">
        <v>842</v>
      </c>
      <c r="E367" t="s">
        <v>781</v>
      </c>
      <c r="G367" s="28" t="s">
        <v>783</v>
      </c>
      <c r="H367" s="3" t="s">
        <v>52</v>
      </c>
      <c r="I367" s="3" t="s">
        <v>28</v>
      </c>
      <c r="J367" s="4">
        <v>85</v>
      </c>
      <c r="K367" s="5" t="s">
        <v>371</v>
      </c>
      <c r="L367" s="9">
        <v>917491</v>
      </c>
      <c r="M367" s="4">
        <v>1992</v>
      </c>
      <c r="N367" s="6" t="s">
        <v>784</v>
      </c>
      <c r="O367" t="s">
        <v>1199</v>
      </c>
      <c r="S367" t="s">
        <v>23</v>
      </c>
      <c r="U367" t="s">
        <v>478</v>
      </c>
      <c r="V367" t="str">
        <f>IF(AND(ISNUMBER(L367),COUNTIF([1]Songs!$L:$L,L367)&gt;0),"YES","")</f>
        <v>YES</v>
      </c>
      <c r="W367" t="e">
        <f>IF(AND(ISNUMBER(L367),COUNTIF([2]Songs!$J:$J,L367)&gt;0),"YES","")</f>
        <v>#VALUE!</v>
      </c>
      <c r="X367" t="e">
        <f>IF(AND(ISNUMBER(L367),COUNTIF([3]CcliCombined!$D:$D,L367)&gt;0),"YES","")</f>
        <v>#VALUE!</v>
      </c>
      <c r="Y367" t="e">
        <f>IF(AND(ISNUMBER(L367),COUNTIF([4]Songs!$H:$H,L367)&gt;0),"YES","")</f>
        <v>#VALUE!</v>
      </c>
      <c r="Z367" t="s">
        <v>842</v>
      </c>
      <c r="AB367">
        <v>141</v>
      </c>
      <c r="AC367" s="4"/>
      <c r="AD367" t="str">
        <f t="shared" si="8"/>
        <v xml:space="preserve">Bb A </v>
      </c>
    </row>
    <row r="368" spans="1:30" x14ac:dyDescent="0.25">
      <c r="A368">
        <f>INDEX(Albums!$A:$A, MATCH(C368,Albums!$C:$C,0))</f>
        <v>6</v>
      </c>
      <c r="C368" t="s">
        <v>842</v>
      </c>
      <c r="E368" t="s">
        <v>782</v>
      </c>
      <c r="G368" s="28" t="s">
        <v>785</v>
      </c>
      <c r="H368" s="3" t="s">
        <v>176</v>
      </c>
      <c r="I368" s="3" t="s">
        <v>84</v>
      </c>
      <c r="J368" s="4">
        <v>84</v>
      </c>
      <c r="K368" s="5" t="s">
        <v>371</v>
      </c>
      <c r="L368" s="10">
        <v>4543620</v>
      </c>
      <c r="M368" s="4">
        <v>2005</v>
      </c>
      <c r="N368" s="4" t="s">
        <v>473</v>
      </c>
      <c r="O368" t="s">
        <v>1199</v>
      </c>
      <c r="S368" t="s">
        <v>23</v>
      </c>
      <c r="U368" t="s">
        <v>478</v>
      </c>
      <c r="V368" t="str">
        <f>IF(AND(ISNUMBER(L368),COUNTIF([1]Songs!$L:$L,L368)&gt;0),"YES","")</f>
        <v>YES</v>
      </c>
      <c r="W368" t="e">
        <f>IF(AND(ISNUMBER(L368),COUNTIF([2]Songs!$J:$J,L368)&gt;0),"YES","")</f>
        <v>#VALUE!</v>
      </c>
      <c r="X368" t="e">
        <f>IF(AND(ISNUMBER(L368),COUNTIF([3]CcliCombined!$D:$D,L368)&gt;0),"YES","")</f>
        <v>#VALUE!</v>
      </c>
      <c r="Y368" t="e">
        <f>IF(AND(ISNUMBER(L368),COUNTIF([4]Songs!$H:$H,L368)&gt;0),"YES","")</f>
        <v>#VALUE!</v>
      </c>
      <c r="Z368" t="s">
        <v>842</v>
      </c>
      <c r="AB368">
        <v>142</v>
      </c>
      <c r="AC368" s="4" t="s">
        <v>853</v>
      </c>
      <c r="AD368" t="str">
        <f t="shared" si="8"/>
        <v xml:space="preserve">F# F </v>
      </c>
    </row>
    <row r="369" spans="1:32" x14ac:dyDescent="0.25">
      <c r="A369">
        <f>INDEX(Albums!$A:$A, MATCH(C369,Albums!$C:$C,0))</f>
        <v>6</v>
      </c>
      <c r="C369" t="s">
        <v>842</v>
      </c>
      <c r="E369" t="s">
        <v>786</v>
      </c>
      <c r="G369" s="28" t="s">
        <v>787</v>
      </c>
      <c r="H369" s="3" t="s">
        <v>36</v>
      </c>
      <c r="I369" s="3" t="s">
        <v>36</v>
      </c>
      <c r="J369" s="4">
        <v>100</v>
      </c>
      <c r="K369" s="5" t="s">
        <v>371</v>
      </c>
      <c r="L369" s="10">
        <v>5875153</v>
      </c>
      <c r="M369" s="4">
        <v>2010</v>
      </c>
      <c r="N369" s="6" t="s">
        <v>788</v>
      </c>
      <c r="O369" t="s">
        <v>1199</v>
      </c>
      <c r="S369" t="s">
        <v>23</v>
      </c>
      <c r="U369" t="s">
        <v>478</v>
      </c>
      <c r="V369" t="str">
        <f>IF(AND(ISNUMBER(L369),COUNTIF([1]Songs!$L:$L,L369)&gt;0),"YES","")</f>
        <v>YES</v>
      </c>
      <c r="W369" t="e">
        <f>IF(AND(ISNUMBER(L369),COUNTIF([2]Songs!$J:$J,L369)&gt;0),"YES","")</f>
        <v>#VALUE!</v>
      </c>
      <c r="X369" t="e">
        <f>IF(AND(ISNUMBER(L369),COUNTIF([3]CcliCombined!$D:$D,L369)&gt;0),"YES","")</f>
        <v>#VALUE!</v>
      </c>
      <c r="Y369" t="e">
        <f>IF(AND(ISNUMBER(L369),COUNTIF([4]Songs!$H:$H,L369)&gt;0),"YES","")</f>
        <v>#VALUE!</v>
      </c>
      <c r="Z369" t="s">
        <v>842</v>
      </c>
      <c r="AB369">
        <v>146</v>
      </c>
      <c r="AC369" s="4"/>
      <c r="AD369" t="str">
        <f t="shared" si="8"/>
        <v xml:space="preserve">E </v>
      </c>
    </row>
    <row r="370" spans="1:32" x14ac:dyDescent="0.25">
      <c r="A370">
        <f>INDEX(Albums!$A:$A, MATCH(C370,Albums!$C:$C,0))</f>
        <v>6</v>
      </c>
      <c r="C370" t="s">
        <v>842</v>
      </c>
      <c r="E370" t="s">
        <v>789</v>
      </c>
      <c r="G370" s="28" t="s">
        <v>790</v>
      </c>
      <c r="H370" s="3" t="s">
        <v>47</v>
      </c>
      <c r="I370" s="3" t="s">
        <v>47</v>
      </c>
      <c r="J370" s="4">
        <v>120</v>
      </c>
      <c r="K370" s="5" t="s">
        <v>371</v>
      </c>
      <c r="L370" s="10">
        <v>1352</v>
      </c>
      <c r="M370" s="4">
        <v>1972</v>
      </c>
      <c r="N370" s="4" t="s">
        <v>791</v>
      </c>
      <c r="O370" t="s">
        <v>1199</v>
      </c>
      <c r="S370" t="s">
        <v>23</v>
      </c>
      <c r="U370" t="s">
        <v>478</v>
      </c>
      <c r="V370" t="str">
        <f>IF(AND(ISNUMBER(L370),COUNTIF([1]Songs!$L:$L,L370)&gt;0),"YES","")</f>
        <v>YES</v>
      </c>
      <c r="W370" t="e">
        <f>IF(AND(ISNUMBER(L370),COUNTIF([2]Songs!$J:$J,L370)&gt;0),"YES","")</f>
        <v>#VALUE!</v>
      </c>
      <c r="X370" t="e">
        <f>IF(AND(ISNUMBER(L370),COUNTIF([3]CcliCombined!$D:$D,L370)&gt;0),"YES","")</f>
        <v>#VALUE!</v>
      </c>
      <c r="Y370" t="e">
        <f>IF(AND(ISNUMBER(L370),COUNTIF([4]Songs!$H:$H,L370)&gt;0),"YES","")</f>
        <v>#VALUE!</v>
      </c>
      <c r="Z370" t="s">
        <v>842</v>
      </c>
      <c r="AB370">
        <v>148</v>
      </c>
      <c r="AC370" s="4"/>
      <c r="AD370" t="str">
        <f t="shared" si="8"/>
        <v xml:space="preserve">C </v>
      </c>
    </row>
    <row r="371" spans="1:32" x14ac:dyDescent="0.25">
      <c r="A371">
        <f>INDEX(Albums!$A:$A, MATCH(C371,Albums!$C:$C,0))</f>
        <v>6</v>
      </c>
      <c r="C371" t="s">
        <v>842</v>
      </c>
      <c r="E371" t="s">
        <v>792</v>
      </c>
      <c r="G371" s="28" t="s">
        <v>793</v>
      </c>
      <c r="H371" s="3" t="s">
        <v>176</v>
      </c>
      <c r="I371" s="3" t="s">
        <v>176</v>
      </c>
      <c r="J371" s="4">
        <v>82</v>
      </c>
      <c r="K371" s="5" t="s">
        <v>380</v>
      </c>
      <c r="L371" s="10">
        <v>25417</v>
      </c>
      <c r="M371" s="4">
        <v>1834</v>
      </c>
      <c r="N371" s="6" t="s">
        <v>401</v>
      </c>
      <c r="O371" t="s">
        <v>1199</v>
      </c>
      <c r="S371" t="s">
        <v>23</v>
      </c>
      <c r="U371" t="s">
        <v>478</v>
      </c>
      <c r="V371" t="str">
        <f>IF(AND(ISNUMBER(L371),COUNTIF([1]Songs!$L:$L,L371)&gt;0),"YES","")</f>
        <v>YES</v>
      </c>
      <c r="W371" t="e">
        <f>IF(AND(ISNUMBER(L371),COUNTIF([2]Songs!$J:$J,L371)&gt;0),"YES","")</f>
        <v>#VALUE!</v>
      </c>
      <c r="X371" t="e">
        <f>IF(AND(ISNUMBER(L371),COUNTIF([3]CcliCombined!$D:$D,L371)&gt;0),"YES","")</f>
        <v>#VALUE!</v>
      </c>
      <c r="Y371" t="e">
        <f>IF(AND(ISNUMBER(L371),COUNTIF([4]Songs!$H:$H,L371)&gt;0),"YES","")</f>
        <v>#VALUE!</v>
      </c>
      <c r="Z371" t="s">
        <v>842</v>
      </c>
      <c r="AB371">
        <v>151</v>
      </c>
      <c r="AC371" s="4"/>
      <c r="AD371" t="str">
        <f t="shared" si="8"/>
        <v xml:space="preserve">F </v>
      </c>
    </row>
    <row r="372" spans="1:32" x14ac:dyDescent="0.25">
      <c r="A372">
        <f>INDEX(Albums!$A:$A, MATCH(C372,Albums!$C:$C,0))</f>
        <v>6</v>
      </c>
      <c r="C372" t="s">
        <v>842</v>
      </c>
      <c r="E372" t="s">
        <v>794</v>
      </c>
      <c r="F372" t="s">
        <v>795</v>
      </c>
      <c r="G372" s="28" t="s">
        <v>611</v>
      </c>
      <c r="H372" s="3" t="s">
        <v>47</v>
      </c>
      <c r="I372" s="3" t="s">
        <v>47</v>
      </c>
      <c r="J372" s="4">
        <v>70</v>
      </c>
      <c r="K372" s="5" t="s">
        <v>371</v>
      </c>
      <c r="L372" s="9">
        <v>3940963</v>
      </c>
      <c r="M372" s="4">
        <v>2002</v>
      </c>
      <c r="N372" s="4" t="s">
        <v>372</v>
      </c>
      <c r="O372" t="s">
        <v>1199</v>
      </c>
      <c r="S372" t="s">
        <v>23</v>
      </c>
      <c r="U372" t="s">
        <v>478</v>
      </c>
      <c r="V372" t="str">
        <f>IF(AND(ISNUMBER(L372),COUNTIF([1]Songs!$L:$L,L372)&gt;0),"YES","")</f>
        <v>YES</v>
      </c>
      <c r="W372" t="e">
        <f>IF(AND(ISNUMBER(L372),COUNTIF([2]Songs!$J:$J,L372)&gt;0),"YES","")</f>
        <v>#VALUE!</v>
      </c>
      <c r="X372" t="e">
        <f>IF(AND(ISNUMBER(L372),COUNTIF([3]CcliCombined!$D:$D,L372)&gt;0),"YES","")</f>
        <v>#VALUE!</v>
      </c>
      <c r="Y372" t="e">
        <f>IF(AND(ISNUMBER(L372),COUNTIF([4]Songs!$H:$H,L372)&gt;0),"YES","")</f>
        <v>#VALUE!</v>
      </c>
      <c r="Z372" t="s">
        <v>842</v>
      </c>
      <c r="AB372">
        <v>153</v>
      </c>
      <c r="AC372" s="4"/>
      <c r="AD372" t="str">
        <f t="shared" si="8"/>
        <v xml:space="preserve">C </v>
      </c>
    </row>
    <row r="373" spans="1:32" x14ac:dyDescent="0.25">
      <c r="A373">
        <f>INDEX(Albums!$A:$A, MATCH(C373,Albums!$C:$C,0))</f>
        <v>6</v>
      </c>
      <c r="C373" t="s">
        <v>842</v>
      </c>
      <c r="E373" t="s">
        <v>796</v>
      </c>
      <c r="G373" s="28" t="s">
        <v>194</v>
      </c>
      <c r="H373" s="3" t="s">
        <v>31</v>
      </c>
      <c r="I373" s="3" t="s">
        <v>31</v>
      </c>
      <c r="J373" s="4">
        <v>96</v>
      </c>
      <c r="K373" s="5" t="s">
        <v>371</v>
      </c>
      <c r="L373" s="10">
        <v>4514635</v>
      </c>
      <c r="M373" s="4">
        <v>2005</v>
      </c>
      <c r="N373" s="4" t="s">
        <v>800</v>
      </c>
      <c r="O373" t="s">
        <v>1199</v>
      </c>
      <c r="S373" t="s">
        <v>23</v>
      </c>
      <c r="U373" t="s">
        <v>478</v>
      </c>
      <c r="V373" t="str">
        <f>IF(AND(ISNUMBER(L373),COUNTIF([1]Songs!$L:$L,L373)&gt;0),"YES","")</f>
        <v>YES</v>
      </c>
      <c r="W373" t="e">
        <f>IF(AND(ISNUMBER(L373),COUNTIF([2]Songs!$J:$J,L373)&gt;0),"YES","")</f>
        <v>#VALUE!</v>
      </c>
      <c r="X373" t="e">
        <f>IF(AND(ISNUMBER(L373),COUNTIF([3]CcliCombined!$D:$D,L373)&gt;0),"YES","")</f>
        <v>#VALUE!</v>
      </c>
      <c r="Y373" t="e">
        <f>IF(AND(ISNUMBER(L373),COUNTIF([4]Songs!$H:$H,L373)&gt;0),"YES","")</f>
        <v>#VALUE!</v>
      </c>
      <c r="Z373" t="s">
        <v>842</v>
      </c>
      <c r="AB373">
        <v>155</v>
      </c>
      <c r="AC373" s="4" t="s">
        <v>853</v>
      </c>
      <c r="AD373" t="str">
        <f t="shared" si="8"/>
        <v xml:space="preserve">B </v>
      </c>
    </row>
    <row r="374" spans="1:32" x14ac:dyDescent="0.25">
      <c r="A374">
        <f>INDEX(Albums!$A:$A, MATCH(C374,Albums!$C:$C,0))</f>
        <v>6</v>
      </c>
      <c r="C374" t="s">
        <v>842</v>
      </c>
      <c r="E374" t="s">
        <v>797</v>
      </c>
      <c r="G374" s="28" t="s">
        <v>801</v>
      </c>
      <c r="H374" s="3" t="s">
        <v>176</v>
      </c>
      <c r="I374" s="3" t="s">
        <v>176</v>
      </c>
      <c r="J374" s="4">
        <v>86</v>
      </c>
      <c r="K374" s="5" t="s">
        <v>371</v>
      </c>
      <c r="L374" s="10">
        <v>1390</v>
      </c>
      <c r="M374" s="4">
        <v>1874</v>
      </c>
      <c r="N374" s="6" t="s">
        <v>401</v>
      </c>
      <c r="O374" t="s">
        <v>1199</v>
      </c>
      <c r="S374" t="s">
        <v>23</v>
      </c>
      <c r="U374" t="s">
        <v>478</v>
      </c>
      <c r="V374" t="str">
        <f>IF(AND(ISNUMBER(L374),COUNTIF([1]Songs!$L:$L,L374)&gt;0),"YES","")</f>
        <v>YES</v>
      </c>
      <c r="W374" t="e">
        <f>IF(AND(ISNUMBER(L374),COUNTIF([2]Songs!$J:$J,L374)&gt;0),"YES","")</f>
        <v>#VALUE!</v>
      </c>
      <c r="X374" t="e">
        <f>IF(AND(ISNUMBER(L374),COUNTIF([3]CcliCombined!$D:$D,L374)&gt;0),"YES","")</f>
        <v>#VALUE!</v>
      </c>
      <c r="Y374" t="e">
        <f>IF(AND(ISNUMBER(L374),COUNTIF([4]Songs!$H:$H,L374)&gt;0),"YES","")</f>
        <v>#VALUE!</v>
      </c>
      <c r="Z374" t="s">
        <v>842</v>
      </c>
      <c r="AB374">
        <v>156</v>
      </c>
      <c r="AC374" s="4"/>
      <c r="AD374" t="str">
        <f t="shared" si="8"/>
        <v xml:space="preserve">F </v>
      </c>
    </row>
    <row r="375" spans="1:32" hidden="1" x14ac:dyDescent="0.25">
      <c r="A375">
        <f>INDEX(Albums!$A:$A, MATCH(C375,Albums!$C:$C,0))</f>
        <v>6</v>
      </c>
      <c r="C375" t="s">
        <v>842</v>
      </c>
      <c r="E375" t="s">
        <v>798</v>
      </c>
      <c r="G375" s="28" t="s">
        <v>802</v>
      </c>
      <c r="H375" s="3" t="s">
        <v>52</v>
      </c>
      <c r="I375" s="3" t="s">
        <v>28</v>
      </c>
      <c r="J375" s="4">
        <v>92</v>
      </c>
      <c r="K375" s="5" t="s">
        <v>371</v>
      </c>
      <c r="L375" s="10">
        <v>27707</v>
      </c>
      <c r="M375" s="4">
        <v>1772</v>
      </c>
      <c r="N375" s="6" t="s">
        <v>401</v>
      </c>
      <c r="O375" t="s">
        <v>92</v>
      </c>
      <c r="S375" t="s">
        <v>23</v>
      </c>
      <c r="U375" t="s">
        <v>478</v>
      </c>
      <c r="V375" t="str">
        <f>IF(AND(ISNUMBER(L375),COUNTIF([1]Songs!$L:$L,L375)&gt;0),"YES","")</f>
        <v>YES</v>
      </c>
      <c r="W375" t="e">
        <f>IF(AND(ISNUMBER(L375),COUNTIF([2]Songs!$J:$J,L375)&gt;0),"YES","")</f>
        <v>#VALUE!</v>
      </c>
      <c r="X375" t="e">
        <f>IF(AND(ISNUMBER(L375),COUNTIF([3]CcliCombined!$D:$D,L375)&gt;0),"YES","")</f>
        <v>#VALUE!</v>
      </c>
      <c r="Y375" t="e">
        <f>IF(AND(ISNUMBER(L375),COUNTIF([4]Songs!$H:$H,L375)&gt;0),"YES","")</f>
        <v>#VALUE!</v>
      </c>
      <c r="Z375" t="s">
        <v>842</v>
      </c>
      <c r="AB375">
        <v>157</v>
      </c>
      <c r="AC375" s="4"/>
      <c r="AD375" t="str">
        <f t="shared" si="8"/>
        <v xml:space="preserve">Bb A </v>
      </c>
      <c r="AF375" t="s">
        <v>1197</v>
      </c>
    </row>
    <row r="376" spans="1:32" x14ac:dyDescent="0.25">
      <c r="A376">
        <f>INDEX(Albums!$A:$A, MATCH(C376,Albums!$C:$C,0))</f>
        <v>6</v>
      </c>
      <c r="C376" t="s">
        <v>842</v>
      </c>
      <c r="E376" t="s">
        <v>799</v>
      </c>
      <c r="G376" s="28" t="s">
        <v>803</v>
      </c>
      <c r="H376" s="3" t="s">
        <v>39</v>
      </c>
      <c r="I376" s="3" t="s">
        <v>39</v>
      </c>
      <c r="J376" s="4">
        <v>92</v>
      </c>
      <c r="K376" s="5" t="s">
        <v>371</v>
      </c>
      <c r="L376" s="9">
        <v>11483</v>
      </c>
      <c r="M376" s="4">
        <v>1982</v>
      </c>
      <c r="N376" s="6" t="s">
        <v>653</v>
      </c>
      <c r="O376" t="s">
        <v>1199</v>
      </c>
      <c r="S376" t="s">
        <v>23</v>
      </c>
      <c r="U376" t="s">
        <v>478</v>
      </c>
      <c r="V376" t="str">
        <f>IF(AND(ISNUMBER(L376),COUNTIF([1]Songs!$L:$L,L376)&gt;0),"YES","")</f>
        <v>YES</v>
      </c>
      <c r="W376" t="e">
        <f>IF(AND(ISNUMBER(L376),COUNTIF([2]Songs!$J:$J,L376)&gt;0),"YES","")</f>
        <v>#VALUE!</v>
      </c>
      <c r="X376" t="e">
        <f>IF(AND(ISNUMBER(L376),COUNTIF([3]CcliCombined!$D:$D,L376)&gt;0),"YES","")</f>
        <v>#VALUE!</v>
      </c>
      <c r="Y376" t="e">
        <f>IF(AND(ISNUMBER(L376),COUNTIF([4]Songs!$H:$H,L376)&gt;0),"YES","")</f>
        <v>#VALUE!</v>
      </c>
      <c r="Z376" t="s">
        <v>842</v>
      </c>
      <c r="AB376">
        <v>158</v>
      </c>
      <c r="AC376" s="4"/>
      <c r="AD376" t="str">
        <f t="shared" si="8"/>
        <v xml:space="preserve">D </v>
      </c>
    </row>
    <row r="377" spans="1:32" x14ac:dyDescent="0.25">
      <c r="A377">
        <f>INDEX(Albums!$A:$A, MATCH(C377,Albums!$C:$C,0))</f>
        <v>6</v>
      </c>
      <c r="C377" t="s">
        <v>842</v>
      </c>
      <c r="E377" t="s">
        <v>804</v>
      </c>
      <c r="G377" s="28" t="s">
        <v>806</v>
      </c>
      <c r="H377" s="3" t="s">
        <v>39</v>
      </c>
      <c r="I377" s="3" t="s">
        <v>39</v>
      </c>
      <c r="J377" s="4">
        <v>66</v>
      </c>
      <c r="K377" s="5" t="s">
        <v>371</v>
      </c>
      <c r="L377" s="9">
        <v>6167640</v>
      </c>
      <c r="M377" s="4">
        <v>2009</v>
      </c>
      <c r="N377" s="6" t="s">
        <v>807</v>
      </c>
      <c r="O377" t="s">
        <v>1199</v>
      </c>
      <c r="S377" t="s">
        <v>23</v>
      </c>
      <c r="U377" t="s">
        <v>478</v>
      </c>
      <c r="V377" t="str">
        <f>IF(AND(ISNUMBER(L377),COUNTIF([1]Songs!$L:$L,L377)&gt;0),"YES","")</f>
        <v>YES</v>
      </c>
      <c r="W377" t="e">
        <f>IF(AND(ISNUMBER(L377),COUNTIF([2]Songs!$J:$J,L377)&gt;0),"YES","")</f>
        <v>#VALUE!</v>
      </c>
      <c r="X377" t="e">
        <f>IF(AND(ISNUMBER(L377),COUNTIF([3]CcliCombined!$D:$D,L377)&gt;0),"YES","")</f>
        <v>#VALUE!</v>
      </c>
      <c r="Y377" t="e">
        <f>IF(AND(ISNUMBER(L377),COUNTIF([4]Songs!$H:$H,L377)&gt;0),"YES","")</f>
        <v>#VALUE!</v>
      </c>
      <c r="Z377" t="s">
        <v>842</v>
      </c>
      <c r="AB377">
        <v>160</v>
      </c>
      <c r="AC377" s="4"/>
      <c r="AD377" t="str">
        <f t="shared" si="8"/>
        <v xml:space="preserve">D </v>
      </c>
    </row>
    <row r="378" spans="1:32" x14ac:dyDescent="0.25">
      <c r="A378">
        <f>INDEX(Albums!$A:$A, MATCH(C378,Albums!$C:$C,0))</f>
        <v>6</v>
      </c>
      <c r="C378" t="s">
        <v>842</v>
      </c>
      <c r="E378" t="s">
        <v>805</v>
      </c>
      <c r="G378" s="28" t="s">
        <v>809</v>
      </c>
      <c r="H378" s="3" t="s">
        <v>25</v>
      </c>
      <c r="I378" s="3" t="s">
        <v>25</v>
      </c>
      <c r="J378" s="4">
        <v>90</v>
      </c>
      <c r="K378" s="5" t="s">
        <v>380</v>
      </c>
      <c r="L378" s="9">
        <v>23426</v>
      </c>
      <c r="M378" s="4">
        <v>1875</v>
      </c>
      <c r="N378" s="6" t="s">
        <v>401</v>
      </c>
      <c r="O378" t="s">
        <v>1199</v>
      </c>
      <c r="S378" t="s">
        <v>23</v>
      </c>
      <c r="U378" t="s">
        <v>478</v>
      </c>
      <c r="V378" t="str">
        <f>IF(AND(ISNUMBER(L378),COUNTIF([1]Songs!$L:$L,L378)&gt;0),"YES","")</f>
        <v>YES</v>
      </c>
      <c r="W378" t="e">
        <f>IF(AND(ISNUMBER(L378),COUNTIF([2]Songs!$J:$J,L378)&gt;0),"YES","")</f>
        <v>#VALUE!</v>
      </c>
      <c r="X378" t="e">
        <f>IF(AND(ISNUMBER(L378),COUNTIF([3]CcliCombined!$D:$D,L378)&gt;0),"YES","")</f>
        <v>#VALUE!</v>
      </c>
      <c r="Y378" t="e">
        <f>IF(AND(ISNUMBER(L378),COUNTIF([4]Songs!$H:$H,L378)&gt;0),"YES","")</f>
        <v>#VALUE!</v>
      </c>
      <c r="Z378" t="s">
        <v>842</v>
      </c>
      <c r="AB378">
        <v>162</v>
      </c>
      <c r="AC378" s="4"/>
      <c r="AD378" t="str">
        <f t="shared" si="8"/>
        <v xml:space="preserve">G </v>
      </c>
    </row>
    <row r="379" spans="1:32" x14ac:dyDescent="0.25">
      <c r="A379">
        <f>INDEX(Albums!$A:$A, MATCH(C379,Albums!$C:$C,0))</f>
        <v>6</v>
      </c>
      <c r="C379" t="s">
        <v>842</v>
      </c>
      <c r="E379" t="s">
        <v>810</v>
      </c>
      <c r="G379" s="28" t="s">
        <v>816</v>
      </c>
      <c r="H379" s="3" t="s">
        <v>176</v>
      </c>
      <c r="I379" s="3" t="s">
        <v>176</v>
      </c>
      <c r="J379" s="4">
        <v>96</v>
      </c>
      <c r="K379" s="5" t="s">
        <v>380</v>
      </c>
      <c r="L379" s="10">
        <v>22094</v>
      </c>
      <c r="M379" s="4">
        <v>1887</v>
      </c>
      <c r="N379" s="6" t="s">
        <v>401</v>
      </c>
      <c r="O379" t="s">
        <v>1199</v>
      </c>
      <c r="S379" t="s">
        <v>23</v>
      </c>
      <c r="U379" t="s">
        <v>478</v>
      </c>
      <c r="V379" t="str">
        <f>IF(AND(ISNUMBER(L379),COUNTIF([1]Songs!$L:$L,L379)&gt;0),"YES","")</f>
        <v>YES</v>
      </c>
      <c r="W379" t="e">
        <f>IF(AND(ISNUMBER(L379),COUNTIF([2]Songs!$J:$J,L379)&gt;0),"YES","")</f>
        <v>#VALUE!</v>
      </c>
      <c r="X379" t="e">
        <f>IF(AND(ISNUMBER(L379),COUNTIF([3]CcliCombined!$D:$D,L379)&gt;0),"YES","")</f>
        <v>#VALUE!</v>
      </c>
      <c r="Y379" t="e">
        <f>IF(AND(ISNUMBER(L379),COUNTIF([4]Songs!$H:$H,L379)&gt;0),"YES","")</f>
        <v>#VALUE!</v>
      </c>
      <c r="Z379" t="s">
        <v>842</v>
      </c>
      <c r="AB379">
        <v>164</v>
      </c>
      <c r="AC379" s="4"/>
      <c r="AD379" t="str">
        <f t="shared" si="8"/>
        <v xml:space="preserve">F </v>
      </c>
    </row>
    <row r="380" spans="1:32" x14ac:dyDescent="0.25">
      <c r="A380">
        <f>INDEX(Albums!$A:$A, MATCH(C380,Albums!$C:$C,0))</f>
        <v>6</v>
      </c>
      <c r="C380" t="s">
        <v>842</v>
      </c>
      <c r="E380" t="s">
        <v>811</v>
      </c>
      <c r="G380" s="28" t="s">
        <v>817</v>
      </c>
      <c r="H380" s="3" t="s">
        <v>47</v>
      </c>
      <c r="I380" s="3" t="s">
        <v>47</v>
      </c>
      <c r="J380" s="4">
        <v>75</v>
      </c>
      <c r="K380" s="5" t="s">
        <v>371</v>
      </c>
      <c r="L380" s="9">
        <v>6454621</v>
      </c>
      <c r="M380" s="4">
        <v>2013</v>
      </c>
      <c r="N380" s="6" t="s">
        <v>818</v>
      </c>
      <c r="O380" t="s">
        <v>1199</v>
      </c>
      <c r="S380" t="s">
        <v>23</v>
      </c>
      <c r="U380" t="s">
        <v>478</v>
      </c>
      <c r="V380" t="str">
        <f>IF(AND(ISNUMBER(L380),COUNTIF([1]Songs!$L:$L,L380)&gt;0),"YES","")</f>
        <v>YES</v>
      </c>
      <c r="W380" t="e">
        <f>IF(AND(ISNUMBER(L380),COUNTIF([2]Songs!$J:$J,L380)&gt;0),"YES","")</f>
        <v>#VALUE!</v>
      </c>
      <c r="X380" t="e">
        <f>IF(AND(ISNUMBER(L380),COUNTIF([3]CcliCombined!$D:$D,L380)&gt;0),"YES","")</f>
        <v>#VALUE!</v>
      </c>
      <c r="Y380" t="e">
        <f>IF(AND(ISNUMBER(L380),COUNTIF([4]Songs!$H:$H,L380)&gt;0),"YES","")</f>
        <v>#VALUE!</v>
      </c>
      <c r="Z380" t="s">
        <v>842</v>
      </c>
      <c r="AB380">
        <v>165</v>
      </c>
      <c r="AC380" s="4"/>
      <c r="AD380" t="str">
        <f t="shared" si="8"/>
        <v xml:space="preserve">C </v>
      </c>
    </row>
    <row r="381" spans="1:32" x14ac:dyDescent="0.25">
      <c r="A381">
        <f>INDEX(Albums!$A:$A, MATCH(C381,Albums!$C:$C,0))</f>
        <v>6</v>
      </c>
      <c r="C381" t="s">
        <v>842</v>
      </c>
      <c r="E381" t="s">
        <v>812</v>
      </c>
      <c r="F381" t="s">
        <v>813</v>
      </c>
      <c r="G381" s="28" t="s">
        <v>819</v>
      </c>
      <c r="H381" s="3" t="s">
        <v>25</v>
      </c>
      <c r="I381" s="3" t="s">
        <v>25</v>
      </c>
      <c r="J381" s="4">
        <v>124</v>
      </c>
      <c r="K381" s="5" t="s">
        <v>371</v>
      </c>
      <c r="L381" s="9">
        <v>1259</v>
      </c>
      <c r="M381" s="4">
        <v>1939</v>
      </c>
      <c r="N381" s="4" t="s">
        <v>401</v>
      </c>
      <c r="O381" t="s">
        <v>1199</v>
      </c>
      <c r="S381" t="s">
        <v>23</v>
      </c>
      <c r="U381" t="s">
        <v>478</v>
      </c>
      <c r="V381" t="str">
        <f>IF(AND(ISNUMBER(L381),COUNTIF([1]Songs!$L:$L,L381)&gt;0),"YES","")</f>
        <v>YES</v>
      </c>
      <c r="W381" t="e">
        <f>IF(AND(ISNUMBER(L381),COUNTIF([2]Songs!$J:$J,L381)&gt;0),"YES","")</f>
        <v>#VALUE!</v>
      </c>
      <c r="X381" t="e">
        <f>IF(AND(ISNUMBER(L381),COUNTIF([3]CcliCombined!$D:$D,L381)&gt;0),"YES","")</f>
        <v>#VALUE!</v>
      </c>
      <c r="Y381" t="e">
        <f>IF(AND(ISNUMBER(L381),COUNTIF([4]Songs!$H:$H,L381)&gt;0),"YES","")</f>
        <v>#VALUE!</v>
      </c>
      <c r="Z381" t="s">
        <v>842</v>
      </c>
      <c r="AB381">
        <v>166</v>
      </c>
      <c r="AC381" s="4"/>
      <c r="AD381" t="str">
        <f t="shared" si="8"/>
        <v xml:space="preserve">G </v>
      </c>
    </row>
    <row r="382" spans="1:32" x14ac:dyDescent="0.25">
      <c r="A382">
        <f>INDEX(Albums!$A:$A, MATCH(C382,Albums!$C:$C,0))</f>
        <v>6</v>
      </c>
      <c r="C382" t="s">
        <v>842</v>
      </c>
      <c r="E382" t="s">
        <v>814</v>
      </c>
      <c r="G382" s="28" t="s">
        <v>820</v>
      </c>
      <c r="H382" s="3" t="s">
        <v>36</v>
      </c>
      <c r="I382" s="3" t="s">
        <v>36</v>
      </c>
      <c r="J382" s="4">
        <v>68</v>
      </c>
      <c r="K382" s="5" t="s">
        <v>371</v>
      </c>
      <c r="L382" s="9">
        <v>7115744</v>
      </c>
      <c r="M382" s="4">
        <v>2016</v>
      </c>
      <c r="N382" s="6" t="s">
        <v>821</v>
      </c>
      <c r="O382" t="s">
        <v>1199</v>
      </c>
      <c r="S382" t="s">
        <v>23</v>
      </c>
      <c r="U382" t="s">
        <v>478</v>
      </c>
      <c r="V382" t="str">
        <f>IF(AND(ISNUMBER(L382),COUNTIF([1]Songs!$L:$L,L382)&gt;0),"YES","")</f>
        <v>YES</v>
      </c>
      <c r="W382" t="e">
        <f>IF(AND(ISNUMBER(L382),COUNTIF([2]Songs!$J:$J,L382)&gt;0),"YES","")</f>
        <v>#VALUE!</v>
      </c>
      <c r="X382" t="e">
        <f>IF(AND(ISNUMBER(L382),COUNTIF([3]CcliCombined!$D:$D,L382)&gt;0),"YES","")</f>
        <v>#VALUE!</v>
      </c>
      <c r="Y382" t="e">
        <f>IF(AND(ISNUMBER(L382),COUNTIF([4]Songs!$H:$H,L382)&gt;0),"YES","")</f>
        <v>#VALUE!</v>
      </c>
      <c r="Z382" t="s">
        <v>842</v>
      </c>
      <c r="AB382">
        <v>167</v>
      </c>
      <c r="AC382" s="4"/>
      <c r="AD382" t="str">
        <f t="shared" si="8"/>
        <v xml:space="preserve">E </v>
      </c>
    </row>
    <row r="383" spans="1:32" x14ac:dyDescent="0.25">
      <c r="A383">
        <f>INDEX(Albums!$A:$A, MATCH(C383,Albums!$C:$C,0))</f>
        <v>6</v>
      </c>
      <c r="C383" t="s">
        <v>842</v>
      </c>
      <c r="E383" t="s">
        <v>815</v>
      </c>
      <c r="G383" s="28" t="s">
        <v>822</v>
      </c>
      <c r="H383" s="3" t="s">
        <v>39</v>
      </c>
      <c r="I383" s="3" t="s">
        <v>39</v>
      </c>
      <c r="J383" s="4">
        <v>66</v>
      </c>
      <c r="K383" s="5" t="s">
        <v>371</v>
      </c>
      <c r="L383" s="9">
        <v>6367165</v>
      </c>
      <c r="M383" s="4">
        <v>2015</v>
      </c>
      <c r="N383" s="6" t="s">
        <v>444</v>
      </c>
      <c r="O383" t="s">
        <v>1199</v>
      </c>
      <c r="S383" t="s">
        <v>23</v>
      </c>
      <c r="U383" t="s">
        <v>478</v>
      </c>
      <c r="V383" t="str">
        <f>IF(AND(ISNUMBER(L383),COUNTIF([1]Songs!$L:$L,L383)&gt;0),"YES","")</f>
        <v>YES</v>
      </c>
      <c r="W383" t="e">
        <f>IF(AND(ISNUMBER(L383),COUNTIF([2]Songs!$J:$J,L383)&gt;0),"YES","")</f>
        <v>#VALUE!</v>
      </c>
      <c r="X383" t="e">
        <f>IF(AND(ISNUMBER(L383),COUNTIF([3]CcliCombined!$D:$D,L383)&gt;0),"YES","")</f>
        <v>#VALUE!</v>
      </c>
      <c r="Y383" t="e">
        <f>IF(AND(ISNUMBER(L383),COUNTIF([4]Songs!$H:$H,L383)&gt;0),"YES","")</f>
        <v>#VALUE!</v>
      </c>
      <c r="Z383" t="s">
        <v>842</v>
      </c>
      <c r="AB383">
        <v>168</v>
      </c>
      <c r="AC383" s="4"/>
      <c r="AD383" t="str">
        <f t="shared" si="8"/>
        <v xml:space="preserve">D </v>
      </c>
    </row>
    <row r="384" spans="1:32" x14ac:dyDescent="0.25">
      <c r="A384">
        <f>INDEX(Albums!$A:$A, MATCH(C384,Albums!$C:$C,0))</f>
        <v>6</v>
      </c>
      <c r="C384" t="s">
        <v>842</v>
      </c>
      <c r="E384" t="s">
        <v>823</v>
      </c>
      <c r="G384" s="28" t="s">
        <v>826</v>
      </c>
      <c r="H384" s="3" t="s">
        <v>176</v>
      </c>
      <c r="I384" s="3" t="s">
        <v>176</v>
      </c>
      <c r="J384" s="4">
        <v>96</v>
      </c>
      <c r="K384" s="5" t="s">
        <v>371</v>
      </c>
      <c r="L384" s="10">
        <v>27893</v>
      </c>
      <c r="M384" s="4">
        <v>1707</v>
      </c>
      <c r="N384" s="6" t="s">
        <v>401</v>
      </c>
      <c r="O384" t="s">
        <v>1199</v>
      </c>
      <c r="S384" t="s">
        <v>23</v>
      </c>
      <c r="U384" t="s">
        <v>478</v>
      </c>
      <c r="V384" t="str">
        <f>IF(AND(ISNUMBER(L384),COUNTIF([1]Songs!$L:$L,L384)&gt;0),"YES","")</f>
        <v>YES</v>
      </c>
      <c r="W384" t="e">
        <f>IF(AND(ISNUMBER(L384),COUNTIF([2]Songs!$J:$J,L384)&gt;0),"YES","")</f>
        <v>#VALUE!</v>
      </c>
      <c r="X384" t="e">
        <f>IF(AND(ISNUMBER(L384),COUNTIF([3]CcliCombined!$D:$D,L384)&gt;0),"YES","")</f>
        <v>#VALUE!</v>
      </c>
      <c r="Y384" t="e">
        <f>IF(AND(ISNUMBER(L384),COUNTIF([4]Songs!$H:$H,L384)&gt;0),"YES","")</f>
        <v>#VALUE!</v>
      </c>
      <c r="Z384" t="s">
        <v>842</v>
      </c>
      <c r="AB384">
        <v>171</v>
      </c>
      <c r="AC384" s="4"/>
      <c r="AD384" t="str">
        <f t="shared" si="8"/>
        <v xml:space="preserve">F </v>
      </c>
    </row>
    <row r="385" spans="1:30" x14ac:dyDescent="0.25">
      <c r="A385">
        <f>INDEX(Albums!$A:$A, MATCH(C385,Albums!$C:$C,0))</f>
        <v>6</v>
      </c>
      <c r="C385" t="s">
        <v>842</v>
      </c>
      <c r="E385" t="s">
        <v>824</v>
      </c>
      <c r="G385" s="28" t="s">
        <v>827</v>
      </c>
      <c r="H385" s="4" t="s">
        <v>25</v>
      </c>
      <c r="I385" s="4" t="s">
        <v>67</v>
      </c>
      <c r="J385" s="4">
        <v>108</v>
      </c>
      <c r="K385" s="5" t="s">
        <v>371</v>
      </c>
      <c r="L385" s="10">
        <v>31315</v>
      </c>
      <c r="M385" s="4">
        <v>1893</v>
      </c>
      <c r="N385" s="4" t="s">
        <v>401</v>
      </c>
      <c r="O385" t="s">
        <v>1199</v>
      </c>
      <c r="S385" t="s">
        <v>23</v>
      </c>
      <c r="U385" t="s">
        <v>478</v>
      </c>
      <c r="V385" t="str">
        <f>IF(AND(ISNUMBER(L385),COUNTIF([1]Songs!$L:$L,L385)&gt;0),"YES","")</f>
        <v>YES</v>
      </c>
      <c r="W385" t="e">
        <f>IF(AND(ISNUMBER(L385),COUNTIF([2]Songs!$J:$J,L385)&gt;0),"YES","")</f>
        <v>#VALUE!</v>
      </c>
      <c r="X385" t="e">
        <f>IF(AND(ISNUMBER(L385),COUNTIF([3]CcliCombined!$D:$D,L385)&gt;0),"YES","")</f>
        <v>#VALUE!</v>
      </c>
      <c r="Y385" t="e">
        <f>IF(AND(ISNUMBER(L385),COUNTIF([4]Songs!$H:$H,L385)&gt;0),"YES","")</f>
        <v>#VALUE!</v>
      </c>
      <c r="Z385" t="s">
        <v>842</v>
      </c>
      <c r="AB385">
        <v>172</v>
      </c>
      <c r="AC385" s="4"/>
      <c r="AD385" t="str">
        <f t="shared" si="8"/>
        <v xml:space="preserve">Ab G </v>
      </c>
    </row>
    <row r="386" spans="1:30" x14ac:dyDescent="0.25">
      <c r="A386">
        <f>INDEX(Albums!$A:$A, MATCH(C386,Albums!$C:$C,0))</f>
        <v>6</v>
      </c>
      <c r="C386" t="s">
        <v>842</v>
      </c>
      <c r="E386" t="s">
        <v>825</v>
      </c>
      <c r="G386" s="28" t="s">
        <v>828</v>
      </c>
      <c r="H386" s="3" t="s">
        <v>31</v>
      </c>
      <c r="I386" s="3" t="s">
        <v>31</v>
      </c>
      <c r="J386" s="4">
        <v>66</v>
      </c>
      <c r="K386" s="5" t="s">
        <v>371</v>
      </c>
      <c r="L386" s="10">
        <v>4196651</v>
      </c>
      <c r="M386" s="4">
        <v>2003</v>
      </c>
      <c r="N386" s="4" t="s">
        <v>473</v>
      </c>
      <c r="O386" t="s">
        <v>1199</v>
      </c>
      <c r="S386" t="s">
        <v>23</v>
      </c>
      <c r="U386" t="s">
        <v>478</v>
      </c>
      <c r="V386" t="str">
        <f>IF(AND(ISNUMBER(L386),COUNTIF([1]Songs!$L:$L,L386)&gt;0),"YES","")</f>
        <v>YES</v>
      </c>
      <c r="W386" t="e">
        <f>IF(AND(ISNUMBER(L386),COUNTIF([2]Songs!$J:$J,L386)&gt;0),"YES","")</f>
        <v>#VALUE!</v>
      </c>
      <c r="X386" t="e">
        <f>IF(AND(ISNUMBER(L386),COUNTIF([3]CcliCombined!$D:$D,L386)&gt;0),"YES","")</f>
        <v>#VALUE!</v>
      </c>
      <c r="Y386" t="e">
        <f>IF(AND(ISNUMBER(L386),COUNTIF([4]Songs!$H:$H,L386)&gt;0),"YES","")</f>
        <v>#VALUE!</v>
      </c>
      <c r="Z386" t="s">
        <v>842</v>
      </c>
      <c r="AB386">
        <v>173</v>
      </c>
      <c r="AC386" s="4" t="s">
        <v>853</v>
      </c>
      <c r="AD386" t="str">
        <f t="shared" si="8"/>
        <v xml:space="preserve">B </v>
      </c>
    </row>
    <row r="387" spans="1:30" x14ac:dyDescent="0.25">
      <c r="A387">
        <f>INDEX(Albums!$A:$A, MATCH(C387,Albums!$C:$C,0))</f>
        <v>6</v>
      </c>
      <c r="C387" t="s">
        <v>842</v>
      </c>
      <c r="E387" t="s">
        <v>829</v>
      </c>
      <c r="G387" s="28" t="s">
        <v>830</v>
      </c>
      <c r="H387" s="3" t="s">
        <v>47</v>
      </c>
      <c r="I387" s="3" t="s">
        <v>47</v>
      </c>
      <c r="J387" s="4">
        <v>110</v>
      </c>
      <c r="K387" s="5" t="s">
        <v>380</v>
      </c>
      <c r="L387" s="9">
        <v>106879</v>
      </c>
      <c r="M387" s="4">
        <v>1989</v>
      </c>
      <c r="N387" s="6" t="s">
        <v>831</v>
      </c>
      <c r="O387" t="s">
        <v>1199</v>
      </c>
      <c r="S387" t="s">
        <v>23</v>
      </c>
      <c r="U387" t="s">
        <v>478</v>
      </c>
      <c r="V387" t="str">
        <f>IF(AND(ISNUMBER(L387),COUNTIF([1]Songs!$L:$L,L387)&gt;0),"YES","")</f>
        <v>YES</v>
      </c>
      <c r="W387" t="e">
        <f>IF(AND(ISNUMBER(L387),COUNTIF([2]Songs!$J:$J,L387)&gt;0),"YES","")</f>
        <v>#VALUE!</v>
      </c>
      <c r="X387" t="e">
        <f>IF(AND(ISNUMBER(L387),COUNTIF([3]CcliCombined!$D:$D,L387)&gt;0),"YES","")</f>
        <v>#VALUE!</v>
      </c>
      <c r="Y387" t="e">
        <f>IF(AND(ISNUMBER(L387),COUNTIF([4]Songs!$H:$H,L387)&gt;0),"YES","")</f>
        <v>#VALUE!</v>
      </c>
      <c r="Z387" t="s">
        <v>842</v>
      </c>
      <c r="AB387">
        <v>177</v>
      </c>
      <c r="AC387" s="4"/>
      <c r="AD387" t="str">
        <f t="shared" si="8"/>
        <v xml:space="preserve">C </v>
      </c>
    </row>
    <row r="388" spans="1:30" x14ac:dyDescent="0.25">
      <c r="A388">
        <f>INDEX(Albums!$A:$A, MATCH(C388,Albums!$C:$C,0))</f>
        <v>6</v>
      </c>
      <c r="C388" t="s">
        <v>842</v>
      </c>
      <c r="E388" t="s">
        <v>832</v>
      </c>
      <c r="F388" t="s">
        <v>833</v>
      </c>
      <c r="G388" s="28" t="s">
        <v>836</v>
      </c>
      <c r="H388" s="3" t="s">
        <v>52</v>
      </c>
      <c r="I388" s="3" t="s">
        <v>52</v>
      </c>
      <c r="J388" s="4">
        <v>70</v>
      </c>
      <c r="K388" s="5" t="s">
        <v>371</v>
      </c>
      <c r="L388" s="9">
        <v>4243463</v>
      </c>
      <c r="M388" s="4">
        <v>2004</v>
      </c>
      <c r="N388" s="6" t="s">
        <v>837</v>
      </c>
      <c r="O388" t="s">
        <v>1199</v>
      </c>
      <c r="S388" t="s">
        <v>23</v>
      </c>
      <c r="U388" t="s">
        <v>478</v>
      </c>
      <c r="V388" t="str">
        <f>IF(AND(ISNUMBER(L388),COUNTIF([1]Songs!$L:$L,L388)&gt;0),"YES","")</f>
        <v>YES</v>
      </c>
      <c r="W388" t="e">
        <f>IF(AND(ISNUMBER(L388),COUNTIF([2]Songs!$J:$J,L388)&gt;0),"YES","")</f>
        <v>#VALUE!</v>
      </c>
      <c r="X388" t="e">
        <f>IF(AND(ISNUMBER(L388),COUNTIF([3]CcliCombined!$D:$D,L388)&gt;0),"YES","")</f>
        <v>#VALUE!</v>
      </c>
      <c r="Y388" t="e">
        <f>IF(AND(ISNUMBER(L388),COUNTIF([4]Songs!$H:$H,L388)&gt;0),"YES","")</f>
        <v>#VALUE!</v>
      </c>
      <c r="Z388" t="s">
        <v>842</v>
      </c>
      <c r="AB388">
        <v>179</v>
      </c>
      <c r="AC388" s="4"/>
      <c r="AD388" t="str">
        <f t="shared" si="8"/>
        <v xml:space="preserve">A </v>
      </c>
    </row>
    <row r="389" spans="1:30" x14ac:dyDescent="0.25">
      <c r="A389">
        <f>INDEX(Albums!$A:$A, MATCH(C389,Albums!$C:$C,0))</f>
        <v>6</v>
      </c>
      <c r="C389" t="s">
        <v>842</v>
      </c>
      <c r="E389" t="s">
        <v>834</v>
      </c>
      <c r="F389" t="s">
        <v>835</v>
      </c>
      <c r="G389" s="28" t="s">
        <v>838</v>
      </c>
      <c r="H389" s="3" t="s">
        <v>25</v>
      </c>
      <c r="I389" s="3" t="s">
        <v>25</v>
      </c>
      <c r="J389" s="4">
        <v>108</v>
      </c>
      <c r="K389" s="5" t="s">
        <v>371</v>
      </c>
      <c r="L389" s="9">
        <v>2332149</v>
      </c>
      <c r="M389" s="4">
        <v>1994</v>
      </c>
      <c r="N389" s="6" t="s">
        <v>839</v>
      </c>
      <c r="O389" t="s">
        <v>1199</v>
      </c>
      <c r="S389" t="s">
        <v>23</v>
      </c>
      <c r="U389" t="s">
        <v>478</v>
      </c>
      <c r="V389" t="str">
        <f>IF(AND(ISNUMBER(L389),COUNTIF([1]Songs!$L:$L,L389)&gt;0),"YES","")</f>
        <v>YES</v>
      </c>
      <c r="W389" t="e">
        <f>IF(AND(ISNUMBER(L389),COUNTIF([2]Songs!$J:$J,L389)&gt;0),"YES","")</f>
        <v>#VALUE!</v>
      </c>
      <c r="X389" t="e">
        <f>IF(AND(ISNUMBER(L389),COUNTIF([3]CcliCombined!$D:$D,L389)&gt;0),"YES","")</f>
        <v>#VALUE!</v>
      </c>
      <c r="Y389" t="e">
        <f>IF(AND(ISNUMBER(L389),COUNTIF([4]Songs!$H:$H,L389)&gt;0),"YES","")</f>
        <v>#VALUE!</v>
      </c>
      <c r="Z389" t="s">
        <v>842</v>
      </c>
      <c r="AB389">
        <v>180</v>
      </c>
      <c r="AC389" s="4"/>
      <c r="AD389" t="str">
        <f t="shared" si="8"/>
        <v xml:space="preserve">G </v>
      </c>
    </row>
    <row r="390" spans="1:30" x14ac:dyDescent="0.25">
      <c r="A390">
        <f>INDEX(Albums!$A:$A, MATCH(C390,Albums!$C:$C,0))</f>
        <v>6</v>
      </c>
      <c r="C390" t="s">
        <v>842</v>
      </c>
      <c r="E390" t="s">
        <v>840</v>
      </c>
      <c r="G390" s="28" t="s">
        <v>841</v>
      </c>
      <c r="H390" s="3" t="s">
        <v>39</v>
      </c>
      <c r="I390" s="3" t="s">
        <v>39</v>
      </c>
      <c r="J390" s="4">
        <v>66</v>
      </c>
      <c r="K390" s="5" t="s">
        <v>371</v>
      </c>
      <c r="L390" s="9">
        <v>6214751</v>
      </c>
      <c r="M390" s="4">
        <v>2012</v>
      </c>
      <c r="N390" s="4" t="s">
        <v>444</v>
      </c>
      <c r="O390" t="s">
        <v>1199</v>
      </c>
      <c r="S390" t="s">
        <v>23</v>
      </c>
      <c r="U390" t="s">
        <v>478</v>
      </c>
      <c r="V390" t="str">
        <f>IF(AND(ISNUMBER(L390),COUNTIF([1]Songs!$L:$L,L390)&gt;0),"YES","")</f>
        <v>YES</v>
      </c>
      <c r="W390" t="e">
        <f>IF(AND(ISNUMBER(L390),COUNTIF([2]Songs!$J:$J,L390)&gt;0),"YES","")</f>
        <v>#VALUE!</v>
      </c>
      <c r="X390" t="e">
        <f>IF(AND(ISNUMBER(L390),COUNTIF([3]CcliCombined!$D:$D,L390)&gt;0),"YES","")</f>
        <v>#VALUE!</v>
      </c>
      <c r="Y390" t="e">
        <f>IF(AND(ISNUMBER(L390),COUNTIF([4]Songs!$H:$H,L390)&gt;0),"YES","")</f>
        <v>#VALUE!</v>
      </c>
      <c r="Z390" t="s">
        <v>842</v>
      </c>
      <c r="AB390">
        <v>186</v>
      </c>
      <c r="AC390" s="4"/>
      <c r="AD390" t="str">
        <f t="shared" si="8"/>
        <v xml:space="preserve">D </v>
      </c>
    </row>
    <row r="391" spans="1:30" x14ac:dyDescent="0.25">
      <c r="A391">
        <f>INDEX(Albums!$A:$A, MATCH(C391,Albums!$C:$C,0))</f>
        <v>7</v>
      </c>
      <c r="C391" t="s">
        <v>884</v>
      </c>
      <c r="E391" t="s">
        <v>878</v>
      </c>
      <c r="G391" s="28" t="s">
        <v>859</v>
      </c>
      <c r="H391" t="s">
        <v>52</v>
      </c>
      <c r="I391" t="s">
        <v>28</v>
      </c>
      <c r="J391" s="4">
        <v>100</v>
      </c>
      <c r="K391" t="s">
        <v>371</v>
      </c>
      <c r="L391" s="4">
        <v>31669</v>
      </c>
      <c r="M391" s="10">
        <v>1816</v>
      </c>
      <c r="N391" t="s">
        <v>401</v>
      </c>
      <c r="O391" t="s">
        <v>933</v>
      </c>
      <c r="U391" t="s">
        <v>478</v>
      </c>
      <c r="V391" t="str">
        <f>IF(AND(ISNUMBER(L391),COUNTIF([1]Songs!$L:$L,L391)&gt;0),"YES","")</f>
        <v>YES</v>
      </c>
      <c r="W391" t="e">
        <f>IF(AND(ISNUMBER(L391),COUNTIF([2]Songs!$J:$J,L391)&gt;0),"YES","")</f>
        <v>#VALUE!</v>
      </c>
      <c r="X391" t="e">
        <f>IF(AND(ISNUMBER(L391),COUNTIF([3]CcliCombined!$D:$D,L391)&gt;0),"YES","")</f>
        <v>#VALUE!</v>
      </c>
      <c r="Y391" t="e">
        <f>IF(AND(ISNUMBER(L391),COUNTIF([4]Songs!$H:$H,L391)&gt;0),"YES","")</f>
        <v>#VALUE!</v>
      </c>
      <c r="Z391" t="s">
        <v>884</v>
      </c>
      <c r="AB391">
        <v>1</v>
      </c>
      <c r="AD391" t="str">
        <f t="shared" si="8"/>
        <v xml:space="preserve">Bb A </v>
      </c>
    </row>
    <row r="392" spans="1:30" x14ac:dyDescent="0.25">
      <c r="A392">
        <f>INDEX(Albums!$A:$A, MATCH(C392,Albums!$C:$C,0))</f>
        <v>7</v>
      </c>
      <c r="C392" t="s">
        <v>884</v>
      </c>
      <c r="E392" t="s">
        <v>879</v>
      </c>
      <c r="G392" s="28" t="s">
        <v>863</v>
      </c>
      <c r="H392" t="s">
        <v>776</v>
      </c>
      <c r="I392" t="s">
        <v>776</v>
      </c>
      <c r="J392" s="4">
        <v>120</v>
      </c>
      <c r="K392" t="s">
        <v>371</v>
      </c>
      <c r="L392" s="4">
        <v>39441</v>
      </c>
      <c r="M392" s="10">
        <v>1760</v>
      </c>
      <c r="N392" t="s">
        <v>401</v>
      </c>
      <c r="O392" t="s">
        <v>933</v>
      </c>
      <c r="U392" t="s">
        <v>478</v>
      </c>
      <c r="V392" t="str">
        <f>IF(AND(ISNUMBER(L392),COUNTIF([1]Songs!$L:$L,L392)&gt;0),"YES","")</f>
        <v>YES</v>
      </c>
      <c r="W392" t="e">
        <f>IF(AND(ISNUMBER(L392),COUNTIF([2]Songs!$J:$J,L392)&gt;0),"YES","")</f>
        <v>#VALUE!</v>
      </c>
      <c r="X392" t="e">
        <f>IF(AND(ISNUMBER(L392),COUNTIF([3]CcliCombined!$D:$D,L392)&gt;0),"YES","")</f>
        <v>#VALUE!</v>
      </c>
      <c r="Y392" t="e">
        <f>IF(AND(ISNUMBER(L392),COUNTIF([4]Songs!$H:$H,L392)&gt;0),"YES","")</f>
        <v>#VALUE!</v>
      </c>
      <c r="Z392" t="s">
        <v>884</v>
      </c>
      <c r="AB392">
        <v>6</v>
      </c>
      <c r="AD392" t="str">
        <f t="shared" si="8"/>
        <v xml:space="preserve">Em </v>
      </c>
    </row>
    <row r="393" spans="1:30" x14ac:dyDescent="0.25">
      <c r="A393">
        <f>INDEX(Albums!$A:$A, MATCH(C393,Albums!$C:$C,0))</f>
        <v>7</v>
      </c>
      <c r="C393" t="s">
        <v>884</v>
      </c>
      <c r="E393" t="s">
        <v>880</v>
      </c>
      <c r="G393" s="28" t="s">
        <v>864</v>
      </c>
      <c r="H393" t="s">
        <v>176</v>
      </c>
      <c r="I393" t="s">
        <v>176</v>
      </c>
      <c r="J393" s="4">
        <v>96</v>
      </c>
      <c r="K393" t="s">
        <v>425</v>
      </c>
      <c r="L393" s="4">
        <v>85158</v>
      </c>
      <c r="M393" s="10">
        <v>1853</v>
      </c>
      <c r="N393" t="s">
        <v>401</v>
      </c>
      <c r="O393" t="s">
        <v>933</v>
      </c>
      <c r="U393" t="s">
        <v>478</v>
      </c>
      <c r="V393" t="str">
        <f>IF(AND(ISNUMBER(L393),COUNTIF([1]Songs!$L:$L,L393)&gt;0),"YES","")</f>
        <v>YES</v>
      </c>
      <c r="W393" t="e">
        <f>IF(AND(ISNUMBER(L393),COUNTIF([2]Songs!$J:$J,L393)&gt;0),"YES","")</f>
        <v>#VALUE!</v>
      </c>
      <c r="X393" t="e">
        <f>IF(AND(ISNUMBER(L393),COUNTIF([3]CcliCombined!$D:$D,L393)&gt;0),"YES","")</f>
        <v>#VALUE!</v>
      </c>
      <c r="Y393" t="e">
        <f>IF(AND(ISNUMBER(L393),COUNTIF([4]Songs!$H:$H,L393)&gt;0),"YES","")</f>
        <v>#VALUE!</v>
      </c>
      <c r="Z393" t="s">
        <v>884</v>
      </c>
      <c r="AB393">
        <v>7</v>
      </c>
      <c r="AD393" t="str">
        <f t="shared" si="8"/>
        <v xml:space="preserve">F </v>
      </c>
    </row>
    <row r="394" spans="1:30" x14ac:dyDescent="0.25">
      <c r="A394">
        <f>INDEX(Albums!$A:$A, MATCH(C394,Albums!$C:$C,0))</f>
        <v>7</v>
      </c>
      <c r="C394" t="s">
        <v>884</v>
      </c>
      <c r="E394" t="s">
        <v>881</v>
      </c>
      <c r="G394" s="28" t="s">
        <v>867</v>
      </c>
      <c r="H394" t="s">
        <v>868</v>
      </c>
      <c r="I394" t="s">
        <v>868</v>
      </c>
      <c r="J394" s="4"/>
      <c r="K394" t="s">
        <v>371</v>
      </c>
      <c r="L394" s="4">
        <v>839225</v>
      </c>
      <c r="M394" s="10">
        <v>1991</v>
      </c>
      <c r="N394" t="s">
        <v>869</v>
      </c>
      <c r="O394" t="s">
        <v>933</v>
      </c>
      <c r="U394" t="s">
        <v>478</v>
      </c>
      <c r="V394" t="str">
        <f>IF(AND(ISNUMBER(L394),COUNTIF([1]Songs!$L:$L,L394)&gt;0),"YES","")</f>
        <v>YES</v>
      </c>
      <c r="W394" t="e">
        <f>IF(AND(ISNUMBER(L394),COUNTIF([2]Songs!$J:$J,L394)&gt;0),"YES","")</f>
        <v>#VALUE!</v>
      </c>
      <c r="X394" t="e">
        <f>IF(AND(ISNUMBER(L394),COUNTIF([3]CcliCombined!$D:$D,L394)&gt;0),"YES","")</f>
        <v>#VALUE!</v>
      </c>
      <c r="Y394" t="e">
        <f>IF(AND(ISNUMBER(L394),COUNTIF([4]Songs!$H:$H,L394)&gt;0),"YES","")</f>
        <v>#VALUE!</v>
      </c>
      <c r="Z394" t="s">
        <v>884</v>
      </c>
      <c r="AB394">
        <v>11</v>
      </c>
      <c r="AD394" t="str">
        <f t="shared" si="8"/>
        <v xml:space="preserve">Cm </v>
      </c>
    </row>
    <row r="395" spans="1:30" x14ac:dyDescent="0.25">
      <c r="A395">
        <f>INDEX(Albums!$A:$A, MATCH(C395,Albums!$C:$C,0))</f>
        <v>7</v>
      </c>
      <c r="C395" t="s">
        <v>884</v>
      </c>
      <c r="E395" t="s">
        <v>882</v>
      </c>
      <c r="G395" s="28" t="s">
        <v>875</v>
      </c>
      <c r="H395" t="s">
        <v>25</v>
      </c>
      <c r="I395" t="s">
        <v>25</v>
      </c>
      <c r="J395" s="4">
        <v>132</v>
      </c>
      <c r="K395" t="s">
        <v>425</v>
      </c>
      <c r="L395" s="4">
        <v>38002</v>
      </c>
      <c r="M395" s="10">
        <v>1857</v>
      </c>
      <c r="N395" t="s">
        <v>401</v>
      </c>
      <c r="O395" t="s">
        <v>933</v>
      </c>
      <c r="U395" t="s">
        <v>478</v>
      </c>
      <c r="V395" t="str">
        <f>IF(AND(ISNUMBER(L395),COUNTIF([1]Songs!$L:$L,L395)&gt;0),"YES","")</f>
        <v>YES</v>
      </c>
      <c r="W395" t="e">
        <f>IF(AND(ISNUMBER(L395),COUNTIF([2]Songs!$J:$J,L395)&gt;0),"YES","")</f>
        <v>#VALUE!</v>
      </c>
      <c r="X395" t="e">
        <f>IF(AND(ISNUMBER(L395),COUNTIF([3]CcliCombined!$D:$D,L395)&gt;0),"YES","")</f>
        <v>#VALUE!</v>
      </c>
      <c r="Y395" t="e">
        <f>IF(AND(ISNUMBER(L395),COUNTIF([4]Songs!$H:$H,L395)&gt;0),"YES","")</f>
        <v>#VALUE!</v>
      </c>
      <c r="Z395" t="s">
        <v>884</v>
      </c>
      <c r="AB395">
        <v>18</v>
      </c>
      <c r="AD395" t="str">
        <f t="shared" si="8"/>
        <v xml:space="preserve">G </v>
      </c>
    </row>
    <row r="396" spans="1:30" x14ac:dyDescent="0.25">
      <c r="A396">
        <f>INDEX(Albums!$A:$A, MATCH(C396,Albums!$C:$C,0))</f>
        <v>7</v>
      </c>
      <c r="C396" t="s">
        <v>884</v>
      </c>
      <c r="E396" t="s">
        <v>883</v>
      </c>
      <c r="G396" s="28" t="s">
        <v>877</v>
      </c>
      <c r="H396" t="s">
        <v>47</v>
      </c>
      <c r="I396" t="s">
        <v>47</v>
      </c>
      <c r="J396" s="4">
        <v>90</v>
      </c>
      <c r="K396" t="s">
        <v>371</v>
      </c>
      <c r="L396" s="4">
        <v>32008</v>
      </c>
      <c r="M396" s="10">
        <v>1700</v>
      </c>
      <c r="N396" t="s">
        <v>401</v>
      </c>
      <c r="O396" t="s">
        <v>933</v>
      </c>
      <c r="U396" t="s">
        <v>478</v>
      </c>
      <c r="V396" t="str">
        <f>IF(AND(ISNUMBER(L396),COUNTIF([1]Songs!$L:$L,L396)&gt;0),"YES","")</f>
        <v>YES</v>
      </c>
      <c r="W396" t="e">
        <f>IF(AND(ISNUMBER(L396),COUNTIF([2]Songs!$J:$J,L396)&gt;0),"YES","")</f>
        <v>#VALUE!</v>
      </c>
      <c r="X396" t="e">
        <f>IF(AND(ISNUMBER(L396),COUNTIF([3]CcliCombined!$D:$D,L396)&gt;0),"YES","")</f>
        <v>#VALUE!</v>
      </c>
      <c r="Y396" t="e">
        <f>IF(AND(ISNUMBER(L396),COUNTIF([4]Songs!$H:$H,L396)&gt;0),"YES","")</f>
        <v>#VALUE!</v>
      </c>
      <c r="Z396" t="s">
        <v>884</v>
      </c>
      <c r="AB396">
        <v>20</v>
      </c>
      <c r="AD396" t="str">
        <f t="shared" si="8"/>
        <v xml:space="preserve">C </v>
      </c>
    </row>
    <row r="397" spans="1:30" x14ac:dyDescent="0.25">
      <c r="A397">
        <f>INDEX(Albums!$A:$A, MATCH(C397,Albums!$C:$C,0))</f>
        <v>8</v>
      </c>
      <c r="C397" t="s">
        <v>633</v>
      </c>
      <c r="E397" t="s">
        <v>520</v>
      </c>
      <c r="G397" s="28" t="s">
        <v>379</v>
      </c>
      <c r="I397" t="s">
        <v>39</v>
      </c>
      <c r="J397" s="4">
        <v>60</v>
      </c>
      <c r="K397" s="11" t="s">
        <v>425</v>
      </c>
      <c r="L397" s="10">
        <v>3709898</v>
      </c>
      <c r="M397" s="4">
        <v>2002</v>
      </c>
      <c r="N397" t="s">
        <v>381</v>
      </c>
      <c r="O397" t="s">
        <v>1199</v>
      </c>
      <c r="U397" t="s">
        <v>478</v>
      </c>
      <c r="V397" t="str">
        <f>IF(AND(ISNUMBER(#REF!),COUNTIF([1]Songs!$L:$L,#REF!)&gt;0),"YES","")</f>
        <v/>
      </c>
      <c r="W397" t="str">
        <f>IF(AND(ISNUMBER(#REF!),COUNTIF([2]Songs!$J:$J,#REF!)&gt;0),"YES","")</f>
        <v/>
      </c>
      <c r="X397" t="e">
        <f>IF(AND(ISNUMBER(L397),COUNTIF([3]CcliCombined!$D:$D,L397)&gt;0),"YES","")</f>
        <v>#VALUE!</v>
      </c>
      <c r="Y397" t="str">
        <f>IF(AND(ISNUMBER(#REF!),COUNTIF([4]Songs!$H:$H,#REF!)&gt;0),"YES","")</f>
        <v/>
      </c>
      <c r="Z397" t="s">
        <v>521</v>
      </c>
      <c r="AB397">
        <v>63</v>
      </c>
      <c r="AD397" t="str">
        <f t="shared" si="8"/>
        <v xml:space="preserve">D </v>
      </c>
    </row>
    <row r="398" spans="1:30" x14ac:dyDescent="0.25">
      <c r="A398">
        <f>INDEX(Albums!$A:$A, MATCH(C398,Albums!$C:$C,0))</f>
        <v>8</v>
      </c>
      <c r="C398" t="s">
        <v>633</v>
      </c>
      <c r="E398" t="s">
        <v>522</v>
      </c>
      <c r="G398" s="28" t="s">
        <v>523</v>
      </c>
      <c r="I398" t="s">
        <v>52</v>
      </c>
      <c r="J398" s="4">
        <v>66</v>
      </c>
      <c r="K398" s="11" t="s">
        <v>371</v>
      </c>
      <c r="L398" s="10">
        <v>626713</v>
      </c>
      <c r="M398" s="4">
        <v>1990</v>
      </c>
      <c r="N398" t="s">
        <v>997</v>
      </c>
      <c r="O398" t="s">
        <v>1199</v>
      </c>
      <c r="U398" t="s">
        <v>478</v>
      </c>
      <c r="V398" t="str">
        <f>IF(AND(ISNUMBER(#REF!),COUNTIF([1]Songs!$L:$L,#REF!)&gt;0),"YES","")</f>
        <v/>
      </c>
      <c r="W398" t="str">
        <f>IF(AND(ISNUMBER(#REF!),COUNTIF([2]Songs!$J:$J,#REF!)&gt;0),"YES","")</f>
        <v/>
      </c>
      <c r="X398" t="e">
        <f>IF(AND(ISNUMBER(L398),COUNTIF([3]CcliCombined!$D:$D,L398)&gt;0),"YES","")</f>
        <v>#VALUE!</v>
      </c>
      <c r="Y398" t="str">
        <f>IF(AND(ISNUMBER(#REF!),COUNTIF([4]Songs!$H:$H,#REF!)&gt;0),"YES","")</f>
        <v/>
      </c>
      <c r="Z398" t="s">
        <v>524</v>
      </c>
      <c r="AB398">
        <v>78</v>
      </c>
      <c r="AD398" t="str">
        <f t="shared" si="8"/>
        <v xml:space="preserve">A </v>
      </c>
    </row>
    <row r="399" spans="1:30" x14ac:dyDescent="0.25">
      <c r="A399">
        <f>INDEX(Albums!$A:$A, MATCH(C399,Albums!$C:$C,0))</f>
        <v>8</v>
      </c>
      <c r="C399" t="s">
        <v>633</v>
      </c>
      <c r="E399" t="s">
        <v>525</v>
      </c>
      <c r="G399" s="28" t="s">
        <v>526</v>
      </c>
      <c r="I399" t="s">
        <v>25</v>
      </c>
      <c r="J399" s="4">
        <v>54</v>
      </c>
      <c r="K399" s="11" t="s">
        <v>425</v>
      </c>
      <c r="L399" s="10">
        <v>2489542</v>
      </c>
      <c r="M399" s="4">
        <v>1998</v>
      </c>
      <c r="N399" t="s">
        <v>675</v>
      </c>
      <c r="O399" t="s">
        <v>1199</v>
      </c>
      <c r="U399" t="s">
        <v>478</v>
      </c>
      <c r="V399" t="str">
        <f>IF(AND(ISNUMBER(#REF!),COUNTIF([1]Songs!$L:$L,#REF!)&gt;0),"YES","")</f>
        <v/>
      </c>
      <c r="W399" t="str">
        <f>IF(AND(ISNUMBER(#REF!),COUNTIF([2]Songs!$J:$J,#REF!)&gt;0),"YES","")</f>
        <v/>
      </c>
      <c r="X399" t="e">
        <f>IF(AND(ISNUMBER(L399),COUNTIF([3]CcliCombined!$D:$D,L399)&gt;0),"YES","")</f>
        <v>#VALUE!</v>
      </c>
      <c r="Y399" t="str">
        <f>IF(AND(ISNUMBER(#REF!),COUNTIF([4]Songs!$H:$H,#REF!)&gt;0),"YES","")</f>
        <v/>
      </c>
      <c r="Z399" t="s">
        <v>524</v>
      </c>
      <c r="AB399">
        <v>95</v>
      </c>
      <c r="AD399" t="str">
        <f t="shared" si="8"/>
        <v xml:space="preserve">G </v>
      </c>
    </row>
    <row r="400" spans="1:30" x14ac:dyDescent="0.25">
      <c r="A400">
        <f>INDEX(Albums!$A:$A, MATCH(C400,Albums!$C:$C,0))</f>
        <v>8</v>
      </c>
      <c r="C400" t="s">
        <v>633</v>
      </c>
      <c r="E400" t="s">
        <v>527</v>
      </c>
      <c r="G400" s="28" t="s">
        <v>528</v>
      </c>
      <c r="I400" t="s">
        <v>39</v>
      </c>
      <c r="J400" s="4">
        <v>82</v>
      </c>
      <c r="K400" s="11" t="s">
        <v>371</v>
      </c>
      <c r="L400" s="10">
        <v>120824</v>
      </c>
      <c r="M400" s="4">
        <v>1986</v>
      </c>
      <c r="N400" t="s">
        <v>381</v>
      </c>
      <c r="O400" t="s">
        <v>1199</v>
      </c>
      <c r="U400" t="s">
        <v>478</v>
      </c>
      <c r="V400" t="str">
        <f>IF(AND(ISNUMBER(#REF!),COUNTIF([1]Songs!$L:$L,#REF!)&gt;0),"YES","")</f>
        <v/>
      </c>
      <c r="W400" t="str">
        <f>IF(AND(ISNUMBER(#REF!),COUNTIF([2]Songs!$J:$J,#REF!)&gt;0),"YES","")</f>
        <v/>
      </c>
      <c r="X400" t="e">
        <f>IF(AND(ISNUMBER(L400),COUNTIF([3]CcliCombined!$D:$D,L400)&gt;0),"YES","")</f>
        <v>#VALUE!</v>
      </c>
      <c r="Y400" t="str">
        <f>IF(AND(ISNUMBER(#REF!),COUNTIF([4]Songs!$H:$H,#REF!)&gt;0),"YES","")</f>
        <v/>
      </c>
      <c r="Z400" t="s">
        <v>521</v>
      </c>
      <c r="AB400">
        <v>16</v>
      </c>
      <c r="AD400" t="str">
        <f t="shared" si="8"/>
        <v xml:space="preserve">D </v>
      </c>
    </row>
    <row r="401" spans="1:30" x14ac:dyDescent="0.25">
      <c r="A401">
        <f>INDEX(Albums!$A:$A, MATCH(C401,Albums!$C:$C,0))</f>
        <v>8</v>
      </c>
      <c r="C401" t="s">
        <v>633</v>
      </c>
      <c r="E401" t="s">
        <v>529</v>
      </c>
      <c r="G401" s="28" t="s">
        <v>530</v>
      </c>
      <c r="I401" t="s">
        <v>39</v>
      </c>
      <c r="J401" s="4">
        <v>70</v>
      </c>
      <c r="K401" s="11" t="s">
        <v>371</v>
      </c>
      <c r="L401" s="10">
        <v>2650429</v>
      </c>
      <c r="M401" s="4">
        <v>1999</v>
      </c>
      <c r="N401" t="s">
        <v>675</v>
      </c>
      <c r="O401" t="s">
        <v>1199</v>
      </c>
      <c r="U401" t="s">
        <v>478</v>
      </c>
      <c r="V401" t="str">
        <f>IF(AND(ISNUMBER(#REF!),COUNTIF([1]Songs!$L:$L,#REF!)&gt;0),"YES","")</f>
        <v/>
      </c>
      <c r="W401" t="str">
        <f>IF(AND(ISNUMBER(#REF!),COUNTIF([2]Songs!$J:$J,#REF!)&gt;0),"YES","")</f>
        <v/>
      </c>
      <c r="X401" t="e">
        <f>IF(AND(ISNUMBER(L401),COUNTIF([3]CcliCombined!$D:$D,L401)&gt;0),"YES","")</f>
        <v>#VALUE!</v>
      </c>
      <c r="Y401" t="str">
        <f>IF(AND(ISNUMBER(#REF!),COUNTIF([4]Songs!$H:$H,#REF!)&gt;0),"YES","")</f>
        <v/>
      </c>
      <c r="Z401" t="s">
        <v>521</v>
      </c>
      <c r="AB401">
        <v>90</v>
      </c>
      <c r="AD401" t="str">
        <f t="shared" si="8"/>
        <v xml:space="preserve">D </v>
      </c>
    </row>
    <row r="402" spans="1:30" x14ac:dyDescent="0.25">
      <c r="A402">
        <f>INDEX(Albums!$A:$A, MATCH(C402,Albums!$C:$C,0))</f>
        <v>8</v>
      </c>
      <c r="C402" t="s">
        <v>633</v>
      </c>
      <c r="E402" t="s">
        <v>531</v>
      </c>
      <c r="G402" s="28" t="s">
        <v>532</v>
      </c>
      <c r="I402" t="s">
        <v>47</v>
      </c>
      <c r="J402" s="4">
        <v>109</v>
      </c>
      <c r="K402" s="11" t="s">
        <v>380</v>
      </c>
      <c r="L402" s="10">
        <v>2177476</v>
      </c>
      <c r="M402" s="4">
        <v>1998</v>
      </c>
      <c r="N402" t="s">
        <v>390</v>
      </c>
      <c r="O402" t="s">
        <v>1199</v>
      </c>
      <c r="U402" t="s">
        <v>478</v>
      </c>
      <c r="V402" t="str">
        <f>IF(AND(ISNUMBER(#REF!),COUNTIF([1]Songs!$L:$L,#REF!)&gt;0),"YES","")</f>
        <v/>
      </c>
      <c r="W402" t="str">
        <f>IF(AND(ISNUMBER(#REF!),COUNTIF([2]Songs!$J:$J,#REF!)&gt;0),"YES","")</f>
        <v/>
      </c>
      <c r="X402" t="e">
        <f>IF(AND(ISNUMBER(L402),COUNTIF([3]CcliCombined!$D:$D,L402)&gt;0),"YES","")</f>
        <v>#VALUE!</v>
      </c>
      <c r="Y402" t="str">
        <f>IF(AND(ISNUMBER(#REF!),COUNTIF([4]Songs!$H:$H,#REF!)&gt;0),"YES","")</f>
        <v/>
      </c>
      <c r="Z402" t="s">
        <v>524</v>
      </c>
      <c r="AB402">
        <v>90</v>
      </c>
      <c r="AD402" t="str">
        <f t="shared" si="8"/>
        <v xml:space="preserve">C </v>
      </c>
    </row>
    <row r="403" spans="1:30" x14ac:dyDescent="0.25">
      <c r="A403">
        <f>INDEX(Albums!$A:$A, MATCH(C403,Albums!$C:$C,0))</f>
        <v>8</v>
      </c>
      <c r="C403" t="s">
        <v>633</v>
      </c>
      <c r="E403" t="s">
        <v>533</v>
      </c>
      <c r="G403" s="28" t="s">
        <v>175</v>
      </c>
      <c r="I403" t="s">
        <v>176</v>
      </c>
      <c r="J403" s="4">
        <v>56</v>
      </c>
      <c r="K403" s="11" t="s">
        <v>425</v>
      </c>
      <c r="L403" s="10">
        <v>2492216</v>
      </c>
      <c r="M403" s="4">
        <v>1998</v>
      </c>
      <c r="N403" t="s">
        <v>381</v>
      </c>
      <c r="O403" t="s">
        <v>1199</v>
      </c>
      <c r="U403" t="s">
        <v>478</v>
      </c>
      <c r="V403" t="str">
        <f>IF(AND(ISNUMBER(#REF!),COUNTIF([1]Songs!$L:$L,#REF!)&gt;0),"YES","")</f>
        <v/>
      </c>
      <c r="W403" t="str">
        <f>IF(AND(ISNUMBER(#REF!),COUNTIF([2]Songs!$J:$J,#REF!)&gt;0),"YES","")</f>
        <v/>
      </c>
      <c r="X403" t="e">
        <f>IF(AND(ISNUMBER(L403),COUNTIF([3]CcliCombined!$D:$D,L403)&gt;0),"YES","")</f>
        <v>#VALUE!</v>
      </c>
      <c r="Y403" t="str">
        <f>IF(AND(ISNUMBER(#REF!),COUNTIF([4]Songs!$H:$H,#REF!)&gt;0),"YES","")</f>
        <v/>
      </c>
      <c r="Z403" t="s">
        <v>521</v>
      </c>
      <c r="AB403">
        <v>69</v>
      </c>
      <c r="AD403" t="str">
        <f t="shared" si="8"/>
        <v xml:space="preserve">F </v>
      </c>
    </row>
    <row r="404" spans="1:30" x14ac:dyDescent="0.25">
      <c r="A404">
        <f>INDEX(Albums!$A:$A, MATCH(C404,Albums!$C:$C,0))</f>
        <v>8</v>
      </c>
      <c r="C404" t="s">
        <v>633</v>
      </c>
      <c r="E404" t="s">
        <v>109</v>
      </c>
      <c r="F404" t="s">
        <v>624</v>
      </c>
      <c r="G404" s="28" t="s">
        <v>534</v>
      </c>
      <c r="I404" t="s">
        <v>47</v>
      </c>
      <c r="J404" s="4">
        <v>84</v>
      </c>
      <c r="K404" s="11" t="s">
        <v>371</v>
      </c>
      <c r="L404" s="10">
        <v>7027887</v>
      </c>
      <c r="M404" s="4">
        <v>2014</v>
      </c>
      <c r="N404" t="s">
        <v>385</v>
      </c>
      <c r="O404" t="s">
        <v>1199</v>
      </c>
      <c r="U404" t="s">
        <v>478</v>
      </c>
      <c r="V404" t="str">
        <f>IF(AND(ISNUMBER(#REF!),COUNTIF([1]Songs!$L:$L,#REF!)&gt;0),"YES","")</f>
        <v/>
      </c>
      <c r="W404" t="str">
        <f>IF(AND(ISNUMBER(#REF!),COUNTIF([2]Songs!$J:$J,#REF!)&gt;0),"YES","")</f>
        <v/>
      </c>
      <c r="X404" t="e">
        <f>IF(AND(ISNUMBER(L404),COUNTIF([3]CcliCombined!$D:$D,L404)&gt;0),"YES","")</f>
        <v>#VALUE!</v>
      </c>
      <c r="Y404" t="str">
        <f>IF(AND(ISNUMBER(#REF!),COUNTIF([4]Songs!$H:$H,#REF!)&gt;0),"YES","")</f>
        <v/>
      </c>
      <c r="Z404" t="s">
        <v>535</v>
      </c>
      <c r="AB404">
        <v>80</v>
      </c>
      <c r="AD404" t="str">
        <f t="shared" si="8"/>
        <v xml:space="preserve">C </v>
      </c>
    </row>
    <row r="405" spans="1:30" x14ac:dyDescent="0.25">
      <c r="A405">
        <f>INDEX(Albums!$A:$A, MATCH(C405,Albums!$C:$C,0))</f>
        <v>8</v>
      </c>
      <c r="C405" t="s">
        <v>633</v>
      </c>
      <c r="E405" t="s">
        <v>536</v>
      </c>
      <c r="G405" s="28" t="s">
        <v>537</v>
      </c>
      <c r="I405" t="s">
        <v>52</v>
      </c>
      <c r="J405" s="4">
        <v>76</v>
      </c>
      <c r="K405" s="11" t="s">
        <v>371</v>
      </c>
      <c r="L405" s="10">
        <v>5469291</v>
      </c>
      <c r="M405" s="4">
        <v>2009</v>
      </c>
      <c r="N405" t="s">
        <v>381</v>
      </c>
      <c r="O405" t="s">
        <v>1199</v>
      </c>
      <c r="U405" t="s">
        <v>478</v>
      </c>
      <c r="V405" t="str">
        <f>IF(AND(ISNUMBER(#REF!),COUNTIF([1]Songs!$L:$L,#REF!)&gt;0),"YES","")</f>
        <v/>
      </c>
      <c r="W405" t="str">
        <f>IF(AND(ISNUMBER(#REF!),COUNTIF([2]Songs!$J:$J,#REF!)&gt;0),"YES","")</f>
        <v/>
      </c>
      <c r="X405" t="e">
        <f>IF(AND(ISNUMBER(L405),COUNTIF([3]CcliCombined!$D:$D,L405)&gt;0),"YES","")</f>
        <v>#VALUE!</v>
      </c>
      <c r="Y405" t="str">
        <f>IF(AND(ISNUMBER(#REF!),COUNTIF([4]Songs!$H:$H,#REF!)&gt;0),"YES","")</f>
        <v/>
      </c>
      <c r="Z405" t="s">
        <v>521</v>
      </c>
      <c r="AB405">
        <v>85</v>
      </c>
      <c r="AD405" t="str">
        <f t="shared" si="8"/>
        <v xml:space="preserve">A </v>
      </c>
    </row>
    <row r="406" spans="1:30" x14ac:dyDescent="0.25">
      <c r="A406">
        <f>INDEX(Albums!$A:$A, MATCH(C406,Albums!$C:$C,0))</f>
        <v>8</v>
      </c>
      <c r="C406" t="s">
        <v>633</v>
      </c>
      <c r="E406" t="s">
        <v>538</v>
      </c>
      <c r="G406" s="28" t="s">
        <v>539</v>
      </c>
      <c r="I406" t="s">
        <v>176</v>
      </c>
      <c r="J406" s="4">
        <v>72</v>
      </c>
      <c r="K406" s="11" t="s">
        <v>371</v>
      </c>
      <c r="L406" s="10">
        <v>7139866</v>
      </c>
      <c r="M406" s="4">
        <v>2019</v>
      </c>
      <c r="N406" t="s">
        <v>453</v>
      </c>
      <c r="O406" t="s">
        <v>1199</v>
      </c>
      <c r="U406" t="s">
        <v>478</v>
      </c>
      <c r="V406" t="str">
        <f>IF(AND(ISNUMBER(#REF!),COUNTIF([1]Songs!$L:$L,#REF!)&gt;0),"YES","")</f>
        <v/>
      </c>
      <c r="W406" t="str">
        <f>IF(AND(ISNUMBER(#REF!),COUNTIF([2]Songs!$J:$J,#REF!)&gt;0),"YES","")</f>
        <v/>
      </c>
      <c r="X406" t="e">
        <f>IF(AND(ISNUMBER(L406),COUNTIF([3]CcliCombined!$D:$D,L406)&gt;0),"YES","")</f>
        <v>#VALUE!</v>
      </c>
      <c r="Y406" t="str">
        <f>IF(AND(ISNUMBER(#REF!),COUNTIF([4]Songs!$H:$H,#REF!)&gt;0),"YES","")</f>
        <v/>
      </c>
      <c r="Z406" t="s">
        <v>535</v>
      </c>
      <c r="AB406">
        <v>87</v>
      </c>
      <c r="AD406" t="str">
        <f t="shared" si="8"/>
        <v xml:space="preserve">F </v>
      </c>
    </row>
    <row r="407" spans="1:30" x14ac:dyDescent="0.25">
      <c r="A407">
        <f>INDEX(Albums!$A:$A, MATCH(C407,Albums!$C:$C,0))</f>
        <v>8</v>
      </c>
      <c r="C407" t="s">
        <v>633</v>
      </c>
      <c r="E407" t="s">
        <v>540</v>
      </c>
      <c r="G407" s="28" t="s">
        <v>537</v>
      </c>
      <c r="I407" t="s">
        <v>28</v>
      </c>
      <c r="J407" s="4">
        <v>112</v>
      </c>
      <c r="K407" s="11" t="s">
        <v>371</v>
      </c>
      <c r="L407" s="10">
        <v>5232617</v>
      </c>
      <c r="M407" s="4">
        <v>2007</v>
      </c>
      <c r="N407" t="s">
        <v>381</v>
      </c>
      <c r="O407" t="s">
        <v>1199</v>
      </c>
      <c r="U407" t="s">
        <v>478</v>
      </c>
      <c r="V407" t="str">
        <f>IF(AND(ISNUMBER(#REF!),COUNTIF([1]Songs!$L:$L,#REF!)&gt;0),"YES","")</f>
        <v/>
      </c>
      <c r="W407" t="str">
        <f>IF(AND(ISNUMBER(#REF!),COUNTIF([2]Songs!$J:$J,#REF!)&gt;0),"YES","")</f>
        <v/>
      </c>
      <c r="X407" t="e">
        <f>IF(AND(ISNUMBER(L407),COUNTIF([3]CcliCombined!$D:$D,L407)&gt;0),"YES","")</f>
        <v>#VALUE!</v>
      </c>
      <c r="Y407" t="str">
        <f>IF(AND(ISNUMBER(#REF!),COUNTIF([4]Songs!$H:$H,#REF!)&gt;0),"YES","")</f>
        <v/>
      </c>
      <c r="Z407" t="s">
        <v>521</v>
      </c>
      <c r="AB407">
        <v>24</v>
      </c>
      <c r="AD407" t="str">
        <f t="shared" si="8"/>
        <v xml:space="preserve">Bb </v>
      </c>
    </row>
    <row r="408" spans="1:30" x14ac:dyDescent="0.25">
      <c r="A408">
        <f>INDEX(Albums!$A:$A, MATCH(C408,Albums!$C:$C,0))</f>
        <v>8</v>
      </c>
      <c r="C408" t="s">
        <v>633</v>
      </c>
      <c r="E408" t="s">
        <v>541</v>
      </c>
      <c r="G408" s="28" t="s">
        <v>998</v>
      </c>
      <c r="I408" t="s">
        <v>39</v>
      </c>
      <c r="J408" s="4">
        <v>72</v>
      </c>
      <c r="K408" s="11" t="s">
        <v>380</v>
      </c>
      <c r="L408" s="10">
        <v>4775010</v>
      </c>
      <c r="M408" s="4">
        <v>2005</v>
      </c>
      <c r="N408" t="s">
        <v>408</v>
      </c>
      <c r="O408" t="s">
        <v>1199</v>
      </c>
      <c r="U408" t="s">
        <v>478</v>
      </c>
      <c r="V408" t="str">
        <f>IF(AND(ISNUMBER(#REF!),COUNTIF([1]Songs!$L:$L,#REF!)&gt;0),"YES","")</f>
        <v/>
      </c>
      <c r="W408" t="str">
        <f>IF(AND(ISNUMBER(#REF!),COUNTIF([2]Songs!$J:$J,#REF!)&gt;0),"YES","")</f>
        <v/>
      </c>
      <c r="X408" t="e">
        <f>IF(AND(ISNUMBER(L408),COUNTIF([3]CcliCombined!$D:$D,L408)&gt;0),"YES","")</f>
        <v>#VALUE!</v>
      </c>
      <c r="Y408" t="str">
        <f>IF(AND(ISNUMBER(#REF!),COUNTIF([4]Songs!$H:$H,#REF!)&gt;0),"YES","")</f>
        <v/>
      </c>
      <c r="Z408" t="s">
        <v>542</v>
      </c>
      <c r="AB408">
        <v>41</v>
      </c>
      <c r="AD408" t="str">
        <f t="shared" si="8"/>
        <v xml:space="preserve">D </v>
      </c>
    </row>
    <row r="409" spans="1:30" x14ac:dyDescent="0.25">
      <c r="A409">
        <f>INDEX(Albums!$A:$A, MATCH(C409,Albums!$C:$C,0))</f>
        <v>8</v>
      </c>
      <c r="C409" t="s">
        <v>633</v>
      </c>
      <c r="E409" t="s">
        <v>543</v>
      </c>
      <c r="G409" s="28" t="s">
        <v>49</v>
      </c>
      <c r="I409" t="s">
        <v>52</v>
      </c>
      <c r="J409" s="4">
        <v>77</v>
      </c>
      <c r="K409" s="11" t="s">
        <v>371</v>
      </c>
      <c r="L409" s="10">
        <v>3818569</v>
      </c>
      <c r="M409" s="4">
        <v>2002</v>
      </c>
      <c r="N409" t="s">
        <v>381</v>
      </c>
      <c r="O409" t="s">
        <v>1199</v>
      </c>
      <c r="U409" t="s">
        <v>478</v>
      </c>
      <c r="V409" t="str">
        <f>IF(AND(ISNUMBER(#REF!),COUNTIF([1]Songs!$L:$L,#REF!)&gt;0),"YES","")</f>
        <v/>
      </c>
      <c r="W409" t="str">
        <f>IF(AND(ISNUMBER(#REF!),COUNTIF([2]Songs!$J:$J,#REF!)&gt;0),"YES","")</f>
        <v/>
      </c>
      <c r="X409" t="e">
        <f>IF(AND(ISNUMBER(L409),COUNTIF([3]CcliCombined!$D:$D,L409)&gt;0),"YES","")</f>
        <v>#VALUE!</v>
      </c>
      <c r="Y409" t="str">
        <f>IF(AND(ISNUMBER(#REF!),COUNTIF([4]Songs!$H:$H,#REF!)&gt;0),"YES","")</f>
        <v/>
      </c>
      <c r="Z409" t="s">
        <v>521</v>
      </c>
      <c r="AB409">
        <v>98</v>
      </c>
      <c r="AD409" t="str">
        <f t="shared" si="8"/>
        <v xml:space="preserve">A </v>
      </c>
    </row>
    <row r="410" spans="1:30" x14ac:dyDescent="0.25">
      <c r="A410">
        <f>INDEX(Albums!$A:$A, MATCH(C410,Albums!$C:$C,0))</f>
        <v>8</v>
      </c>
      <c r="C410" t="s">
        <v>633</v>
      </c>
      <c r="E410" t="s">
        <v>544</v>
      </c>
      <c r="G410" s="28" t="s">
        <v>545</v>
      </c>
      <c r="I410" t="s">
        <v>39</v>
      </c>
      <c r="J410" s="4">
        <v>76</v>
      </c>
      <c r="K410" s="11" t="s">
        <v>371</v>
      </c>
      <c r="L410" s="10">
        <v>465840</v>
      </c>
      <c r="M410" s="4">
        <v>1989</v>
      </c>
      <c r="N410" t="s">
        <v>800</v>
      </c>
      <c r="O410" t="s">
        <v>1199</v>
      </c>
      <c r="U410" t="s">
        <v>478</v>
      </c>
      <c r="V410" t="str">
        <f>IF(AND(ISNUMBER(#REF!),COUNTIF([1]Songs!$L:$L,#REF!)&gt;0),"YES","")</f>
        <v/>
      </c>
      <c r="W410" t="str">
        <f>IF(AND(ISNUMBER(#REF!),COUNTIF([2]Songs!$J:$J,#REF!)&gt;0),"YES","")</f>
        <v/>
      </c>
      <c r="X410" t="e">
        <f>IF(AND(ISNUMBER(L410),COUNTIF([3]CcliCombined!$D:$D,L410)&gt;0),"YES","")</f>
        <v>#VALUE!</v>
      </c>
      <c r="Y410" t="str">
        <f>IF(AND(ISNUMBER(#REF!),COUNTIF([4]Songs!$H:$H,#REF!)&gt;0),"YES","")</f>
        <v/>
      </c>
      <c r="Z410" t="s">
        <v>524</v>
      </c>
      <c r="AB410">
        <v>68</v>
      </c>
      <c r="AD410" t="str">
        <f t="shared" si="8"/>
        <v xml:space="preserve">D </v>
      </c>
    </row>
    <row r="411" spans="1:30" x14ac:dyDescent="0.25">
      <c r="A411">
        <f>INDEX(Albums!$A:$A, MATCH(C411,Albums!$C:$C,0))</f>
        <v>8</v>
      </c>
      <c r="C411" t="s">
        <v>633</v>
      </c>
      <c r="E411" t="s">
        <v>546</v>
      </c>
      <c r="G411" s="28" t="s">
        <v>999</v>
      </c>
      <c r="I411" t="s">
        <v>31</v>
      </c>
      <c r="J411" s="4">
        <v>80</v>
      </c>
      <c r="K411" s="11" t="s">
        <v>371</v>
      </c>
      <c r="L411" s="10">
        <v>5384338</v>
      </c>
      <c r="M411" s="4">
        <v>2009</v>
      </c>
      <c r="N411" t="s">
        <v>1000</v>
      </c>
      <c r="O411" t="s">
        <v>1199</v>
      </c>
      <c r="U411" t="s">
        <v>478</v>
      </c>
      <c r="V411" t="str">
        <f>IF(AND(ISNUMBER(#REF!),COUNTIF([1]Songs!$L:$L,#REF!)&gt;0),"YES","")</f>
        <v/>
      </c>
      <c r="W411" t="str">
        <f>IF(AND(ISNUMBER(#REF!),COUNTIF([2]Songs!$J:$J,#REF!)&gt;0),"YES","")</f>
        <v/>
      </c>
      <c r="X411" t="e">
        <f>IF(AND(ISNUMBER(L411),COUNTIF([3]CcliCombined!$D:$D,L411)&gt;0),"YES","")</f>
        <v>#VALUE!</v>
      </c>
      <c r="Y411" t="str">
        <f>IF(AND(ISNUMBER(#REF!),COUNTIF([4]Songs!$H:$H,#REF!)&gt;0),"YES","")</f>
        <v/>
      </c>
      <c r="Z411" t="s">
        <v>542</v>
      </c>
      <c r="AB411">
        <v>85</v>
      </c>
      <c r="AD411" t="str">
        <f t="shared" si="8"/>
        <v xml:space="preserve">B </v>
      </c>
    </row>
    <row r="412" spans="1:30" x14ac:dyDescent="0.25">
      <c r="A412">
        <f>INDEX(Albums!$A:$A, MATCH(C412,Albums!$C:$C,0))</f>
        <v>8</v>
      </c>
      <c r="C412" t="s">
        <v>633</v>
      </c>
      <c r="E412" t="s">
        <v>625</v>
      </c>
      <c r="F412" t="s">
        <v>626</v>
      </c>
      <c r="G412" s="28" t="s">
        <v>547</v>
      </c>
      <c r="I412" t="s">
        <v>52</v>
      </c>
      <c r="J412" s="4">
        <v>74</v>
      </c>
      <c r="K412" s="11" t="s">
        <v>371</v>
      </c>
      <c r="L412" s="10">
        <v>7100964</v>
      </c>
      <c r="M412" s="4">
        <v>2017</v>
      </c>
      <c r="N412" t="s">
        <v>666</v>
      </c>
      <c r="O412" t="s">
        <v>1199</v>
      </c>
      <c r="U412" t="s">
        <v>478</v>
      </c>
      <c r="V412" t="str">
        <f>IF(AND(ISNUMBER(#REF!),COUNTIF([1]Songs!$L:$L,#REF!)&gt;0),"YES","")</f>
        <v/>
      </c>
      <c r="W412" t="str">
        <f>IF(AND(ISNUMBER(#REF!),COUNTIF([2]Songs!$J:$J,#REF!)&gt;0),"YES","")</f>
        <v/>
      </c>
      <c r="X412" t="e">
        <f>IF(AND(ISNUMBER(L412),COUNTIF([3]CcliCombined!$D:$D,L412)&gt;0),"YES","")</f>
        <v>#VALUE!</v>
      </c>
      <c r="Y412" t="str">
        <f>IF(AND(ISNUMBER(#REF!),COUNTIF([4]Songs!$H:$H,#REF!)&gt;0),"YES","")</f>
        <v/>
      </c>
      <c r="Z412" t="s">
        <v>524</v>
      </c>
      <c r="AB412">
        <v>100</v>
      </c>
      <c r="AD412" t="str">
        <f t="shared" si="8"/>
        <v xml:space="preserve">A </v>
      </c>
    </row>
    <row r="413" spans="1:30" x14ac:dyDescent="0.25">
      <c r="A413">
        <f>INDEX(Albums!$A:$A, MATCH(C413,Albums!$C:$C,0))</f>
        <v>8</v>
      </c>
      <c r="C413" t="s">
        <v>633</v>
      </c>
      <c r="E413" t="s">
        <v>548</v>
      </c>
      <c r="G413" s="28" t="s">
        <v>549</v>
      </c>
      <c r="I413" t="s">
        <v>52</v>
      </c>
      <c r="J413" s="4">
        <v>72</v>
      </c>
      <c r="K413" s="11" t="s">
        <v>371</v>
      </c>
      <c r="L413" s="10">
        <v>7133285</v>
      </c>
      <c r="M413" s="4">
        <v>2019</v>
      </c>
      <c r="N413" t="s">
        <v>374</v>
      </c>
      <c r="O413" t="s">
        <v>1199</v>
      </c>
      <c r="U413" t="s">
        <v>478</v>
      </c>
      <c r="V413" t="str">
        <f>IF(AND(ISNUMBER(#REF!),COUNTIF([1]Songs!$L:$L,#REF!)&gt;0),"YES","")</f>
        <v/>
      </c>
      <c r="W413" t="str">
        <f>IF(AND(ISNUMBER(#REF!),COUNTIF([2]Songs!$J:$J,#REF!)&gt;0),"YES","")</f>
        <v/>
      </c>
      <c r="X413" t="e">
        <f>IF(AND(ISNUMBER(L413),COUNTIF([3]CcliCombined!$D:$D,L413)&gt;0),"YES","")</f>
        <v>#VALUE!</v>
      </c>
      <c r="Y413" t="str">
        <f>IF(AND(ISNUMBER(#REF!),COUNTIF([4]Songs!$H:$H,#REF!)&gt;0),"YES","")</f>
        <v/>
      </c>
      <c r="Z413" t="s">
        <v>535</v>
      </c>
      <c r="AB413">
        <v>78</v>
      </c>
      <c r="AD413" t="str">
        <f t="shared" ref="AD413:AD464" si="9">I413
&amp;IF(H413=I413,""," "&amp;H413)
&amp;IF(OR(R413=I413,R413=H413),""," "&amp;R413)
&amp;IF(R413=S413,""," "&amp;S413)</f>
        <v xml:space="preserve">A </v>
      </c>
    </row>
    <row r="414" spans="1:30" x14ac:dyDescent="0.25">
      <c r="A414">
        <f>INDEX(Albums!$A:$A, MATCH(C414,Albums!$C:$C,0))</f>
        <v>8</v>
      </c>
      <c r="C414" t="s">
        <v>633</v>
      </c>
      <c r="E414" t="s">
        <v>550</v>
      </c>
      <c r="G414" s="28" t="s">
        <v>551</v>
      </c>
      <c r="I414" t="s">
        <v>28</v>
      </c>
      <c r="J414" s="4">
        <v>100</v>
      </c>
      <c r="K414" s="11" t="s">
        <v>371</v>
      </c>
      <c r="L414" s="10">
        <v>7138599</v>
      </c>
      <c r="M414" s="4">
        <v>2019</v>
      </c>
      <c r="N414" t="s">
        <v>1001</v>
      </c>
      <c r="O414" t="s">
        <v>1199</v>
      </c>
      <c r="U414" t="s">
        <v>478</v>
      </c>
      <c r="V414" t="str">
        <f>IF(AND(ISNUMBER(#REF!),COUNTIF([1]Songs!$L:$L,#REF!)&gt;0),"YES","")</f>
        <v/>
      </c>
      <c r="W414" t="str">
        <f>IF(AND(ISNUMBER(#REF!),COUNTIF([2]Songs!$J:$J,#REF!)&gt;0),"YES","")</f>
        <v/>
      </c>
      <c r="X414" t="e">
        <f>IF(AND(ISNUMBER(L414),COUNTIF([3]CcliCombined!$D:$D,L414)&gt;0),"YES","")</f>
        <v>#VALUE!</v>
      </c>
      <c r="Y414" t="str">
        <f>IF(AND(ISNUMBER(#REF!),COUNTIF([4]Songs!$H:$H,#REF!)&gt;0),"YES","")</f>
        <v/>
      </c>
      <c r="Z414" t="s">
        <v>535</v>
      </c>
      <c r="AB414">
        <v>88</v>
      </c>
      <c r="AD414" t="str">
        <f t="shared" si="9"/>
        <v xml:space="preserve">Bb </v>
      </c>
    </row>
    <row r="415" spans="1:30" x14ac:dyDescent="0.25">
      <c r="A415">
        <f>INDEX(Albums!$A:$A, MATCH(C415,Albums!$C:$C,0))</f>
        <v>8</v>
      </c>
      <c r="C415" t="s">
        <v>633</v>
      </c>
      <c r="E415" t="s">
        <v>552</v>
      </c>
      <c r="G415" s="28" t="s">
        <v>553</v>
      </c>
      <c r="I415" t="s">
        <v>28</v>
      </c>
      <c r="J415" s="4">
        <v>70</v>
      </c>
      <c r="K415" s="11" t="s">
        <v>371</v>
      </c>
      <c r="L415" s="10">
        <v>7105729</v>
      </c>
      <c r="M415" s="4">
        <v>2018</v>
      </c>
      <c r="N415" t="s">
        <v>447</v>
      </c>
      <c r="O415" t="s">
        <v>1199</v>
      </c>
      <c r="U415" t="s">
        <v>478</v>
      </c>
      <c r="V415" t="str">
        <f>IF(AND(ISNUMBER(#REF!),COUNTIF([1]Songs!$L:$L,#REF!)&gt;0),"YES","")</f>
        <v/>
      </c>
      <c r="W415" t="str">
        <f>IF(AND(ISNUMBER(#REF!),COUNTIF([2]Songs!$J:$J,#REF!)&gt;0),"YES","")</f>
        <v/>
      </c>
      <c r="X415" t="e">
        <f>IF(AND(ISNUMBER(L415),COUNTIF([3]CcliCombined!$D:$D,L415)&gt;0),"YES","")</f>
        <v>#VALUE!</v>
      </c>
      <c r="Y415" t="str">
        <f>IF(AND(ISNUMBER(#REF!),COUNTIF([4]Songs!$H:$H,#REF!)&gt;0),"YES","")</f>
        <v/>
      </c>
      <c r="Z415" t="s">
        <v>524</v>
      </c>
      <c r="AB415">
        <v>67</v>
      </c>
      <c r="AD415" t="str">
        <f t="shared" si="9"/>
        <v xml:space="preserve">Bb </v>
      </c>
    </row>
    <row r="416" spans="1:30" x14ac:dyDescent="0.25">
      <c r="A416">
        <f>INDEX(Albums!$A:$A, MATCH(C416,Albums!$C:$C,0))</f>
        <v>8</v>
      </c>
      <c r="C416" t="s">
        <v>633</v>
      </c>
      <c r="E416" t="s">
        <v>554</v>
      </c>
      <c r="G416" s="28" t="s">
        <v>414</v>
      </c>
      <c r="I416" t="s">
        <v>78</v>
      </c>
      <c r="J416" s="4">
        <v>71</v>
      </c>
      <c r="K416" s="11" t="s">
        <v>371</v>
      </c>
      <c r="L416" s="10">
        <v>7122177</v>
      </c>
      <c r="M416" s="4">
        <v>2018</v>
      </c>
      <c r="N416" t="s">
        <v>372</v>
      </c>
      <c r="O416" t="s">
        <v>1199</v>
      </c>
      <c r="U416" t="s">
        <v>478</v>
      </c>
      <c r="V416" t="str">
        <f>IF(AND(ISNUMBER(#REF!),COUNTIF([1]Songs!$L:$L,#REF!)&gt;0),"YES","")</f>
        <v/>
      </c>
      <c r="W416" t="str">
        <f>IF(AND(ISNUMBER(#REF!),COUNTIF([2]Songs!$J:$J,#REF!)&gt;0),"YES","")</f>
        <v/>
      </c>
      <c r="X416" t="e">
        <f>IF(AND(ISNUMBER(L416),COUNTIF([3]CcliCombined!$D:$D,L416)&gt;0),"YES","")</f>
        <v>#VALUE!</v>
      </c>
      <c r="Y416" t="str">
        <f>IF(AND(ISNUMBER(#REF!),COUNTIF([4]Songs!$H:$H,#REF!)&gt;0),"YES","")</f>
        <v/>
      </c>
      <c r="Z416" t="s">
        <v>535</v>
      </c>
      <c r="AB416">
        <v>64</v>
      </c>
      <c r="AD416" t="str">
        <f t="shared" si="9"/>
        <v xml:space="preserve">Eb </v>
      </c>
    </row>
    <row r="417" spans="1:32" x14ac:dyDescent="0.25">
      <c r="A417">
        <f>INDEX(Albums!$A:$A, MATCH(C417,Albums!$C:$C,0))</f>
        <v>8</v>
      </c>
      <c r="C417" t="s">
        <v>633</v>
      </c>
      <c r="E417" t="s">
        <v>555</v>
      </c>
      <c r="G417" s="28" t="s">
        <v>556</v>
      </c>
      <c r="I417" t="s">
        <v>36</v>
      </c>
      <c r="J417" s="4">
        <v>144</v>
      </c>
      <c r="K417" s="11" t="s">
        <v>371</v>
      </c>
      <c r="L417" s="10">
        <v>3373437</v>
      </c>
      <c r="M417" s="4">
        <v>2001</v>
      </c>
      <c r="N417" t="s">
        <v>675</v>
      </c>
      <c r="O417" t="s">
        <v>1199</v>
      </c>
      <c r="U417" t="s">
        <v>478</v>
      </c>
      <c r="V417" t="str">
        <f>IF(AND(ISNUMBER(#REF!),COUNTIF([1]Songs!$L:$L,#REF!)&gt;0),"YES","")</f>
        <v/>
      </c>
      <c r="W417" t="str">
        <f>IF(AND(ISNUMBER(#REF!),COUNTIF([2]Songs!$J:$J,#REF!)&gt;0),"YES","")</f>
        <v/>
      </c>
      <c r="X417" t="e">
        <f>IF(AND(ISNUMBER(L417),COUNTIF([3]CcliCombined!$D:$D,L417)&gt;0),"YES","")</f>
        <v>#VALUE!</v>
      </c>
      <c r="Y417" t="str">
        <f>IF(AND(ISNUMBER(#REF!),COUNTIF([4]Songs!$H:$H,#REF!)&gt;0),"YES","")</f>
        <v/>
      </c>
      <c r="Z417" t="s">
        <v>521</v>
      </c>
      <c r="AB417">
        <v>34</v>
      </c>
      <c r="AD417" t="str">
        <f t="shared" si="9"/>
        <v xml:space="preserve">E </v>
      </c>
    </row>
    <row r="418" spans="1:32" x14ac:dyDescent="0.25">
      <c r="A418">
        <f>INDEX(Albums!$A:$A, MATCH(C418,Albums!$C:$C,0))</f>
        <v>8</v>
      </c>
      <c r="C418" t="s">
        <v>633</v>
      </c>
      <c r="E418" t="s">
        <v>557</v>
      </c>
      <c r="G418" s="28" t="s">
        <v>558</v>
      </c>
      <c r="I418" t="s">
        <v>52</v>
      </c>
      <c r="J418" s="4">
        <v>72</v>
      </c>
      <c r="K418" s="11" t="s">
        <v>371</v>
      </c>
      <c r="L418" s="10">
        <v>10769</v>
      </c>
      <c r="M418" s="4">
        <v>1985</v>
      </c>
      <c r="N418" t="s">
        <v>653</v>
      </c>
      <c r="O418" t="s">
        <v>1199</v>
      </c>
      <c r="U418" t="s">
        <v>478</v>
      </c>
      <c r="V418" t="str">
        <f>IF(AND(ISNUMBER(#REF!),COUNTIF([1]Songs!$L:$L,#REF!)&gt;0),"YES","")</f>
        <v/>
      </c>
      <c r="W418" t="str">
        <f>IF(AND(ISNUMBER(#REF!),COUNTIF([2]Songs!$J:$J,#REF!)&gt;0),"YES","")</f>
        <v/>
      </c>
      <c r="X418" t="e">
        <f>IF(AND(ISNUMBER(L418),COUNTIF([3]CcliCombined!$D:$D,L418)&gt;0),"YES","")</f>
        <v>#VALUE!</v>
      </c>
      <c r="Y418" t="str">
        <f>IF(AND(ISNUMBER(#REF!),COUNTIF([4]Songs!$H:$H,#REF!)&gt;0),"YES","")</f>
        <v/>
      </c>
      <c r="Z418" t="s">
        <v>521</v>
      </c>
      <c r="AB418">
        <v>100</v>
      </c>
      <c r="AD418" t="str">
        <f t="shared" si="9"/>
        <v xml:space="preserve">A </v>
      </c>
    </row>
    <row r="419" spans="1:32" hidden="1" x14ac:dyDescent="0.25">
      <c r="A419">
        <f>INDEX(Albums!$A:$A, MATCH(C419,Albums!$C:$C,0))</f>
        <v>8</v>
      </c>
      <c r="C419" t="s">
        <v>633</v>
      </c>
      <c r="E419" t="s">
        <v>114</v>
      </c>
      <c r="G419" s="28" t="s">
        <v>559</v>
      </c>
      <c r="I419" t="s">
        <v>39</v>
      </c>
      <c r="J419" s="4">
        <v>75</v>
      </c>
      <c r="K419" s="11" t="s">
        <v>380</v>
      </c>
      <c r="L419" s="10">
        <v>18723</v>
      </c>
      <c r="M419" s="4">
        <v>1923</v>
      </c>
      <c r="N419" s="6" t="s">
        <v>401</v>
      </c>
      <c r="U419" t="s">
        <v>478</v>
      </c>
      <c r="V419" t="str">
        <f>IF(AND(ISNUMBER(#REF!),COUNTIF([1]Songs!$L:$L,#REF!)&gt;0),"YES","")</f>
        <v/>
      </c>
      <c r="W419" t="str">
        <f>IF(AND(ISNUMBER(#REF!),COUNTIF([2]Songs!$J:$J,#REF!)&gt;0),"YES","")</f>
        <v/>
      </c>
      <c r="X419" t="e">
        <f>IF(AND(ISNUMBER(L419),COUNTIF([3]CcliCombined!$D:$D,L419)&gt;0),"YES","")</f>
        <v>#VALUE!</v>
      </c>
      <c r="Y419" t="str">
        <f>IF(AND(ISNUMBER(#REF!),COUNTIF([4]Songs!$H:$H,#REF!)&gt;0),"YES","")</f>
        <v/>
      </c>
      <c r="Z419" t="s">
        <v>521</v>
      </c>
      <c r="AB419">
        <v>91</v>
      </c>
      <c r="AD419" t="str">
        <f t="shared" si="9"/>
        <v xml:space="preserve">D </v>
      </c>
      <c r="AF419" t="s">
        <v>1197</v>
      </c>
    </row>
    <row r="420" spans="1:32" hidden="1" x14ac:dyDescent="0.25">
      <c r="A420">
        <f>INDEX(Albums!$A:$A, MATCH(C420,Albums!$C:$C,0))</f>
        <v>8</v>
      </c>
      <c r="C420" t="s">
        <v>633</v>
      </c>
      <c r="E420" t="s">
        <v>297</v>
      </c>
      <c r="G420" s="28" t="s">
        <v>560</v>
      </c>
      <c r="I420" t="s">
        <v>25</v>
      </c>
      <c r="J420" s="4">
        <v>102</v>
      </c>
      <c r="K420" s="11" t="s">
        <v>371</v>
      </c>
      <c r="L420" s="10">
        <v>7111321</v>
      </c>
      <c r="M420" s="4">
        <v>2018</v>
      </c>
      <c r="N420" t="s">
        <v>436</v>
      </c>
      <c r="U420" t="s">
        <v>478</v>
      </c>
      <c r="V420" t="str">
        <f>IF(AND(ISNUMBER(#REF!),COUNTIF([1]Songs!$L:$L,#REF!)&gt;0),"YES","")</f>
        <v/>
      </c>
      <c r="W420" t="str">
        <f>IF(AND(ISNUMBER(#REF!),COUNTIF([2]Songs!$J:$J,#REF!)&gt;0),"YES","")</f>
        <v/>
      </c>
      <c r="X420" t="e">
        <f>IF(AND(ISNUMBER(L420),COUNTIF([3]CcliCombined!$D:$D,L420)&gt;0),"YES","")</f>
        <v>#VALUE!</v>
      </c>
      <c r="Y420" t="str">
        <f>IF(AND(ISNUMBER(#REF!),COUNTIF([4]Songs!$H:$H,#REF!)&gt;0),"YES","")</f>
        <v/>
      </c>
      <c r="Z420" t="s">
        <v>524</v>
      </c>
      <c r="AB420">
        <v>28</v>
      </c>
      <c r="AD420" t="str">
        <f t="shared" si="9"/>
        <v xml:space="preserve">G </v>
      </c>
      <c r="AF420" t="s">
        <v>1197</v>
      </c>
    </row>
    <row r="421" spans="1:32" x14ac:dyDescent="0.25">
      <c r="A421">
        <f>INDEX(Albums!$A:$A, MATCH(C421,Albums!$C:$C,0))</f>
        <v>8</v>
      </c>
      <c r="C421" t="s">
        <v>633</v>
      </c>
      <c r="E421" t="s">
        <v>561</v>
      </c>
      <c r="G421" s="28" t="s">
        <v>1005</v>
      </c>
      <c r="I421" t="s">
        <v>28</v>
      </c>
      <c r="J421" s="4">
        <v>122</v>
      </c>
      <c r="K421" s="11" t="s">
        <v>371</v>
      </c>
      <c r="L421" s="10">
        <v>7050416</v>
      </c>
      <c r="M421" s="4">
        <v>2015</v>
      </c>
      <c r="N421" t="s">
        <v>443</v>
      </c>
      <c r="O421" t="s">
        <v>1199</v>
      </c>
      <c r="U421" t="s">
        <v>478</v>
      </c>
      <c r="V421" t="str">
        <f>IF(AND(ISNUMBER(#REF!),COUNTIF([1]Songs!$L:$L,#REF!)&gt;0),"YES","")</f>
        <v/>
      </c>
      <c r="W421" t="str">
        <f>IF(AND(ISNUMBER(#REF!),COUNTIF([2]Songs!$J:$J,#REF!)&gt;0),"YES","")</f>
        <v/>
      </c>
      <c r="X421" t="e">
        <f>IF(AND(ISNUMBER(L421),COUNTIF([3]CcliCombined!$D:$D,L421)&gt;0),"YES","")</f>
        <v>#VALUE!</v>
      </c>
      <c r="Y421" t="str">
        <f>IF(AND(ISNUMBER(#REF!),COUNTIF([4]Songs!$H:$H,#REF!)&gt;0),"YES","")</f>
        <v/>
      </c>
      <c r="Z421" t="s">
        <v>542</v>
      </c>
      <c r="AB421">
        <v>70</v>
      </c>
      <c r="AD421" t="str">
        <f t="shared" si="9"/>
        <v xml:space="preserve">Bb </v>
      </c>
    </row>
    <row r="422" spans="1:32" hidden="1" x14ac:dyDescent="0.25">
      <c r="A422">
        <f>INDEX(Albums!$A:$A, MATCH(C422,Albums!$C:$C,0))</f>
        <v>8</v>
      </c>
      <c r="C422" t="s">
        <v>633</v>
      </c>
      <c r="E422" t="s">
        <v>484</v>
      </c>
      <c r="G422" s="28" t="s">
        <v>562</v>
      </c>
      <c r="I422" t="s">
        <v>25</v>
      </c>
      <c r="J422" s="4">
        <v>66</v>
      </c>
      <c r="K422" s="11" t="s">
        <v>1006</v>
      </c>
      <c r="L422" s="10">
        <v>7016161</v>
      </c>
      <c r="M422" s="4">
        <v>2013</v>
      </c>
      <c r="N422" t="s">
        <v>1007</v>
      </c>
      <c r="U422" t="s">
        <v>478</v>
      </c>
      <c r="V422" t="str">
        <f>IF(AND(ISNUMBER(#REF!),COUNTIF([1]Songs!$L:$L,#REF!)&gt;0),"YES","")</f>
        <v/>
      </c>
      <c r="W422" t="str">
        <f>IF(AND(ISNUMBER(#REF!),COUNTIF([2]Songs!$J:$J,#REF!)&gt;0),"YES","")</f>
        <v/>
      </c>
      <c r="X422" t="e">
        <f>IF(AND(ISNUMBER(L422),COUNTIF([3]CcliCombined!$D:$D,L422)&gt;0),"YES","")</f>
        <v>#VALUE!</v>
      </c>
      <c r="Y422" t="str">
        <f>IF(AND(ISNUMBER(#REF!),COUNTIF([4]Songs!$H:$H,#REF!)&gt;0),"YES","")</f>
        <v/>
      </c>
      <c r="Z422" t="s">
        <v>524</v>
      </c>
      <c r="AB422">
        <v>85</v>
      </c>
      <c r="AD422" t="str">
        <f t="shared" si="9"/>
        <v xml:space="preserve">G </v>
      </c>
      <c r="AF422" t="s">
        <v>1197</v>
      </c>
    </row>
    <row r="423" spans="1:32" x14ac:dyDescent="0.25">
      <c r="A423">
        <f>INDEX(Albums!$A:$A, MATCH(C423,Albums!$C:$C,0))</f>
        <v>8</v>
      </c>
      <c r="C423" t="s">
        <v>633</v>
      </c>
      <c r="E423" t="s">
        <v>563</v>
      </c>
      <c r="G423" s="28" t="s">
        <v>537</v>
      </c>
      <c r="I423" t="s">
        <v>176</v>
      </c>
      <c r="K423" s="11" t="s">
        <v>371</v>
      </c>
      <c r="L423" s="10">
        <v>4930752</v>
      </c>
      <c r="M423" s="4">
        <v>2006</v>
      </c>
      <c r="N423" t="s">
        <v>381</v>
      </c>
      <c r="O423" t="s">
        <v>1199</v>
      </c>
      <c r="U423" t="s">
        <v>478</v>
      </c>
      <c r="V423" t="str">
        <f>IF(AND(ISNUMBER(#REF!),COUNTIF([1]Songs!$L:$L,#REF!)&gt;0),"YES","")</f>
        <v/>
      </c>
      <c r="W423" t="str">
        <f>IF(AND(ISNUMBER(#REF!),COUNTIF([2]Songs!$J:$J,#REF!)&gt;0),"YES","")</f>
        <v/>
      </c>
      <c r="X423" t="e">
        <f>IF(AND(ISNUMBER(L423),COUNTIF([3]CcliCombined!$D:$D,L423)&gt;0),"YES","")</f>
        <v>#VALUE!</v>
      </c>
      <c r="Y423" t="str">
        <f>IF(AND(ISNUMBER(#REF!),COUNTIF([4]Songs!$H:$H,#REF!)&gt;0),"YES","")</f>
        <v/>
      </c>
      <c r="Z423" t="s">
        <v>521</v>
      </c>
      <c r="AB423">
        <v>83</v>
      </c>
      <c r="AD423" t="str">
        <f t="shared" si="9"/>
        <v xml:space="preserve">F </v>
      </c>
    </row>
    <row r="424" spans="1:32" x14ac:dyDescent="0.25">
      <c r="A424">
        <f>INDEX(Albums!$A:$A, MATCH(C424,Albums!$C:$C,0))</f>
        <v>8</v>
      </c>
      <c r="C424" t="s">
        <v>633</v>
      </c>
      <c r="E424" t="s">
        <v>564</v>
      </c>
      <c r="G424" s="28" t="s">
        <v>565</v>
      </c>
      <c r="I424" t="s">
        <v>25</v>
      </c>
      <c r="J424" s="4">
        <v>40</v>
      </c>
      <c r="K424" s="11" t="s">
        <v>425</v>
      </c>
      <c r="L424" s="10">
        <v>7065053</v>
      </c>
      <c r="M424" s="4">
        <v>2016</v>
      </c>
      <c r="N424" t="s">
        <v>1008</v>
      </c>
      <c r="O424" t="s">
        <v>1199</v>
      </c>
      <c r="U424" t="s">
        <v>478</v>
      </c>
      <c r="V424" t="str">
        <f>IF(AND(ISNUMBER(#REF!),COUNTIF([1]Songs!$L:$L,#REF!)&gt;0),"YES","")</f>
        <v/>
      </c>
      <c r="W424" t="str">
        <f>IF(AND(ISNUMBER(#REF!),COUNTIF([2]Songs!$J:$J,#REF!)&gt;0),"YES","")</f>
        <v/>
      </c>
      <c r="X424" t="e">
        <f>IF(AND(ISNUMBER(L424),COUNTIF([3]CcliCombined!$D:$D,L424)&gt;0),"YES","")</f>
        <v>#VALUE!</v>
      </c>
      <c r="Y424" t="str">
        <f>IF(AND(ISNUMBER(#REF!),COUNTIF([4]Songs!$H:$H,#REF!)&gt;0),"YES","")</f>
        <v/>
      </c>
      <c r="Z424" t="s">
        <v>524</v>
      </c>
      <c r="AB424">
        <v>43</v>
      </c>
      <c r="AD424" t="str">
        <f t="shared" si="9"/>
        <v xml:space="preserve">G </v>
      </c>
    </row>
    <row r="425" spans="1:32" x14ac:dyDescent="0.25">
      <c r="A425">
        <f>INDEX(Albums!$A:$A, MATCH(C425,Albums!$C:$C,0))</f>
        <v>8</v>
      </c>
      <c r="C425" t="s">
        <v>633</v>
      </c>
      <c r="E425" t="s">
        <v>566</v>
      </c>
      <c r="G425" s="28" t="s">
        <v>567</v>
      </c>
      <c r="I425" t="s">
        <v>36</v>
      </c>
      <c r="J425" s="4">
        <v>80</v>
      </c>
      <c r="K425" s="11" t="s">
        <v>371</v>
      </c>
      <c r="L425" s="10">
        <v>1540719</v>
      </c>
      <c r="M425" s="4">
        <v>1995</v>
      </c>
      <c r="N425" t="s">
        <v>381</v>
      </c>
      <c r="O425" t="s">
        <v>1199</v>
      </c>
      <c r="U425" t="s">
        <v>478</v>
      </c>
      <c r="V425" t="str">
        <f>IF(AND(ISNUMBER(#REF!),COUNTIF([1]Songs!$L:$L,#REF!)&gt;0),"YES","")</f>
        <v/>
      </c>
      <c r="W425" t="str">
        <f>IF(AND(ISNUMBER(#REF!),COUNTIF([2]Songs!$J:$J,#REF!)&gt;0),"YES","")</f>
        <v/>
      </c>
      <c r="X425" t="e">
        <f>IF(AND(ISNUMBER(L425),COUNTIF([3]CcliCombined!$D:$D,L425)&gt;0),"YES","")</f>
        <v>#VALUE!</v>
      </c>
      <c r="Y425" t="str">
        <f>IF(AND(ISNUMBER(#REF!),COUNTIF([4]Songs!$H:$H,#REF!)&gt;0),"YES","")</f>
        <v/>
      </c>
      <c r="Z425" t="s">
        <v>521</v>
      </c>
      <c r="AB425">
        <v>99</v>
      </c>
      <c r="AD425" t="str">
        <f t="shared" si="9"/>
        <v xml:space="preserve">E </v>
      </c>
    </row>
    <row r="426" spans="1:32" x14ac:dyDescent="0.25">
      <c r="A426">
        <f>INDEX(Albums!$A:$A, MATCH(C426,Albums!$C:$C,0))</f>
        <v>8</v>
      </c>
      <c r="C426" t="s">
        <v>633</v>
      </c>
      <c r="E426" t="s">
        <v>197</v>
      </c>
      <c r="G426" s="28" t="s">
        <v>568</v>
      </c>
      <c r="I426" t="s">
        <v>39</v>
      </c>
      <c r="K426" s="11" t="s">
        <v>371</v>
      </c>
      <c r="L426" s="10">
        <v>4779872</v>
      </c>
      <c r="M426" s="4">
        <v>2006</v>
      </c>
      <c r="N426" t="s">
        <v>381</v>
      </c>
      <c r="O426" t="s">
        <v>1199</v>
      </c>
      <c r="U426" t="s">
        <v>478</v>
      </c>
      <c r="V426" t="str">
        <f>IF(AND(ISNUMBER(#REF!),COUNTIF([1]Songs!$L:$L,#REF!)&gt;0),"YES","")</f>
        <v/>
      </c>
      <c r="W426" t="str">
        <f>IF(AND(ISNUMBER(#REF!),COUNTIF([2]Songs!$J:$J,#REF!)&gt;0),"YES","")</f>
        <v/>
      </c>
      <c r="X426" t="e">
        <f>IF(AND(ISNUMBER(L426),COUNTIF([3]CcliCombined!$D:$D,L426)&gt;0),"YES","")</f>
        <v>#VALUE!</v>
      </c>
      <c r="Y426" t="str">
        <f>IF(AND(ISNUMBER(#REF!),COUNTIF([4]Songs!$H:$H,#REF!)&gt;0),"YES","")</f>
        <v/>
      </c>
      <c r="Z426" t="s">
        <v>524</v>
      </c>
      <c r="AB426">
        <v>75</v>
      </c>
      <c r="AD426" t="str">
        <f t="shared" si="9"/>
        <v xml:space="preserve">D </v>
      </c>
    </row>
    <row r="427" spans="1:32" x14ac:dyDescent="0.25">
      <c r="A427">
        <f>INDEX(Albums!$A:$A, MATCH(C427,Albums!$C:$C,0))</f>
        <v>8</v>
      </c>
      <c r="C427" t="s">
        <v>633</v>
      </c>
      <c r="E427" t="s">
        <v>569</v>
      </c>
      <c r="G427" s="28" t="s">
        <v>551</v>
      </c>
      <c r="I427" t="s">
        <v>39</v>
      </c>
      <c r="J427" s="4">
        <v>73</v>
      </c>
      <c r="K427" s="11" t="s">
        <v>462</v>
      </c>
      <c r="L427" s="10">
        <v>7136448</v>
      </c>
      <c r="M427" s="4">
        <v>2019</v>
      </c>
      <c r="N427" t="s">
        <v>1001</v>
      </c>
      <c r="O427" t="s">
        <v>1199</v>
      </c>
      <c r="U427" t="s">
        <v>478</v>
      </c>
      <c r="V427" t="str">
        <f>IF(AND(ISNUMBER(#REF!),COUNTIF([1]Songs!$L:$L,#REF!)&gt;0),"YES","")</f>
        <v/>
      </c>
      <c r="W427" t="str">
        <f>IF(AND(ISNUMBER(#REF!),COUNTIF([2]Songs!$J:$J,#REF!)&gt;0),"YES","")</f>
        <v/>
      </c>
      <c r="X427" t="e">
        <f>IF(AND(ISNUMBER(L427),COUNTIF([3]CcliCombined!$D:$D,L427)&gt;0),"YES","")</f>
        <v>#VALUE!</v>
      </c>
      <c r="Y427" t="str">
        <f>IF(AND(ISNUMBER(#REF!),COUNTIF([4]Songs!$H:$H,#REF!)&gt;0),"YES","")</f>
        <v/>
      </c>
      <c r="Z427" t="s">
        <v>535</v>
      </c>
      <c r="AB427">
        <v>61</v>
      </c>
      <c r="AD427" t="str">
        <f t="shared" si="9"/>
        <v xml:space="preserve">D </v>
      </c>
    </row>
    <row r="428" spans="1:32" x14ac:dyDescent="0.25">
      <c r="A428">
        <f>INDEX(Albums!$A:$A, MATCH(C428,Albums!$C:$C,0))</f>
        <v>8</v>
      </c>
      <c r="C428" t="s">
        <v>633</v>
      </c>
      <c r="E428" t="s">
        <v>570</v>
      </c>
      <c r="G428" s="28" t="s">
        <v>935</v>
      </c>
      <c r="H428" s="3" t="s">
        <v>176</v>
      </c>
      <c r="I428" s="3" t="s">
        <v>52</v>
      </c>
      <c r="J428" s="4">
        <v>94</v>
      </c>
      <c r="K428" s="4" t="s">
        <v>371</v>
      </c>
      <c r="L428" s="10">
        <v>3540703</v>
      </c>
      <c r="M428" s="4">
        <v>2002</v>
      </c>
      <c r="N428" s="6" t="s">
        <v>390</v>
      </c>
      <c r="O428" t="s">
        <v>1199</v>
      </c>
      <c r="U428" t="s">
        <v>478</v>
      </c>
      <c r="V428" t="str">
        <f>IF(AND(ISNUMBER(#REF!),COUNTIF([1]Songs!$L:$L,#REF!)&gt;0),"YES","")</f>
        <v/>
      </c>
      <c r="W428" t="str">
        <f>IF(AND(ISNUMBER(#REF!),COUNTIF([2]Songs!$J:$J,#REF!)&gt;0),"YES","")</f>
        <v/>
      </c>
      <c r="X428" t="e">
        <f>IF(AND(ISNUMBER(L428),COUNTIF([3]CcliCombined!$D:$D,L428)&gt;0),"YES","")</f>
        <v>#VALUE!</v>
      </c>
      <c r="Y428" t="str">
        <f>IF(AND(ISNUMBER(#REF!),COUNTIF([4]Songs!$H:$H,#REF!)&gt;0),"YES","")</f>
        <v/>
      </c>
      <c r="Z428" t="s">
        <v>524</v>
      </c>
      <c r="AB428">
        <v>83</v>
      </c>
      <c r="AD428" t="str">
        <f t="shared" si="9"/>
        <v xml:space="preserve">A F </v>
      </c>
    </row>
    <row r="429" spans="1:32" x14ac:dyDescent="0.25">
      <c r="A429">
        <f>INDEX(Albums!$A:$A, MATCH(C429,Albums!$C:$C,0))</f>
        <v>8</v>
      </c>
      <c r="C429" t="s">
        <v>633</v>
      </c>
      <c r="E429" t="s">
        <v>571</v>
      </c>
      <c r="G429" s="28" t="s">
        <v>43</v>
      </c>
      <c r="I429" t="s">
        <v>39</v>
      </c>
      <c r="J429" s="4">
        <v>72</v>
      </c>
      <c r="K429" s="11" t="s">
        <v>371</v>
      </c>
      <c r="L429" s="10">
        <v>1083764</v>
      </c>
      <c r="M429" s="4">
        <v>1994</v>
      </c>
      <c r="N429" t="s">
        <v>381</v>
      </c>
      <c r="O429" t="s">
        <v>1199</v>
      </c>
      <c r="U429" t="s">
        <v>478</v>
      </c>
      <c r="V429" t="str">
        <f>IF(AND(ISNUMBER(#REF!),COUNTIF([1]Songs!$L:$L,#REF!)&gt;0),"YES","")</f>
        <v/>
      </c>
      <c r="W429" t="str">
        <f>IF(AND(ISNUMBER(#REF!),COUNTIF([2]Songs!$J:$J,#REF!)&gt;0),"YES","")</f>
        <v/>
      </c>
      <c r="X429" t="e">
        <f>IF(AND(ISNUMBER(L429),COUNTIF([3]CcliCombined!$D:$D,L429)&gt;0),"YES","")</f>
        <v>#VALUE!</v>
      </c>
      <c r="Y429" t="str">
        <f>IF(AND(ISNUMBER(#REF!),COUNTIF([4]Songs!$H:$H,#REF!)&gt;0),"YES","")</f>
        <v/>
      </c>
      <c r="Z429" t="s">
        <v>521</v>
      </c>
      <c r="AB429">
        <v>59</v>
      </c>
      <c r="AD429" t="str">
        <f t="shared" si="9"/>
        <v xml:space="preserve">D </v>
      </c>
    </row>
    <row r="430" spans="1:32" x14ac:dyDescent="0.25">
      <c r="A430">
        <f>INDEX(Albums!$A:$A, MATCH(C430,Albums!$C:$C,0))</f>
        <v>8</v>
      </c>
      <c r="C430" t="s">
        <v>633</v>
      </c>
      <c r="E430" t="s">
        <v>572</v>
      </c>
      <c r="G430" s="28" t="s">
        <v>936</v>
      </c>
      <c r="H430" s="3" t="s">
        <v>28</v>
      </c>
      <c r="I430" s="3" t="s">
        <v>31</v>
      </c>
      <c r="J430" s="4">
        <v>72</v>
      </c>
      <c r="K430" s="4" t="s">
        <v>371</v>
      </c>
      <c r="L430" s="10">
        <v>7108951</v>
      </c>
      <c r="M430" s="4">
        <v>2018</v>
      </c>
      <c r="N430" s="6" t="s">
        <v>666</v>
      </c>
      <c r="O430" t="s">
        <v>1199</v>
      </c>
      <c r="U430" t="s">
        <v>478</v>
      </c>
      <c r="V430" t="str">
        <f>IF(AND(ISNUMBER(#REF!),COUNTIF([1]Songs!$L:$L,#REF!)&gt;0),"YES","")</f>
        <v/>
      </c>
      <c r="W430" t="str">
        <f>IF(AND(ISNUMBER(#REF!),COUNTIF([2]Songs!$J:$J,#REF!)&gt;0),"YES","")</f>
        <v/>
      </c>
      <c r="X430" t="e">
        <f>IF(AND(ISNUMBER(L430),COUNTIF([3]CcliCombined!$D:$D,L430)&gt;0),"YES","")</f>
        <v>#VALUE!</v>
      </c>
      <c r="Y430" t="str">
        <f>IF(AND(ISNUMBER(#REF!),COUNTIF([4]Songs!$H:$H,#REF!)&gt;0),"YES","")</f>
        <v/>
      </c>
      <c r="Z430" t="s">
        <v>524</v>
      </c>
      <c r="AB430">
        <v>55</v>
      </c>
      <c r="AD430" t="str">
        <f t="shared" si="9"/>
        <v xml:space="preserve">B Bb </v>
      </c>
    </row>
    <row r="431" spans="1:32" x14ac:dyDescent="0.25">
      <c r="A431">
        <f>INDEX(Albums!$A:$A, MATCH(C431,Albums!$C:$C,0))</f>
        <v>8</v>
      </c>
      <c r="C431" t="s">
        <v>633</v>
      </c>
      <c r="E431" t="s">
        <v>573</v>
      </c>
      <c r="G431" s="28" t="s">
        <v>384</v>
      </c>
      <c r="I431" t="s">
        <v>52</v>
      </c>
      <c r="J431" s="4">
        <v>77</v>
      </c>
      <c r="K431" s="11" t="s">
        <v>371</v>
      </c>
      <c r="L431" s="10">
        <v>7067249</v>
      </c>
      <c r="M431" s="4">
        <v>2016</v>
      </c>
      <c r="N431" t="s">
        <v>385</v>
      </c>
      <c r="O431" t="s">
        <v>1199</v>
      </c>
      <c r="U431" t="s">
        <v>478</v>
      </c>
      <c r="V431" t="str">
        <f>IF(AND(ISNUMBER(#REF!),COUNTIF([1]Songs!$L:$L,#REF!)&gt;0),"YES","")</f>
        <v/>
      </c>
      <c r="W431" t="str">
        <f>IF(AND(ISNUMBER(#REF!),COUNTIF([2]Songs!$J:$J,#REF!)&gt;0),"YES","")</f>
        <v/>
      </c>
      <c r="X431" t="e">
        <f>IF(AND(ISNUMBER(L431),COUNTIF([3]CcliCombined!$D:$D,L431)&gt;0),"YES","")</f>
        <v>#VALUE!</v>
      </c>
      <c r="Y431" t="str">
        <f>IF(AND(ISNUMBER(#REF!),COUNTIF([4]Songs!$H:$H,#REF!)&gt;0),"YES","")</f>
        <v/>
      </c>
      <c r="Z431" t="s">
        <v>542</v>
      </c>
      <c r="AB431">
        <v>89</v>
      </c>
      <c r="AD431" t="str">
        <f t="shared" si="9"/>
        <v xml:space="preserve">A </v>
      </c>
    </row>
    <row r="432" spans="1:32" x14ac:dyDescent="0.25">
      <c r="A432">
        <f>INDEX(Albums!$A:$A, MATCH(C432,Albums!$C:$C,0))</f>
        <v>8</v>
      </c>
      <c r="C432" t="s">
        <v>633</v>
      </c>
      <c r="E432" t="s">
        <v>574</v>
      </c>
      <c r="G432" s="28" t="s">
        <v>575</v>
      </c>
      <c r="I432" t="s">
        <v>176</v>
      </c>
      <c r="J432" s="4">
        <v>110</v>
      </c>
      <c r="K432" s="11" t="s">
        <v>371</v>
      </c>
      <c r="L432" s="10">
        <v>5997804</v>
      </c>
      <c r="M432" s="4">
        <v>2010</v>
      </c>
      <c r="N432" t="s">
        <v>444</v>
      </c>
      <c r="O432" t="s">
        <v>1199</v>
      </c>
      <c r="U432" t="s">
        <v>478</v>
      </c>
      <c r="V432" t="str">
        <f>IF(AND(ISNUMBER(#REF!),COUNTIF([1]Songs!$L:$L,#REF!)&gt;0),"YES","")</f>
        <v/>
      </c>
      <c r="W432" t="str">
        <f>IF(AND(ISNUMBER(#REF!),COUNTIF([2]Songs!$J:$J,#REF!)&gt;0),"YES","")</f>
        <v/>
      </c>
      <c r="X432" t="e">
        <f>IF(AND(ISNUMBER(L432),COUNTIF([3]CcliCombined!$D:$D,L432)&gt;0),"YES","")</f>
        <v>#VALUE!</v>
      </c>
      <c r="Y432" t="str">
        <f>IF(AND(ISNUMBER(#REF!),COUNTIF([4]Songs!$H:$H,#REF!)&gt;0),"YES","")</f>
        <v/>
      </c>
      <c r="Z432" t="s">
        <v>524</v>
      </c>
      <c r="AB432">
        <v>64</v>
      </c>
      <c r="AD432" t="str">
        <f t="shared" si="9"/>
        <v xml:space="preserve">F </v>
      </c>
    </row>
    <row r="433" spans="1:32" x14ac:dyDescent="0.25">
      <c r="A433">
        <f>INDEX(Albums!$A:$A, MATCH(C433,Albums!$C:$C,0))</f>
        <v>8</v>
      </c>
      <c r="C433" t="s">
        <v>633</v>
      </c>
      <c r="E433" t="s">
        <v>576</v>
      </c>
      <c r="G433" s="28" t="s">
        <v>577</v>
      </c>
      <c r="I433" t="s">
        <v>52</v>
      </c>
      <c r="J433" s="4">
        <v>72</v>
      </c>
      <c r="K433" s="11" t="s">
        <v>371</v>
      </c>
      <c r="L433" s="10">
        <v>1581778</v>
      </c>
      <c r="M433" s="4">
        <v>1996</v>
      </c>
      <c r="N433" t="s">
        <v>1009</v>
      </c>
      <c r="O433" t="s">
        <v>1199</v>
      </c>
      <c r="U433" t="s">
        <v>478</v>
      </c>
      <c r="V433" t="str">
        <f>IF(AND(ISNUMBER(#REF!),COUNTIF([1]Songs!$L:$L,#REF!)&gt;0),"YES","")</f>
        <v/>
      </c>
      <c r="W433" t="str">
        <f>IF(AND(ISNUMBER(#REF!),COUNTIF([2]Songs!$J:$J,#REF!)&gt;0),"YES","")</f>
        <v/>
      </c>
      <c r="X433" t="e">
        <f>IF(AND(ISNUMBER(L433),COUNTIF([3]CcliCombined!$D:$D,L433)&gt;0),"YES","")</f>
        <v>#VALUE!</v>
      </c>
      <c r="Y433" t="str">
        <f>IF(AND(ISNUMBER(#REF!),COUNTIF([4]Songs!$H:$H,#REF!)&gt;0),"YES","")</f>
        <v/>
      </c>
      <c r="Z433" t="s">
        <v>521</v>
      </c>
      <c r="AB433">
        <v>31</v>
      </c>
      <c r="AD433" t="str">
        <f t="shared" si="9"/>
        <v xml:space="preserve">A </v>
      </c>
    </row>
    <row r="434" spans="1:32" x14ac:dyDescent="0.25">
      <c r="A434">
        <f>INDEX(Albums!$A:$A, MATCH(C434,Albums!$C:$C,0))</f>
        <v>8</v>
      </c>
      <c r="C434" t="s">
        <v>633</v>
      </c>
      <c r="E434" t="s">
        <v>578</v>
      </c>
      <c r="G434" s="28" t="s">
        <v>1010</v>
      </c>
      <c r="I434" t="s">
        <v>84</v>
      </c>
      <c r="J434" s="4">
        <v>106</v>
      </c>
      <c r="K434" s="11" t="s">
        <v>371</v>
      </c>
      <c r="L434" s="10">
        <v>7023299</v>
      </c>
      <c r="M434" s="4">
        <v>2014</v>
      </c>
      <c r="N434" t="s">
        <v>1011</v>
      </c>
      <c r="O434" t="s">
        <v>1199</v>
      </c>
      <c r="U434" t="s">
        <v>478</v>
      </c>
      <c r="V434" t="str">
        <f>IF(AND(ISNUMBER(#REF!),COUNTIF([1]Songs!$L:$L,#REF!)&gt;0),"YES","")</f>
        <v/>
      </c>
      <c r="W434" t="str">
        <f>IF(AND(ISNUMBER(#REF!),COUNTIF([2]Songs!$J:$J,#REF!)&gt;0),"YES","")</f>
        <v/>
      </c>
      <c r="X434" t="e">
        <f>IF(AND(ISNUMBER(L434),COUNTIF([3]CcliCombined!$D:$D,L434)&gt;0),"YES","")</f>
        <v>#VALUE!</v>
      </c>
      <c r="Y434" t="str">
        <f>IF(AND(ISNUMBER(#REF!),COUNTIF([4]Songs!$H:$H,#REF!)&gt;0),"YES","")</f>
        <v/>
      </c>
      <c r="Z434" t="s">
        <v>542</v>
      </c>
      <c r="AB434">
        <v>82</v>
      </c>
      <c r="AD434" t="str">
        <f t="shared" si="9"/>
        <v xml:space="preserve">F# </v>
      </c>
    </row>
    <row r="435" spans="1:32" x14ac:dyDescent="0.25">
      <c r="A435">
        <f>INDEX(Albums!$A:$A, MATCH(C435,Albums!$C:$C,0))</f>
        <v>8</v>
      </c>
      <c r="C435" t="s">
        <v>633</v>
      </c>
      <c r="E435" t="s">
        <v>579</v>
      </c>
      <c r="G435" s="28" t="s">
        <v>135</v>
      </c>
      <c r="I435" t="s">
        <v>47</v>
      </c>
      <c r="J435" s="4">
        <v>94</v>
      </c>
      <c r="K435" s="11" t="s">
        <v>371</v>
      </c>
      <c r="L435" s="10">
        <v>2490706</v>
      </c>
      <c r="M435" s="4">
        <v>1998</v>
      </c>
      <c r="N435" t="s">
        <v>675</v>
      </c>
      <c r="O435" t="s">
        <v>1199</v>
      </c>
      <c r="U435" t="s">
        <v>478</v>
      </c>
      <c r="V435" t="str">
        <f>IF(AND(ISNUMBER(#REF!),COUNTIF([1]Songs!$L:$L,#REF!)&gt;0),"YES","")</f>
        <v/>
      </c>
      <c r="W435" t="str">
        <f>IF(AND(ISNUMBER(#REF!),COUNTIF([2]Songs!$J:$J,#REF!)&gt;0),"YES","")</f>
        <v/>
      </c>
      <c r="X435" t="e">
        <f>IF(AND(ISNUMBER(L435),COUNTIF([3]CcliCombined!$D:$D,L435)&gt;0),"YES","")</f>
        <v>#VALUE!</v>
      </c>
      <c r="Y435" t="str">
        <f>IF(AND(ISNUMBER(#REF!),COUNTIF([4]Songs!$H:$H,#REF!)&gt;0),"YES","")</f>
        <v/>
      </c>
      <c r="Z435" t="s">
        <v>521</v>
      </c>
      <c r="AB435">
        <v>89</v>
      </c>
      <c r="AD435" t="str">
        <f t="shared" si="9"/>
        <v xml:space="preserve">C </v>
      </c>
    </row>
    <row r="436" spans="1:32" x14ac:dyDescent="0.25">
      <c r="A436">
        <f>INDEX(Albums!$A:$A, MATCH(C436,Albums!$C:$C,0))</f>
        <v>8</v>
      </c>
      <c r="C436" t="s">
        <v>633</v>
      </c>
      <c r="E436" t="s">
        <v>580</v>
      </c>
      <c r="G436" s="28" t="s">
        <v>581</v>
      </c>
      <c r="I436" t="s">
        <v>25</v>
      </c>
      <c r="J436" s="4">
        <v>97</v>
      </c>
      <c r="K436" s="11" t="s">
        <v>371</v>
      </c>
      <c r="L436" s="10">
        <v>4572938</v>
      </c>
      <c r="M436" s="4">
        <v>2005</v>
      </c>
      <c r="N436" t="s">
        <v>403</v>
      </c>
      <c r="O436" t="s">
        <v>1199</v>
      </c>
      <c r="U436" t="s">
        <v>478</v>
      </c>
      <c r="V436" t="str">
        <f>IF(AND(ISNUMBER(#REF!),COUNTIF([1]Songs!$L:$L,#REF!)&gt;0),"YES","")</f>
        <v/>
      </c>
      <c r="W436" t="str">
        <f>IF(AND(ISNUMBER(#REF!),COUNTIF([2]Songs!$J:$J,#REF!)&gt;0),"YES","")</f>
        <v/>
      </c>
      <c r="X436" t="e">
        <f>IF(AND(ISNUMBER(L436),COUNTIF([3]CcliCombined!$D:$D,L436)&gt;0),"YES","")</f>
        <v>#VALUE!</v>
      </c>
      <c r="Y436" t="str">
        <f>IF(AND(ISNUMBER(#REF!),COUNTIF([4]Songs!$H:$H,#REF!)&gt;0),"YES","")</f>
        <v/>
      </c>
      <c r="Z436" t="s">
        <v>542</v>
      </c>
      <c r="AB436">
        <v>93</v>
      </c>
      <c r="AD436" t="str">
        <f t="shared" si="9"/>
        <v xml:space="preserve">G </v>
      </c>
    </row>
    <row r="437" spans="1:32" x14ac:dyDescent="0.25">
      <c r="A437">
        <f>INDEX(Albums!$A:$A, MATCH(C437,Albums!$C:$C,0))</f>
        <v>8</v>
      </c>
      <c r="C437" t="s">
        <v>633</v>
      </c>
      <c r="E437" t="s">
        <v>582</v>
      </c>
      <c r="G437" s="28" t="s">
        <v>379</v>
      </c>
      <c r="I437" t="s">
        <v>47</v>
      </c>
      <c r="J437" s="4">
        <v>72</v>
      </c>
      <c r="K437" s="11" t="s">
        <v>371</v>
      </c>
      <c r="L437" s="10">
        <v>4108704</v>
      </c>
      <c r="M437" s="4">
        <v>2003</v>
      </c>
      <c r="N437" t="s">
        <v>381</v>
      </c>
      <c r="O437" t="s">
        <v>1199</v>
      </c>
      <c r="U437" t="s">
        <v>478</v>
      </c>
      <c r="V437" t="str">
        <f>IF(AND(ISNUMBER(#REF!),COUNTIF([1]Songs!$L:$L,#REF!)&gt;0),"YES","")</f>
        <v/>
      </c>
      <c r="W437" t="str">
        <f>IF(AND(ISNUMBER(#REF!),COUNTIF([2]Songs!$J:$J,#REF!)&gt;0),"YES","")</f>
        <v/>
      </c>
      <c r="X437" t="e">
        <f>IF(AND(ISNUMBER(L437),COUNTIF([3]CcliCombined!$D:$D,L437)&gt;0),"YES","")</f>
        <v>#VALUE!</v>
      </c>
      <c r="Y437" t="str">
        <f>IF(AND(ISNUMBER(#REF!),COUNTIF([4]Songs!$H:$H,#REF!)&gt;0),"YES","")</f>
        <v/>
      </c>
      <c r="Z437" t="s">
        <v>521</v>
      </c>
      <c r="AB437">
        <v>96</v>
      </c>
      <c r="AD437" t="str">
        <f t="shared" si="9"/>
        <v xml:space="preserve">C </v>
      </c>
    </row>
    <row r="438" spans="1:32" x14ac:dyDescent="0.25">
      <c r="A438">
        <f>INDEX(Albums!$A:$A, MATCH(C438,Albums!$C:$C,0))</f>
        <v>8</v>
      </c>
      <c r="C438" t="s">
        <v>633</v>
      </c>
      <c r="E438" t="s">
        <v>583</v>
      </c>
      <c r="G438" s="28" t="s">
        <v>1012</v>
      </c>
      <c r="I438" t="s">
        <v>25</v>
      </c>
      <c r="J438" s="4">
        <v>86</v>
      </c>
      <c r="K438" s="11" t="s">
        <v>371</v>
      </c>
      <c r="L438" s="10">
        <v>5075025</v>
      </c>
      <c r="M438" s="4">
        <v>2008</v>
      </c>
      <c r="N438" t="s">
        <v>408</v>
      </c>
      <c r="O438" t="s">
        <v>1199</v>
      </c>
      <c r="U438" t="s">
        <v>478</v>
      </c>
      <c r="V438" t="str">
        <f>IF(AND(ISNUMBER(#REF!),COUNTIF([1]Songs!$L:$L,#REF!)&gt;0),"YES","")</f>
        <v/>
      </c>
      <c r="W438" t="str">
        <f>IF(AND(ISNUMBER(#REF!),COUNTIF([2]Songs!$J:$J,#REF!)&gt;0),"YES","")</f>
        <v/>
      </c>
      <c r="X438" t="e">
        <f>IF(AND(ISNUMBER(L438),COUNTIF([3]CcliCombined!$D:$D,L438)&gt;0),"YES","")</f>
        <v>#VALUE!</v>
      </c>
      <c r="Y438" t="str">
        <f>IF(AND(ISNUMBER(#REF!),COUNTIF([4]Songs!$H:$H,#REF!)&gt;0),"YES","")</f>
        <v/>
      </c>
      <c r="Z438" t="s">
        <v>542</v>
      </c>
      <c r="AB438">
        <v>88</v>
      </c>
      <c r="AD438" t="str">
        <f t="shared" si="9"/>
        <v xml:space="preserve">G </v>
      </c>
    </row>
    <row r="439" spans="1:32" x14ac:dyDescent="0.25">
      <c r="A439">
        <f>INDEX(Albums!$A:$A, MATCH(C439,Albums!$C:$C,0))</f>
        <v>8</v>
      </c>
      <c r="C439" t="s">
        <v>633</v>
      </c>
      <c r="E439" t="s">
        <v>584</v>
      </c>
      <c r="G439" s="28" t="s">
        <v>585</v>
      </c>
      <c r="I439" t="s">
        <v>52</v>
      </c>
      <c r="J439" s="4">
        <v>68</v>
      </c>
      <c r="K439" s="11" t="s">
        <v>371</v>
      </c>
      <c r="L439" s="10">
        <v>7123436</v>
      </c>
      <c r="M439" s="4">
        <v>2019</v>
      </c>
      <c r="N439" t="s">
        <v>788</v>
      </c>
      <c r="O439" t="s">
        <v>1199</v>
      </c>
      <c r="U439" t="s">
        <v>478</v>
      </c>
      <c r="V439" t="str">
        <f>IF(AND(ISNUMBER(#REF!),COUNTIF([1]Songs!$L:$L,#REF!)&gt;0),"YES","")</f>
        <v/>
      </c>
      <c r="W439" t="str">
        <f>IF(AND(ISNUMBER(#REF!),COUNTIF([2]Songs!$J:$J,#REF!)&gt;0),"YES","")</f>
        <v/>
      </c>
      <c r="X439" t="e">
        <f>IF(AND(ISNUMBER(L439),COUNTIF([3]CcliCombined!$D:$D,L439)&gt;0),"YES","")</f>
        <v>#VALUE!</v>
      </c>
      <c r="Y439" t="str">
        <f>IF(AND(ISNUMBER(#REF!),COUNTIF([4]Songs!$H:$H,#REF!)&gt;0),"YES","")</f>
        <v/>
      </c>
      <c r="Z439" t="s">
        <v>535</v>
      </c>
      <c r="AB439">
        <v>59</v>
      </c>
      <c r="AD439" t="str">
        <f t="shared" si="9"/>
        <v xml:space="preserve">A </v>
      </c>
    </row>
    <row r="440" spans="1:32" x14ac:dyDescent="0.25">
      <c r="A440">
        <f>INDEX(Albums!$A:$A, MATCH(C440,Albums!$C:$C,0))</f>
        <v>8</v>
      </c>
      <c r="C440" t="s">
        <v>633</v>
      </c>
      <c r="E440" t="s">
        <v>586</v>
      </c>
      <c r="G440" s="28" t="s">
        <v>1013</v>
      </c>
      <c r="I440" t="s">
        <v>25</v>
      </c>
      <c r="J440" s="4">
        <v>60</v>
      </c>
      <c r="K440" s="11" t="s">
        <v>371</v>
      </c>
      <c r="L440" s="10">
        <v>5783630</v>
      </c>
      <c r="M440" s="4">
        <v>2010</v>
      </c>
      <c r="N440" t="s">
        <v>408</v>
      </c>
      <c r="O440" t="s">
        <v>1199</v>
      </c>
      <c r="U440" t="s">
        <v>478</v>
      </c>
      <c r="V440" t="str">
        <f>IF(AND(ISNUMBER(#REF!),COUNTIF([1]Songs!$L:$L,#REF!)&gt;0),"YES","")</f>
        <v/>
      </c>
      <c r="W440" t="str">
        <f>IF(AND(ISNUMBER(#REF!),COUNTIF([2]Songs!$J:$J,#REF!)&gt;0),"YES","")</f>
        <v/>
      </c>
      <c r="X440" t="e">
        <f>IF(AND(ISNUMBER(L440),COUNTIF([3]CcliCombined!$D:$D,L440)&gt;0),"YES","")</f>
        <v>#VALUE!</v>
      </c>
      <c r="Y440" t="str">
        <f>IF(AND(ISNUMBER(#REF!),COUNTIF([4]Songs!$H:$H,#REF!)&gt;0),"YES","")</f>
        <v/>
      </c>
      <c r="Z440" t="s">
        <v>542</v>
      </c>
      <c r="AB440">
        <v>57</v>
      </c>
      <c r="AD440" t="str">
        <f t="shared" si="9"/>
        <v xml:space="preserve">G </v>
      </c>
    </row>
    <row r="441" spans="1:32" x14ac:dyDescent="0.25">
      <c r="A441">
        <f>INDEX(Albums!$A:$A, MATCH(C441,Albums!$C:$C,0))</f>
        <v>8</v>
      </c>
      <c r="C441" t="s">
        <v>633</v>
      </c>
      <c r="E441" t="s">
        <v>587</v>
      </c>
      <c r="G441" s="28" t="s">
        <v>588</v>
      </c>
      <c r="I441" t="s">
        <v>47</v>
      </c>
      <c r="J441" s="4">
        <v>140</v>
      </c>
      <c r="K441" s="11" t="s">
        <v>371</v>
      </c>
      <c r="L441" s="10">
        <v>7011438</v>
      </c>
      <c r="M441" s="4">
        <v>2013</v>
      </c>
      <c r="N441" t="s">
        <v>1014</v>
      </c>
      <c r="O441" t="s">
        <v>1199</v>
      </c>
      <c r="U441" t="s">
        <v>478</v>
      </c>
      <c r="V441" t="str">
        <f>IF(AND(ISNUMBER(#REF!),COUNTIF([1]Songs!$L:$L,#REF!)&gt;0),"YES","")</f>
        <v/>
      </c>
      <c r="W441" t="str">
        <f>IF(AND(ISNUMBER(#REF!),COUNTIF([2]Songs!$J:$J,#REF!)&gt;0),"YES","")</f>
        <v/>
      </c>
      <c r="X441" t="e">
        <f>IF(AND(ISNUMBER(L441),COUNTIF([3]CcliCombined!$D:$D,L441)&gt;0),"YES","")</f>
        <v>#VALUE!</v>
      </c>
      <c r="Y441" t="str">
        <f>IF(AND(ISNUMBER(#REF!),COUNTIF([4]Songs!$H:$H,#REF!)&gt;0),"YES","")</f>
        <v/>
      </c>
      <c r="Z441" t="s">
        <v>535</v>
      </c>
      <c r="AB441">
        <v>60</v>
      </c>
      <c r="AD441" t="str">
        <f t="shared" si="9"/>
        <v xml:space="preserve">C </v>
      </c>
    </row>
    <row r="442" spans="1:32" x14ac:dyDescent="0.25">
      <c r="A442">
        <f>INDEX(Albums!$A:$A, MATCH(C442,Albums!$C:$C,0))</f>
        <v>8</v>
      </c>
      <c r="C442" t="s">
        <v>633</v>
      </c>
      <c r="E442" t="s">
        <v>589</v>
      </c>
      <c r="G442" s="28" t="s">
        <v>386</v>
      </c>
      <c r="I442" t="s">
        <v>39</v>
      </c>
      <c r="J442" s="4">
        <v>96</v>
      </c>
      <c r="K442" s="11" t="s">
        <v>371</v>
      </c>
      <c r="L442" s="10">
        <v>4972837</v>
      </c>
      <c r="M442" s="4">
        <v>2007</v>
      </c>
      <c r="N442" t="s">
        <v>381</v>
      </c>
      <c r="O442" t="s">
        <v>1199</v>
      </c>
      <c r="U442" t="s">
        <v>478</v>
      </c>
      <c r="V442" t="str">
        <f>IF(AND(ISNUMBER(#REF!),COUNTIF([1]Songs!$L:$L,#REF!)&gt;0),"YES","")</f>
        <v/>
      </c>
      <c r="W442" t="str">
        <f>IF(AND(ISNUMBER(#REF!),COUNTIF([2]Songs!$J:$J,#REF!)&gt;0),"YES","")</f>
        <v/>
      </c>
      <c r="X442" t="e">
        <f>IF(AND(ISNUMBER(L442),COUNTIF([3]CcliCombined!$D:$D,L442)&gt;0),"YES","")</f>
        <v>#VALUE!</v>
      </c>
      <c r="Y442" t="str">
        <f>IF(AND(ISNUMBER(#REF!),COUNTIF([4]Songs!$H:$H,#REF!)&gt;0),"YES","")</f>
        <v/>
      </c>
      <c r="Z442" t="s">
        <v>542</v>
      </c>
      <c r="AB442">
        <v>99</v>
      </c>
      <c r="AD442" t="str">
        <f t="shared" si="9"/>
        <v xml:space="preserve">D </v>
      </c>
    </row>
    <row r="443" spans="1:32" x14ac:dyDescent="0.25">
      <c r="A443">
        <f>INDEX(Albums!$A:$A, MATCH(C443,Albums!$C:$C,0))</f>
        <v>8</v>
      </c>
      <c r="C443" t="s">
        <v>633</v>
      </c>
      <c r="E443" t="s">
        <v>590</v>
      </c>
      <c r="G443" s="28" t="s">
        <v>175</v>
      </c>
      <c r="I443" t="s">
        <v>78</v>
      </c>
      <c r="J443" s="4">
        <v>64</v>
      </c>
      <c r="K443" s="11" t="s">
        <v>371</v>
      </c>
      <c r="L443" s="10">
        <v>1585970</v>
      </c>
      <c r="M443" s="4">
        <v>1996</v>
      </c>
      <c r="N443" t="s">
        <v>381</v>
      </c>
      <c r="O443" t="s">
        <v>1199</v>
      </c>
      <c r="U443" t="s">
        <v>478</v>
      </c>
      <c r="V443" t="str">
        <f>IF(AND(ISNUMBER(#REF!),COUNTIF([1]Songs!$L:$L,#REF!)&gt;0),"YES","")</f>
        <v/>
      </c>
      <c r="W443" t="str">
        <f>IF(AND(ISNUMBER(#REF!),COUNTIF([2]Songs!$J:$J,#REF!)&gt;0),"YES","")</f>
        <v/>
      </c>
      <c r="X443" t="e">
        <f>IF(AND(ISNUMBER(L443),COUNTIF([3]CcliCombined!$D:$D,L443)&gt;0),"YES","")</f>
        <v>#VALUE!</v>
      </c>
      <c r="Y443" t="str">
        <f>IF(AND(ISNUMBER(#REF!),COUNTIF([4]Songs!$H:$H,#REF!)&gt;0),"YES","")</f>
        <v/>
      </c>
      <c r="Z443" t="s">
        <v>521</v>
      </c>
      <c r="AB443">
        <v>10</v>
      </c>
      <c r="AD443" t="str">
        <f t="shared" si="9"/>
        <v xml:space="preserve">Eb </v>
      </c>
    </row>
    <row r="444" spans="1:32" hidden="1" x14ac:dyDescent="0.25">
      <c r="A444">
        <f>INDEX(Albums!$A:$A, MATCH(C444,Albums!$C:$C,0))</f>
        <v>8</v>
      </c>
      <c r="C444" t="s">
        <v>633</v>
      </c>
      <c r="E444" t="s">
        <v>591</v>
      </c>
      <c r="G444" s="28" t="s">
        <v>592</v>
      </c>
      <c r="I444" t="s">
        <v>93</v>
      </c>
      <c r="J444" s="4">
        <v>82</v>
      </c>
      <c r="K444" s="11" t="s">
        <v>371</v>
      </c>
      <c r="L444" s="10">
        <v>7119315</v>
      </c>
      <c r="M444" s="4">
        <v>2018</v>
      </c>
      <c r="N444" t="s">
        <v>434</v>
      </c>
      <c r="U444" t="s">
        <v>478</v>
      </c>
      <c r="V444" t="str">
        <f>IF(AND(ISNUMBER(#REF!),COUNTIF([1]Songs!$L:$L,#REF!)&gt;0),"YES","")</f>
        <v/>
      </c>
      <c r="W444" t="str">
        <f>IF(AND(ISNUMBER(#REF!),COUNTIF([2]Songs!$J:$J,#REF!)&gt;0),"YES","")</f>
        <v/>
      </c>
      <c r="X444" t="e">
        <f>IF(AND(ISNUMBER(L444),COUNTIF([3]CcliCombined!$D:$D,L444)&gt;0),"YES","")</f>
        <v>#VALUE!</v>
      </c>
      <c r="Y444" t="str">
        <f>IF(AND(ISNUMBER(#REF!),COUNTIF([4]Songs!$H:$H,#REF!)&gt;0),"YES","")</f>
        <v/>
      </c>
      <c r="Z444" t="s">
        <v>524</v>
      </c>
      <c r="AB444">
        <v>16</v>
      </c>
      <c r="AD444" t="str">
        <f t="shared" si="9"/>
        <v xml:space="preserve">Db </v>
      </c>
      <c r="AF444" t="s">
        <v>1197</v>
      </c>
    </row>
    <row r="445" spans="1:32" x14ac:dyDescent="0.25">
      <c r="A445">
        <f>INDEX(Albums!$A:$A, MATCH(C445,Albums!$C:$C,0))</f>
        <v>8</v>
      </c>
      <c r="C445" t="s">
        <v>633</v>
      </c>
      <c r="E445" t="s">
        <v>593</v>
      </c>
      <c r="G445" s="28" t="s">
        <v>545</v>
      </c>
      <c r="I445" t="s">
        <v>36</v>
      </c>
      <c r="J445" s="4">
        <v>72</v>
      </c>
      <c r="K445" s="11" t="s">
        <v>371</v>
      </c>
      <c r="L445" s="10">
        <v>426298</v>
      </c>
      <c r="M445" s="4">
        <v>1990</v>
      </c>
      <c r="N445" t="s">
        <v>800</v>
      </c>
      <c r="O445" t="s">
        <v>1199</v>
      </c>
      <c r="U445" t="s">
        <v>478</v>
      </c>
      <c r="V445" t="str">
        <f>IF(AND(ISNUMBER(#REF!),COUNTIF([1]Songs!$L:$L,#REF!)&gt;0),"YES","")</f>
        <v/>
      </c>
      <c r="W445" t="str">
        <f>IF(AND(ISNUMBER(#REF!),COUNTIF([2]Songs!$J:$J,#REF!)&gt;0),"YES","")</f>
        <v/>
      </c>
      <c r="X445" t="e">
        <f>IF(AND(ISNUMBER(L445),COUNTIF([3]CcliCombined!$D:$D,L445)&gt;0),"YES","")</f>
        <v>#VALUE!</v>
      </c>
      <c r="Y445" t="str">
        <f>IF(AND(ISNUMBER(#REF!),COUNTIF([4]Songs!$H:$H,#REF!)&gt;0),"YES","")</f>
        <v/>
      </c>
      <c r="Z445" t="s">
        <v>524</v>
      </c>
      <c r="AB445">
        <v>81</v>
      </c>
      <c r="AD445" t="str">
        <f t="shared" si="9"/>
        <v xml:space="preserve">E </v>
      </c>
    </row>
    <row r="446" spans="1:32" x14ac:dyDescent="0.25">
      <c r="A446">
        <f>INDEX(Albums!$A:$A, MATCH(C446,Albums!$C:$C,0))</f>
        <v>8</v>
      </c>
      <c r="C446" t="s">
        <v>633</v>
      </c>
      <c r="E446" t="s">
        <v>594</v>
      </c>
      <c r="G446" s="28" t="s">
        <v>379</v>
      </c>
      <c r="I446" t="s">
        <v>39</v>
      </c>
      <c r="K446" s="11" t="s">
        <v>1015</v>
      </c>
      <c r="L446" s="10">
        <v>4108797</v>
      </c>
      <c r="M446" s="4">
        <v>2003</v>
      </c>
      <c r="N446" t="s">
        <v>381</v>
      </c>
      <c r="O446" t="s">
        <v>1199</v>
      </c>
      <c r="U446" t="s">
        <v>478</v>
      </c>
      <c r="V446" t="str">
        <f>IF(AND(ISNUMBER(#REF!),COUNTIF([1]Songs!$L:$L,#REF!)&gt;0),"YES","")</f>
        <v/>
      </c>
      <c r="W446" t="str">
        <f>IF(AND(ISNUMBER(#REF!),COUNTIF([2]Songs!$J:$J,#REF!)&gt;0),"YES","")</f>
        <v/>
      </c>
      <c r="X446" t="e">
        <f>IF(AND(ISNUMBER(L446),COUNTIF([3]CcliCombined!$D:$D,L446)&gt;0),"YES","")</f>
        <v>#VALUE!</v>
      </c>
      <c r="Y446" t="str">
        <f>IF(AND(ISNUMBER(#REF!),COUNTIF([4]Songs!$H:$H,#REF!)&gt;0),"YES","")</f>
        <v/>
      </c>
      <c r="Z446" t="s">
        <v>521</v>
      </c>
      <c r="AB446">
        <v>54</v>
      </c>
      <c r="AD446" t="str">
        <f t="shared" si="9"/>
        <v xml:space="preserve">D </v>
      </c>
    </row>
    <row r="447" spans="1:32" x14ac:dyDescent="0.25">
      <c r="A447">
        <f>INDEX(Albums!$A:$A, MATCH(C447,Albums!$C:$C,0))</f>
        <v>8</v>
      </c>
      <c r="C447" t="s">
        <v>633</v>
      </c>
      <c r="E447" t="s">
        <v>595</v>
      </c>
      <c r="G447" s="28" t="s">
        <v>596</v>
      </c>
      <c r="I447" t="s">
        <v>25</v>
      </c>
      <c r="J447" s="4">
        <v>77</v>
      </c>
      <c r="K447" s="11" t="s">
        <v>371</v>
      </c>
      <c r="L447" s="10">
        <v>7129060</v>
      </c>
      <c r="M447" s="4">
        <v>2019</v>
      </c>
      <c r="N447" t="s">
        <v>392</v>
      </c>
      <c r="O447" t="s">
        <v>1199</v>
      </c>
      <c r="U447" t="s">
        <v>478</v>
      </c>
      <c r="V447" t="str">
        <f>IF(AND(ISNUMBER(#REF!),COUNTIF([1]Songs!$L:$L,#REF!)&gt;0),"YES","")</f>
        <v/>
      </c>
      <c r="W447" t="str">
        <f>IF(AND(ISNUMBER(#REF!),COUNTIF([2]Songs!$J:$J,#REF!)&gt;0),"YES","")</f>
        <v/>
      </c>
      <c r="X447" t="e">
        <f>IF(AND(ISNUMBER(L447),COUNTIF([3]CcliCombined!$D:$D,L447)&gt;0),"YES","")</f>
        <v>#VALUE!</v>
      </c>
      <c r="Y447" t="str">
        <f>IF(AND(ISNUMBER(#REF!),COUNTIF([4]Songs!$H:$H,#REF!)&gt;0),"YES","")</f>
        <v/>
      </c>
      <c r="Z447" t="s">
        <v>524</v>
      </c>
      <c r="AB447">
        <v>54</v>
      </c>
      <c r="AD447" t="str">
        <f t="shared" si="9"/>
        <v xml:space="preserve">G </v>
      </c>
    </row>
    <row r="448" spans="1:32" x14ac:dyDescent="0.25">
      <c r="A448">
        <f>INDEX(Albums!$A:$A, MATCH(C448,Albums!$C:$C,0))</f>
        <v>8</v>
      </c>
      <c r="C448" t="s">
        <v>633</v>
      </c>
      <c r="E448" t="s">
        <v>597</v>
      </c>
      <c r="G448" s="28" t="s">
        <v>598</v>
      </c>
      <c r="I448" t="s">
        <v>52</v>
      </c>
      <c r="J448" s="4">
        <v>112</v>
      </c>
      <c r="K448" s="11" t="s">
        <v>371</v>
      </c>
      <c r="L448" s="10">
        <v>30426</v>
      </c>
      <c r="M448" s="4">
        <v>1987</v>
      </c>
      <c r="N448" t="s">
        <v>751</v>
      </c>
      <c r="O448" t="s">
        <v>1199</v>
      </c>
      <c r="U448" t="s">
        <v>478</v>
      </c>
      <c r="V448" t="str">
        <f>IF(AND(ISNUMBER(#REF!),COUNTIF([1]Songs!$L:$L,#REF!)&gt;0),"YES","")</f>
        <v/>
      </c>
      <c r="W448" t="str">
        <f>IF(AND(ISNUMBER(#REF!),COUNTIF([2]Songs!$J:$J,#REF!)&gt;0),"YES","")</f>
        <v/>
      </c>
      <c r="X448" t="e">
        <f>IF(AND(ISNUMBER(L448),COUNTIF([3]CcliCombined!$D:$D,L448)&gt;0),"YES","")</f>
        <v>#VALUE!</v>
      </c>
      <c r="Y448" t="str">
        <f>IF(AND(ISNUMBER(#REF!),COUNTIF([4]Songs!$H:$H,#REF!)&gt;0),"YES","")</f>
        <v/>
      </c>
      <c r="Z448" t="s">
        <v>521</v>
      </c>
      <c r="AB448">
        <v>56</v>
      </c>
      <c r="AD448" t="str">
        <f t="shared" si="9"/>
        <v xml:space="preserve">A </v>
      </c>
    </row>
    <row r="449" spans="1:30" x14ac:dyDescent="0.25">
      <c r="A449">
        <f>INDEX(Albums!$A:$A, MATCH(C449,Albums!$C:$C,0))</f>
        <v>8</v>
      </c>
      <c r="C449" t="s">
        <v>633</v>
      </c>
      <c r="E449" t="s">
        <v>599</v>
      </c>
      <c r="G449" s="28" t="s">
        <v>568</v>
      </c>
      <c r="I449" t="s">
        <v>47</v>
      </c>
      <c r="J449" s="4"/>
      <c r="K449" s="11" t="s">
        <v>371</v>
      </c>
      <c r="L449" s="10">
        <v>4615235</v>
      </c>
      <c r="M449" s="4">
        <v>2005</v>
      </c>
      <c r="N449" t="s">
        <v>381</v>
      </c>
      <c r="O449" t="s">
        <v>1199</v>
      </c>
      <c r="U449" t="s">
        <v>478</v>
      </c>
      <c r="V449" t="str">
        <f>IF(AND(ISNUMBER(#REF!),COUNTIF([1]Songs!$L:$L,#REF!)&gt;0),"YES","")</f>
        <v/>
      </c>
      <c r="W449" t="str">
        <f>IF(AND(ISNUMBER(#REF!),COUNTIF([2]Songs!$J:$J,#REF!)&gt;0),"YES","")</f>
        <v/>
      </c>
      <c r="X449" t="e">
        <f>IF(AND(ISNUMBER(L449),COUNTIF([3]CcliCombined!$D:$D,L449)&gt;0),"YES","")</f>
        <v>#VALUE!</v>
      </c>
      <c r="Y449" t="str">
        <f>IF(AND(ISNUMBER(#REF!),COUNTIF([4]Songs!$H:$H,#REF!)&gt;0),"YES","")</f>
        <v/>
      </c>
      <c r="Z449" t="s">
        <v>524</v>
      </c>
      <c r="AB449">
        <v>97</v>
      </c>
      <c r="AD449" t="str">
        <f t="shared" si="9"/>
        <v xml:space="preserve">C </v>
      </c>
    </row>
    <row r="450" spans="1:30" x14ac:dyDescent="0.25">
      <c r="A450">
        <f>INDEX(Albums!$A:$A, MATCH(C450,Albums!$C:$C,0))</f>
        <v>8</v>
      </c>
      <c r="C450" t="s">
        <v>633</v>
      </c>
      <c r="E450" t="s">
        <v>600</v>
      </c>
      <c r="G450" s="28" t="s">
        <v>601</v>
      </c>
      <c r="I450" t="s">
        <v>31</v>
      </c>
      <c r="J450" s="4"/>
      <c r="K450" s="11" t="s">
        <v>371</v>
      </c>
      <c r="L450" s="10">
        <v>6058450</v>
      </c>
      <c r="M450" s="4">
        <v>2010</v>
      </c>
      <c r="N450" t="s">
        <v>381</v>
      </c>
      <c r="O450" t="s">
        <v>1199</v>
      </c>
      <c r="U450" t="s">
        <v>478</v>
      </c>
      <c r="V450" t="str">
        <f>IF(AND(ISNUMBER(#REF!),COUNTIF([1]Songs!$L:$L,#REF!)&gt;0),"YES","")</f>
        <v/>
      </c>
      <c r="W450" t="str">
        <f>IF(AND(ISNUMBER(#REF!),COUNTIF([2]Songs!$J:$J,#REF!)&gt;0),"YES","")</f>
        <v/>
      </c>
      <c r="X450" t="e">
        <f>IF(AND(ISNUMBER(L450),COUNTIF([3]CcliCombined!$D:$D,L450)&gt;0),"YES","")</f>
        <v>#VALUE!</v>
      </c>
      <c r="Y450" t="str">
        <f>IF(AND(ISNUMBER(#REF!),COUNTIF([4]Songs!$H:$H,#REF!)&gt;0),"YES","")</f>
        <v/>
      </c>
      <c r="Z450" t="s">
        <v>521</v>
      </c>
      <c r="AB450">
        <v>95</v>
      </c>
      <c r="AD450" t="str">
        <f t="shared" si="9"/>
        <v xml:space="preserve">B </v>
      </c>
    </row>
    <row r="451" spans="1:30" x14ac:dyDescent="0.25">
      <c r="A451">
        <f>INDEX(Albums!$A:$A, MATCH(C451,Albums!$C:$C,0))</f>
        <v>8</v>
      </c>
      <c r="C451" t="s">
        <v>633</v>
      </c>
      <c r="E451" t="s">
        <v>627</v>
      </c>
      <c r="F451" t="s">
        <v>628</v>
      </c>
      <c r="G451" s="28" t="s">
        <v>602</v>
      </c>
      <c r="I451" t="s">
        <v>25</v>
      </c>
      <c r="J451" s="4">
        <v>68</v>
      </c>
      <c r="K451" s="11" t="s">
        <v>371</v>
      </c>
      <c r="L451" s="10">
        <v>7098758</v>
      </c>
      <c r="M451" s="4">
        <v>2017</v>
      </c>
      <c r="N451" t="s">
        <v>1016</v>
      </c>
      <c r="O451" t="s">
        <v>1199</v>
      </c>
      <c r="U451" t="s">
        <v>478</v>
      </c>
      <c r="V451" t="str">
        <f>IF(AND(ISNUMBER(#REF!),COUNTIF([1]Songs!$L:$L,#REF!)&gt;0),"YES","")</f>
        <v/>
      </c>
      <c r="W451" t="str">
        <f>IF(AND(ISNUMBER(#REF!),COUNTIF([2]Songs!$J:$J,#REF!)&gt;0),"YES","")</f>
        <v/>
      </c>
      <c r="X451" t="e">
        <f>IF(AND(ISNUMBER(L451),COUNTIF([3]CcliCombined!$D:$D,L451)&gt;0),"YES","")</f>
        <v>#VALUE!</v>
      </c>
      <c r="Y451" t="str">
        <f>IF(AND(ISNUMBER(#REF!),COUNTIF([4]Songs!$H:$H,#REF!)&gt;0),"YES","")</f>
        <v/>
      </c>
      <c r="Z451" t="s">
        <v>524</v>
      </c>
      <c r="AB451">
        <v>79</v>
      </c>
      <c r="AD451" t="str">
        <f t="shared" si="9"/>
        <v xml:space="preserve">G </v>
      </c>
    </row>
    <row r="452" spans="1:30" x14ac:dyDescent="0.25">
      <c r="A452">
        <f>INDEX(Albums!$A:$A, MATCH(C452,Albums!$C:$C,0))</f>
        <v>8</v>
      </c>
      <c r="C452" t="s">
        <v>633</v>
      </c>
      <c r="E452" t="s">
        <v>603</v>
      </c>
      <c r="G452" s="28" t="s">
        <v>604</v>
      </c>
      <c r="I452" t="s">
        <v>39</v>
      </c>
      <c r="J452" s="4"/>
      <c r="K452" s="11" t="s">
        <v>462</v>
      </c>
      <c r="L452" s="10">
        <v>27051</v>
      </c>
      <c r="M452" s="4">
        <v>1962</v>
      </c>
      <c r="N452" t="s">
        <v>1020</v>
      </c>
      <c r="O452" t="s">
        <v>1199</v>
      </c>
      <c r="U452" t="s">
        <v>478</v>
      </c>
      <c r="V452" t="str">
        <f>IF(AND(ISNUMBER(#REF!),COUNTIF([1]Songs!$L:$L,#REF!)&gt;0),"YES","")</f>
        <v/>
      </c>
      <c r="W452" t="str">
        <f>IF(AND(ISNUMBER(#REF!),COUNTIF([2]Songs!$J:$J,#REF!)&gt;0),"YES","")</f>
        <v/>
      </c>
      <c r="X452" t="e">
        <f>IF(AND(ISNUMBER(L452),COUNTIF([3]CcliCombined!$D:$D,L452)&gt;0),"YES","")</f>
        <v>#VALUE!</v>
      </c>
      <c r="Y452" t="str">
        <f>IF(AND(ISNUMBER(#REF!),COUNTIF([4]Songs!$H:$H,#REF!)&gt;0),"YES","")</f>
        <v/>
      </c>
      <c r="Z452" t="s">
        <v>521</v>
      </c>
      <c r="AB452">
        <v>94</v>
      </c>
      <c r="AD452" t="str">
        <f t="shared" si="9"/>
        <v xml:space="preserve">D </v>
      </c>
    </row>
    <row r="453" spans="1:30" x14ac:dyDescent="0.25">
      <c r="A453">
        <f>INDEX(Albums!$A:$A, MATCH(C453,Albums!$C:$C,0))</f>
        <v>8</v>
      </c>
      <c r="C453" t="s">
        <v>633</v>
      </c>
      <c r="E453" t="s">
        <v>605</v>
      </c>
      <c r="G453" s="28" t="s">
        <v>598</v>
      </c>
      <c r="I453" t="s">
        <v>78</v>
      </c>
      <c r="J453" s="4">
        <v>65</v>
      </c>
      <c r="K453" s="11" t="s">
        <v>371</v>
      </c>
      <c r="L453" s="10">
        <v>78897</v>
      </c>
      <c r="M453" s="4">
        <v>1983</v>
      </c>
      <c r="N453" t="s">
        <v>381</v>
      </c>
      <c r="O453" t="s">
        <v>1199</v>
      </c>
      <c r="U453" t="s">
        <v>478</v>
      </c>
      <c r="V453" t="str">
        <f>IF(AND(ISNUMBER(#REF!),COUNTIF([1]Songs!$L:$L,#REF!)&gt;0),"YES","")</f>
        <v/>
      </c>
      <c r="W453" t="str">
        <f>IF(AND(ISNUMBER(#REF!),COUNTIF([2]Songs!$J:$J,#REF!)&gt;0),"YES","")</f>
        <v/>
      </c>
      <c r="X453" t="e">
        <f>IF(AND(ISNUMBER(L453),COUNTIF([3]CcliCombined!$D:$D,L453)&gt;0),"YES","")</f>
        <v>#VALUE!</v>
      </c>
      <c r="Y453" t="str">
        <f>IF(AND(ISNUMBER(#REF!),COUNTIF([4]Songs!$H:$H,#REF!)&gt;0),"YES","")</f>
        <v/>
      </c>
      <c r="Z453" t="s">
        <v>521</v>
      </c>
      <c r="AB453">
        <v>52</v>
      </c>
      <c r="AD453" t="str">
        <f t="shared" si="9"/>
        <v xml:space="preserve">Eb </v>
      </c>
    </row>
    <row r="454" spans="1:30" x14ac:dyDescent="0.25">
      <c r="A454">
        <f>INDEX(Albums!$A:$A, MATCH(C454,Albums!$C:$C,0))</f>
        <v>8</v>
      </c>
      <c r="C454" t="s">
        <v>633</v>
      </c>
      <c r="E454" t="s">
        <v>606</v>
      </c>
      <c r="G454" s="28" t="s">
        <v>607</v>
      </c>
      <c r="I454" t="s">
        <v>36</v>
      </c>
      <c r="J454" s="4"/>
      <c r="K454" s="11" t="s">
        <v>371</v>
      </c>
      <c r="L454" s="10">
        <v>3994672</v>
      </c>
      <c r="M454" s="4">
        <v>2002</v>
      </c>
      <c r="N454" t="s">
        <v>381</v>
      </c>
      <c r="O454" t="s">
        <v>1199</v>
      </c>
      <c r="U454" t="s">
        <v>478</v>
      </c>
      <c r="V454" t="str">
        <f>IF(AND(ISNUMBER(#REF!),COUNTIF([1]Songs!$L:$L,#REF!)&gt;0),"YES","")</f>
        <v/>
      </c>
      <c r="W454" t="str">
        <f>IF(AND(ISNUMBER(#REF!),COUNTIF([2]Songs!$J:$J,#REF!)&gt;0),"YES","")</f>
        <v/>
      </c>
      <c r="X454" t="e">
        <f>IF(AND(ISNUMBER(L454),COUNTIF([3]CcliCombined!$D:$D,L454)&gt;0),"YES","")</f>
        <v>#VALUE!</v>
      </c>
      <c r="Y454" t="str">
        <f>IF(AND(ISNUMBER(#REF!),COUNTIF([4]Songs!$H:$H,#REF!)&gt;0),"YES","")</f>
        <v/>
      </c>
      <c r="Z454" t="s">
        <v>521</v>
      </c>
      <c r="AB454">
        <v>87</v>
      </c>
      <c r="AD454" t="str">
        <f t="shared" si="9"/>
        <v xml:space="preserve">E </v>
      </c>
    </row>
    <row r="455" spans="1:30" x14ac:dyDescent="0.25">
      <c r="A455">
        <f>INDEX(Albums!$A:$A, MATCH(C455,Albums!$C:$C,0))</f>
        <v>8</v>
      </c>
      <c r="C455" t="s">
        <v>633</v>
      </c>
      <c r="E455" t="s">
        <v>608</v>
      </c>
      <c r="G455" s="28" t="s">
        <v>609</v>
      </c>
      <c r="I455" t="s">
        <v>67</v>
      </c>
      <c r="J455" s="4">
        <v>136</v>
      </c>
      <c r="K455" s="11" t="s">
        <v>425</v>
      </c>
      <c r="L455" s="10">
        <v>7123068</v>
      </c>
      <c r="M455" s="4">
        <v>2020</v>
      </c>
      <c r="N455" t="s">
        <v>1017</v>
      </c>
      <c r="O455" t="s">
        <v>1199</v>
      </c>
      <c r="U455" t="s">
        <v>478</v>
      </c>
      <c r="V455" t="str">
        <f>IF(AND(ISNUMBER(#REF!),COUNTIF([1]Songs!$L:$L,#REF!)&gt;0),"YES","")</f>
        <v/>
      </c>
      <c r="W455" t="str">
        <f>IF(AND(ISNUMBER(#REF!),COUNTIF([2]Songs!$J:$J,#REF!)&gt;0),"YES","")</f>
        <v/>
      </c>
      <c r="X455" t="e">
        <f>IF(AND(ISNUMBER(L455),COUNTIF([3]CcliCombined!$D:$D,L455)&gt;0),"YES","")</f>
        <v>#VALUE!</v>
      </c>
      <c r="Y455" t="str">
        <f>IF(AND(ISNUMBER(#REF!),COUNTIF([4]Songs!$H:$H,#REF!)&gt;0),"YES","")</f>
        <v/>
      </c>
      <c r="Z455" t="s">
        <v>535</v>
      </c>
      <c r="AB455">
        <v>92</v>
      </c>
      <c r="AD455" t="str">
        <f t="shared" si="9"/>
        <v xml:space="preserve">Ab </v>
      </c>
    </row>
    <row r="456" spans="1:30" x14ac:dyDescent="0.25">
      <c r="A456">
        <f>INDEX(Albums!$A:$A, MATCH(C456,Albums!$C:$C,0))</f>
        <v>8</v>
      </c>
      <c r="C456" t="s">
        <v>633</v>
      </c>
      <c r="E456" t="s">
        <v>610</v>
      </c>
      <c r="G456" s="28" t="s">
        <v>611</v>
      </c>
      <c r="I456" t="s">
        <v>36</v>
      </c>
      <c r="J456" s="4">
        <v>80</v>
      </c>
      <c r="K456" s="11" t="s">
        <v>371</v>
      </c>
      <c r="L456" s="10">
        <v>5060834</v>
      </c>
      <c r="M456" s="4">
        <v>2008</v>
      </c>
      <c r="N456" t="s">
        <v>372</v>
      </c>
      <c r="O456" t="s">
        <v>1199</v>
      </c>
      <c r="U456" t="s">
        <v>478</v>
      </c>
      <c r="V456" t="str">
        <f>IF(AND(ISNUMBER(#REF!),COUNTIF([1]Songs!$L:$L,#REF!)&gt;0),"YES","")</f>
        <v/>
      </c>
      <c r="W456" t="str">
        <f>IF(AND(ISNUMBER(#REF!),COUNTIF([2]Songs!$J:$J,#REF!)&gt;0),"YES","")</f>
        <v/>
      </c>
      <c r="X456" t="e">
        <f>IF(AND(ISNUMBER(L456),COUNTIF([3]CcliCombined!$D:$D,L456)&gt;0),"YES","")</f>
        <v>#VALUE!</v>
      </c>
      <c r="Y456" t="str">
        <f>IF(AND(ISNUMBER(#REF!),COUNTIF([4]Songs!$H:$H,#REF!)&gt;0),"YES","")</f>
        <v/>
      </c>
      <c r="Z456" t="s">
        <v>521</v>
      </c>
      <c r="AB456">
        <v>64</v>
      </c>
      <c r="AD456" t="str">
        <f t="shared" si="9"/>
        <v xml:space="preserve">E </v>
      </c>
    </row>
    <row r="457" spans="1:30" x14ac:dyDescent="0.25">
      <c r="A457">
        <f>INDEX(Albums!$A:$A, MATCH(C457,Albums!$C:$C,0))</f>
        <v>8</v>
      </c>
      <c r="C457" t="s">
        <v>633</v>
      </c>
      <c r="E457" t="s">
        <v>612</v>
      </c>
      <c r="G457" s="28" t="s">
        <v>1018</v>
      </c>
      <c r="I457" t="s">
        <v>39</v>
      </c>
      <c r="J457" s="4">
        <v>120</v>
      </c>
      <c r="K457" s="11" t="s">
        <v>371</v>
      </c>
      <c r="L457" s="10">
        <v>5200924</v>
      </c>
      <c r="M457" s="4">
        <v>2008</v>
      </c>
      <c r="N457" t="s">
        <v>390</v>
      </c>
      <c r="O457" t="s">
        <v>1199</v>
      </c>
      <c r="U457" t="s">
        <v>478</v>
      </c>
      <c r="V457" t="str">
        <f>IF(AND(ISNUMBER(#REF!),COUNTIF([1]Songs!$L:$L,#REF!)&gt;0),"YES","")</f>
        <v/>
      </c>
      <c r="W457" t="str">
        <f>IF(AND(ISNUMBER(#REF!),COUNTIF([2]Songs!$J:$J,#REF!)&gt;0),"YES","")</f>
        <v/>
      </c>
      <c r="X457" t="e">
        <f>IF(AND(ISNUMBER(L457),COUNTIF([3]CcliCombined!$D:$D,L457)&gt;0),"YES","")</f>
        <v>#VALUE!</v>
      </c>
      <c r="Y457" t="str">
        <f>IF(AND(ISNUMBER(#REF!),COUNTIF([4]Songs!$H:$H,#REF!)&gt;0),"YES","")</f>
        <v/>
      </c>
      <c r="Z457" t="s">
        <v>542</v>
      </c>
      <c r="AB457">
        <v>62</v>
      </c>
      <c r="AD457" t="str">
        <f t="shared" si="9"/>
        <v xml:space="preserve">D </v>
      </c>
    </row>
    <row r="458" spans="1:30" x14ac:dyDescent="0.25">
      <c r="A458">
        <f>INDEX(Albums!$A:$A, MATCH(C458,Albums!$C:$C,0))</f>
        <v>8</v>
      </c>
      <c r="C458" t="s">
        <v>633</v>
      </c>
      <c r="E458" t="s">
        <v>613</v>
      </c>
      <c r="G458" s="28" t="s">
        <v>614</v>
      </c>
      <c r="I458" t="s">
        <v>31</v>
      </c>
      <c r="J458" s="4">
        <v>144</v>
      </c>
      <c r="K458" s="11" t="s">
        <v>371</v>
      </c>
      <c r="L458" s="10">
        <v>7011436</v>
      </c>
      <c r="M458" s="4">
        <v>2014</v>
      </c>
      <c r="N458" t="s">
        <v>1014</v>
      </c>
      <c r="O458" t="s">
        <v>1199</v>
      </c>
      <c r="U458" t="s">
        <v>478</v>
      </c>
      <c r="V458" t="str">
        <f>IF(AND(ISNUMBER(#REF!),COUNTIF([1]Songs!$L:$L,#REF!)&gt;0),"YES","")</f>
        <v/>
      </c>
      <c r="W458" t="str">
        <f>IF(AND(ISNUMBER(#REF!),COUNTIF([2]Songs!$J:$J,#REF!)&gt;0),"YES","")</f>
        <v/>
      </c>
      <c r="X458" t="e">
        <f>IF(AND(ISNUMBER(L458),COUNTIF([3]CcliCombined!$D:$D,L458)&gt;0),"YES","")</f>
        <v>#VALUE!</v>
      </c>
      <c r="Y458" t="str">
        <f>IF(AND(ISNUMBER(#REF!),COUNTIF([4]Songs!$H:$H,#REF!)&gt;0),"YES","")</f>
        <v/>
      </c>
      <c r="Z458" t="s">
        <v>535</v>
      </c>
      <c r="AB458">
        <v>76</v>
      </c>
      <c r="AD458" t="str">
        <f t="shared" si="9"/>
        <v xml:space="preserve">B </v>
      </c>
    </row>
    <row r="459" spans="1:30" x14ac:dyDescent="0.25">
      <c r="A459">
        <f>INDEX(Albums!$A:$A, MATCH(C459,Albums!$C:$C,0))</f>
        <v>8</v>
      </c>
      <c r="C459" t="s">
        <v>633</v>
      </c>
      <c r="E459" t="s">
        <v>615</v>
      </c>
      <c r="G459" s="28" t="s">
        <v>616</v>
      </c>
      <c r="I459" t="s">
        <v>78</v>
      </c>
      <c r="J459" s="4">
        <v>66</v>
      </c>
      <c r="K459" s="11" t="s">
        <v>371</v>
      </c>
      <c r="L459" s="10">
        <v>5925663</v>
      </c>
      <c r="M459" s="4">
        <v>2011</v>
      </c>
      <c r="N459" t="s">
        <v>378</v>
      </c>
      <c r="O459" t="s">
        <v>1199</v>
      </c>
      <c r="U459" t="s">
        <v>478</v>
      </c>
      <c r="V459" t="str">
        <f>IF(AND(ISNUMBER(#REF!),COUNTIF([1]Songs!$L:$L,#REF!)&gt;0),"YES","")</f>
        <v/>
      </c>
      <c r="W459" t="str">
        <f>IF(AND(ISNUMBER(#REF!),COUNTIF([2]Songs!$J:$J,#REF!)&gt;0),"YES","")</f>
        <v/>
      </c>
      <c r="X459" t="e">
        <f>IF(AND(ISNUMBER(L459),COUNTIF([3]CcliCombined!$D:$D,L459)&gt;0),"YES","")</f>
        <v>#VALUE!</v>
      </c>
      <c r="Y459" t="str">
        <f>IF(AND(ISNUMBER(#REF!),COUNTIF([4]Songs!$H:$H,#REF!)&gt;0),"YES","")</f>
        <v/>
      </c>
      <c r="Z459" t="s">
        <v>521</v>
      </c>
      <c r="AB459">
        <v>88</v>
      </c>
      <c r="AD459" t="str">
        <f t="shared" si="9"/>
        <v xml:space="preserve">Eb </v>
      </c>
    </row>
    <row r="460" spans="1:30" x14ac:dyDescent="0.25">
      <c r="A460">
        <f>INDEX(Albums!$A:$A, MATCH(C460,Albums!$C:$C,0))</f>
        <v>8</v>
      </c>
      <c r="C460" t="s">
        <v>633</v>
      </c>
      <c r="E460" t="s">
        <v>617</v>
      </c>
      <c r="G460" s="28" t="s">
        <v>618</v>
      </c>
      <c r="I460" t="s">
        <v>52</v>
      </c>
      <c r="J460" s="4">
        <v>85</v>
      </c>
      <c r="K460" s="11" t="s">
        <v>371</v>
      </c>
      <c r="L460" s="10">
        <v>7130961</v>
      </c>
      <c r="M460" s="4">
        <v>2019</v>
      </c>
      <c r="N460" t="s">
        <v>444</v>
      </c>
      <c r="O460" t="s">
        <v>1199</v>
      </c>
      <c r="U460" t="s">
        <v>478</v>
      </c>
      <c r="V460" t="str">
        <f>IF(AND(ISNUMBER(#REF!),COUNTIF([1]Songs!$L:$L,#REF!)&gt;0),"YES","")</f>
        <v/>
      </c>
      <c r="W460" t="str">
        <f>IF(AND(ISNUMBER(#REF!),COUNTIF([2]Songs!$J:$J,#REF!)&gt;0),"YES","")</f>
        <v/>
      </c>
      <c r="X460" t="e">
        <f>IF(AND(ISNUMBER(L460),COUNTIF([3]CcliCombined!$D:$D,L460)&gt;0),"YES","")</f>
        <v>#VALUE!</v>
      </c>
      <c r="Y460" t="str">
        <f>IF(AND(ISNUMBER(#REF!),COUNTIF([4]Songs!$H:$H,#REF!)&gt;0),"YES","")</f>
        <v/>
      </c>
      <c r="Z460" t="s">
        <v>524</v>
      </c>
      <c r="AB460">
        <v>58</v>
      </c>
      <c r="AD460" t="str">
        <f t="shared" si="9"/>
        <v xml:space="preserve">A </v>
      </c>
    </row>
    <row r="461" spans="1:30" x14ac:dyDescent="0.25">
      <c r="A461">
        <f>INDEX(Albums!$A:$A, MATCH(C461,Albums!$C:$C,0))</f>
        <v>8</v>
      </c>
      <c r="C461" t="s">
        <v>633</v>
      </c>
      <c r="E461" t="s">
        <v>619</v>
      </c>
      <c r="G461" s="28" t="s">
        <v>620</v>
      </c>
      <c r="I461" t="s">
        <v>25</v>
      </c>
      <c r="J461" s="4">
        <v>122</v>
      </c>
      <c r="K461" s="11" t="s">
        <v>371</v>
      </c>
      <c r="L461" s="10">
        <v>7111932</v>
      </c>
      <c r="M461" s="4">
        <v>2018</v>
      </c>
      <c r="N461" t="s">
        <v>432</v>
      </c>
      <c r="O461" t="s">
        <v>1199</v>
      </c>
      <c r="U461" t="s">
        <v>478</v>
      </c>
      <c r="V461" t="str">
        <f>IF(AND(ISNUMBER(#REF!),COUNTIF([1]Songs!$L:$L,#REF!)&gt;0),"YES","")</f>
        <v/>
      </c>
      <c r="W461" t="str">
        <f>IF(AND(ISNUMBER(#REF!),COUNTIF([2]Songs!$J:$J,#REF!)&gt;0),"YES","")</f>
        <v/>
      </c>
      <c r="X461" t="e">
        <f>IF(AND(ISNUMBER(L461),COUNTIF([3]CcliCombined!$D:$D,L461)&gt;0),"YES","")</f>
        <v>#VALUE!</v>
      </c>
      <c r="Y461" t="str">
        <f>IF(AND(ISNUMBER(#REF!),COUNTIF([4]Songs!$H:$H,#REF!)&gt;0),"YES","")</f>
        <v/>
      </c>
      <c r="Z461" t="s">
        <v>535</v>
      </c>
      <c r="AB461">
        <v>70</v>
      </c>
      <c r="AD461" t="str">
        <f t="shared" si="9"/>
        <v xml:space="preserve">G </v>
      </c>
    </row>
    <row r="462" spans="1:30" x14ac:dyDescent="0.25">
      <c r="A462">
        <f>INDEX(Albums!$A:$A, MATCH(C462,Albums!$C:$C,0))</f>
        <v>8</v>
      </c>
      <c r="C462" t="s">
        <v>633</v>
      </c>
      <c r="E462" t="s">
        <v>621</v>
      </c>
      <c r="G462" s="28" t="s">
        <v>393</v>
      </c>
      <c r="I462" t="s">
        <v>52</v>
      </c>
      <c r="J462" s="4">
        <v>76</v>
      </c>
      <c r="K462" s="11" t="s">
        <v>371</v>
      </c>
      <c r="L462" s="10">
        <v>3217555</v>
      </c>
      <c r="M462" s="4">
        <v>2000</v>
      </c>
      <c r="N462" t="s">
        <v>394</v>
      </c>
      <c r="O462" t="s">
        <v>1199</v>
      </c>
      <c r="U462" t="s">
        <v>478</v>
      </c>
      <c r="V462" t="str">
        <f>IF(AND(ISNUMBER(#REF!),COUNTIF([1]Songs!$L:$L,#REF!)&gt;0),"YES","")</f>
        <v/>
      </c>
      <c r="W462" t="str">
        <f>IF(AND(ISNUMBER(#REF!),COUNTIF([2]Songs!$J:$J,#REF!)&gt;0),"YES","")</f>
        <v/>
      </c>
      <c r="X462" t="e">
        <f>IF(AND(ISNUMBER(L462),COUNTIF([3]CcliCombined!$D:$D,L462)&gt;0),"YES","")</f>
        <v>#VALUE!</v>
      </c>
      <c r="Y462" t="str">
        <f>IF(AND(ISNUMBER(#REF!),COUNTIF([4]Songs!$H:$H,#REF!)&gt;0),"YES","")</f>
        <v/>
      </c>
      <c r="Z462" t="s">
        <v>542</v>
      </c>
      <c r="AB462">
        <v>81</v>
      </c>
      <c r="AD462" t="str">
        <f t="shared" si="9"/>
        <v xml:space="preserve">A </v>
      </c>
    </row>
    <row r="463" spans="1:30" x14ac:dyDescent="0.25">
      <c r="A463">
        <f>INDEX(Albums!$A:$A, MATCH(C463,Albums!$C:$C,0))</f>
        <v>8</v>
      </c>
      <c r="C463" t="s">
        <v>633</v>
      </c>
      <c r="E463" t="s">
        <v>622</v>
      </c>
      <c r="G463" s="28" t="s">
        <v>382</v>
      </c>
      <c r="I463" t="s">
        <v>31</v>
      </c>
      <c r="J463" s="4">
        <v>69</v>
      </c>
      <c r="K463" s="11" t="s">
        <v>371</v>
      </c>
      <c r="L463" s="10">
        <v>5376377</v>
      </c>
      <c r="M463" s="4">
        <v>2008</v>
      </c>
      <c r="N463" t="s">
        <v>383</v>
      </c>
      <c r="O463" t="s">
        <v>1199</v>
      </c>
      <c r="U463" t="s">
        <v>478</v>
      </c>
      <c r="V463" t="str">
        <f>IF(AND(ISNUMBER(#REF!),COUNTIF([1]Songs!$L:$L,#REF!)&gt;0),"YES","")</f>
        <v/>
      </c>
      <c r="W463" t="str">
        <f>IF(AND(ISNUMBER(#REF!),COUNTIF([2]Songs!$J:$J,#REF!)&gt;0),"YES","")</f>
        <v/>
      </c>
      <c r="X463" t="e">
        <f>IF(AND(ISNUMBER(L463),COUNTIF([3]CcliCombined!$D:$D,L463)&gt;0),"YES","")</f>
        <v>#VALUE!</v>
      </c>
      <c r="Y463" t="str">
        <f>IF(AND(ISNUMBER(#REF!),COUNTIF([4]Songs!$H:$H,#REF!)&gt;0),"YES","")</f>
        <v/>
      </c>
      <c r="Z463" t="s">
        <v>521</v>
      </c>
      <c r="AB463">
        <v>67</v>
      </c>
      <c r="AD463" t="str">
        <f t="shared" si="9"/>
        <v xml:space="preserve">B </v>
      </c>
    </row>
    <row r="464" spans="1:30" x14ac:dyDescent="0.25">
      <c r="A464">
        <f>INDEX(Albums!$A:$A, MATCH(C464,Albums!$C:$C,0))</f>
        <v>8</v>
      </c>
      <c r="C464" t="s">
        <v>633</v>
      </c>
      <c r="E464" t="s">
        <v>623</v>
      </c>
      <c r="G464" s="28" t="s">
        <v>1019</v>
      </c>
      <c r="I464" t="s">
        <v>25</v>
      </c>
      <c r="J464" s="4">
        <v>129</v>
      </c>
      <c r="K464" s="11" t="s">
        <v>371</v>
      </c>
      <c r="L464" s="10">
        <v>3383788</v>
      </c>
      <c r="M464" s="4">
        <v>2001</v>
      </c>
      <c r="N464" t="s">
        <v>403</v>
      </c>
      <c r="O464" t="s">
        <v>1199</v>
      </c>
      <c r="U464" t="s">
        <v>478</v>
      </c>
      <c r="V464" t="str">
        <f>IF(AND(ISNUMBER(#REF!),COUNTIF([1]Songs!$L:$L,#REF!)&gt;0),"YES","")</f>
        <v/>
      </c>
      <c r="W464" t="str">
        <f>IF(AND(ISNUMBER(#REF!),COUNTIF([2]Songs!$J:$J,#REF!)&gt;0),"YES","")</f>
        <v/>
      </c>
      <c r="X464" t="e">
        <f>IF(AND(ISNUMBER(L464),COUNTIF([3]CcliCombined!$D:$D,L464)&gt;0),"YES","")</f>
        <v>#VALUE!</v>
      </c>
      <c r="Y464" t="str">
        <f>IF(AND(ISNUMBER(#REF!),COUNTIF([4]Songs!$H:$H,#REF!)&gt;0),"YES","")</f>
        <v/>
      </c>
      <c r="Z464" t="s">
        <v>542</v>
      </c>
      <c r="AB464">
        <v>33</v>
      </c>
      <c r="AD464" t="str">
        <f t="shared" si="9"/>
        <v xml:space="preserve">G </v>
      </c>
    </row>
  </sheetData>
  <autoFilter ref="A1:AF464" xr:uid="{19A334CB-2D81-461F-9750-271C1E81EF92}">
    <filterColumn colId="31">
      <filters blank="1"/>
    </filterColumn>
  </autoFilter>
  <sortState xmlns:xlrd2="http://schemas.microsoft.com/office/spreadsheetml/2017/richdata2" ref="A2:AD464">
    <sortCondition ref="L2:L464"/>
  </sortState>
  <phoneticPr fontId="6" type="noConversion"/>
  <conditionalFormatting sqref="L1:L1048576">
    <cfRule type="duplicateValues" dxfId="1" priority="57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2021-01-05T04:15:38Z</dcterms:created>
  <dcterms:modified xsi:type="dcterms:W3CDTF">2021-01-24T06:04:07Z</dcterms:modified>
</cp:coreProperties>
</file>