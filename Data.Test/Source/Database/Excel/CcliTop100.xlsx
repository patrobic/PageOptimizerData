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liTop100\"/>
    </mc:Choice>
  </mc:AlternateContent>
  <xr:revisionPtr revIDLastSave="0" documentId="13_ncr:1_{23811ECA-5973-4357-8335-BB63278E4E93}" xr6:coauthVersionLast="46" xr6:coauthVersionMax="46" xr10:uidLastSave="{00000000-0000-0000-0000-000000000000}"/>
  <bookViews>
    <workbookView xWindow="3990" yWindow="2535" windowWidth="21600" windowHeight="11505" firstSheet="6" activeTab="9" xr2:uid="{8764540B-17CA-4663-B848-BB803B99CCC3}"/>
  </bookViews>
  <sheets>
    <sheet name="CcliCombined" sheetId="5" r:id="rId1"/>
    <sheet name="CcliTop100Canada" sheetId="1" r:id="rId2"/>
    <sheet name="CcliTop100Usa" sheetId="2" r:id="rId3"/>
    <sheet name="CcliTop100Uk" sheetId="3" r:id="rId4"/>
    <sheet name="PraiseChartsTop100AllTime" sheetId="4" r:id="rId5"/>
    <sheet name="MultiTracksTop120" sheetId="6" r:id="rId6"/>
    <sheet name="MultiTracksTop120Global" sheetId="7" r:id="rId7"/>
    <sheet name="Top100HymnsBBC" sheetId="8" r:id="rId8"/>
    <sheet name="Top100HymnsPopularHymns" sheetId="9" r:id="rId9"/>
    <sheet name="Top100HymnsJWPepper" sheetId="10" r:id="rId10"/>
    <sheet name="Top100HymnsLifewayWorship" sheetId="11" r:id="rId11"/>
  </sheets>
  <externalReferences>
    <externalReference r:id="rId12"/>
    <externalReference r:id="rId13"/>
  </externalReferences>
  <definedNames>
    <definedName name="_xlnm._FilterDatabase" localSheetId="0" hidden="1">CcliCombined!$A$1:$H$196</definedName>
    <definedName name="_xlnm._FilterDatabase" localSheetId="1" hidden="1">CcliTop100Canada!$A$1:$J$102</definedName>
    <definedName name="_xlnm._FilterDatabase" localSheetId="3" hidden="1">CcliTop100Uk!$A$1:$H$102</definedName>
    <definedName name="_xlnm._FilterDatabase" localSheetId="2" hidden="1">CcliTop100Usa!$A$1:$G$102</definedName>
    <definedName name="_xlnm._FilterDatabase" localSheetId="5" hidden="1">MultiTracksTop120!$A$1:$F$121</definedName>
    <definedName name="_xlnm._FilterDatabase" localSheetId="6" hidden="1">MultiTracksTop120Global!$A$1:$F$121</definedName>
    <definedName name="_xlnm._FilterDatabase" localSheetId="4" hidden="1">PraiseChartsTop100AllTime!$A$1:$H$100</definedName>
    <definedName name="_xlnm._FilterDatabase" localSheetId="7" hidden="1">Top100HymnsBBC!$A$1:$B$101</definedName>
    <definedName name="_xlnm._FilterDatabase" localSheetId="9" hidden="1">Top100HymnsJWPepper!$A$1:$B$101</definedName>
    <definedName name="_xlnm._FilterDatabase" localSheetId="10" hidden="1">Top100HymnsLifewayWorship!$A$1:$B$101</definedName>
    <definedName name="_xlnm._FilterDatabase" localSheetId="8" hidden="1">Top100HymnsPopularHymns!$A$1:$B$101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6" i="5" l="1"/>
  <c r="H195" i="5"/>
  <c r="H192" i="5"/>
  <c r="H189" i="5"/>
  <c r="H188" i="5"/>
  <c r="H186" i="5"/>
  <c r="H185" i="5"/>
  <c r="H184" i="5"/>
  <c r="H183" i="5"/>
  <c r="H179" i="5"/>
  <c r="H176" i="5"/>
  <c r="H173" i="5"/>
  <c r="H171" i="5"/>
  <c r="H170" i="5"/>
  <c r="H168" i="5"/>
  <c r="H167" i="5"/>
  <c r="H166" i="5"/>
  <c r="H164" i="5"/>
  <c r="H161" i="5"/>
  <c r="H155" i="5"/>
  <c r="H154" i="5"/>
  <c r="H153" i="5"/>
  <c r="H151" i="5"/>
  <c r="H150" i="5"/>
  <c r="H149" i="5"/>
  <c r="H146" i="5"/>
  <c r="H145" i="5"/>
  <c r="H144" i="5"/>
  <c r="H142" i="5"/>
  <c r="H140" i="5"/>
  <c r="H138" i="5"/>
  <c r="H137" i="5"/>
  <c r="H136" i="5"/>
  <c r="H134" i="5"/>
  <c r="H132" i="5"/>
  <c r="H131" i="5"/>
  <c r="H127" i="5"/>
  <c r="H123" i="5"/>
  <c r="H121" i="5"/>
  <c r="H119" i="5"/>
  <c r="H116" i="5"/>
  <c r="H115" i="5"/>
  <c r="H111" i="5"/>
  <c r="H107" i="5"/>
  <c r="H105" i="5"/>
  <c r="H104" i="5"/>
  <c r="H102" i="5"/>
  <c r="H100" i="5"/>
  <c r="H98" i="5"/>
  <c r="H94" i="5"/>
  <c r="H92" i="5"/>
  <c r="H91" i="5"/>
  <c r="H89" i="5"/>
  <c r="H82" i="5"/>
  <c r="H81" i="5"/>
  <c r="H80" i="5"/>
  <c r="H79" i="5"/>
  <c r="H78" i="5"/>
  <c r="H77" i="5"/>
  <c r="H76" i="5"/>
  <c r="H72" i="5"/>
  <c r="H71" i="5"/>
  <c r="H70" i="5"/>
  <c r="H69" i="5"/>
  <c r="H68" i="5"/>
  <c r="H67" i="5"/>
  <c r="H66" i="5"/>
  <c r="H64" i="5"/>
  <c r="H62" i="5"/>
  <c r="H60" i="5"/>
  <c r="H59" i="5"/>
  <c r="H58" i="5"/>
  <c r="H56" i="5"/>
  <c r="H55" i="5"/>
  <c r="H54" i="5"/>
  <c r="H53" i="5"/>
  <c r="H52" i="5"/>
  <c r="H51" i="5"/>
  <c r="H50" i="5"/>
  <c r="H46" i="5"/>
  <c r="H43" i="5"/>
  <c r="H34" i="5"/>
  <c r="H33" i="5"/>
  <c r="H32" i="5"/>
  <c r="H30" i="5"/>
  <c r="H29" i="5"/>
  <c r="H27" i="5"/>
  <c r="H26" i="5"/>
  <c r="H25" i="5"/>
  <c r="H19" i="5"/>
  <c r="H17" i="5"/>
  <c r="H16" i="5"/>
  <c r="H15" i="5"/>
  <c r="H14" i="5"/>
  <c r="H13" i="5"/>
  <c r="H12" i="5"/>
  <c r="H6" i="5"/>
  <c r="H4" i="5"/>
  <c r="H3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2" i="4"/>
  <c r="G10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  <c r="H10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E1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H102" i="1" l="1"/>
  <c r="G102" i="1"/>
  <c r="J102" i="1"/>
  <c r="G102" i="3"/>
  <c r="I102" i="1"/>
  <c r="G102" i="2"/>
</calcChain>
</file>

<file path=xl/sharedStrings.xml><?xml version="1.0" encoding="utf-8"?>
<sst xmlns="http://schemas.openxmlformats.org/spreadsheetml/2006/main" count="2977" uniqueCount="888">
  <si>
    <t>Way Maker</t>
  </si>
  <si>
    <t>Osinachi Kalu Okoro Egbu</t>
  </si>
  <si>
    <t>Living Hope</t>
  </si>
  <si>
    <t>Brian Johnson, Phil Wickham</t>
  </si>
  <si>
    <t>Build My Life</t>
  </si>
  <si>
    <t>Brett Younker, Karl Martin, Kirby Kaple, Matt Redman, Pat Barrett</t>
  </si>
  <si>
    <t>What A Beautiful Name</t>
  </si>
  <si>
    <t>Ben Fielding, Brooke Ligertwood</t>
  </si>
  <si>
    <t>10,000 Reasons (Bless The Lord)</t>
  </si>
  <si>
    <t>Jonas Myrin, Matt Redman</t>
  </si>
  <si>
    <t>Who You Say I Am</t>
  </si>
  <si>
    <t>Ben Fielding, Reuben Morgan</t>
  </si>
  <si>
    <t>Great Are You Lord</t>
  </si>
  <si>
    <t>David Leonard, Jason Ingram, Leslie Jordan</t>
  </si>
  <si>
    <t>This Is Amazing Grace</t>
  </si>
  <si>
    <t>Jeremy Riddle, Josh Farro, Phil Wickham</t>
  </si>
  <si>
    <t>Lord I Need You</t>
  </si>
  <si>
    <t>Christy Nockels, Daniel Carson, Jesse Reeves, Kristian Stanfill, Matt Maher</t>
  </si>
  <si>
    <t>Goodness Of God</t>
  </si>
  <si>
    <t>Ben Fielding, Brian Johnson, Ed Cash, Jason Ingram, Jenn Johnson</t>
  </si>
  <si>
    <t>Cornerstone</t>
  </si>
  <si>
    <t>Edward Mote, Eric Liljero, Jonas Myrin, Reuben Morgan, William Batchelder Bradbury</t>
  </si>
  <si>
    <t>Good Good Father</t>
  </si>
  <si>
    <t>Anthony Brown, Pat Barrett</t>
  </si>
  <si>
    <t>In Christ Alone</t>
  </si>
  <si>
    <t>Keith Getty, Stuart Townend</t>
  </si>
  <si>
    <t>King Of Kings</t>
  </si>
  <si>
    <t>Brooke Ligertwood, Jason Ingram, Scott Ligertwood</t>
  </si>
  <si>
    <t>How Great Is Our God</t>
  </si>
  <si>
    <t>Chris Tomlin, Ed Cash, Jesse Reeves</t>
  </si>
  <si>
    <t>Raise A Hallelujah</t>
  </si>
  <si>
    <t>Jake Stevens, Jonathan David Helser, Melissa Helser, Molly Skaggs</t>
  </si>
  <si>
    <t>Hosanna (Praise Is Rising)</t>
  </si>
  <si>
    <t>Brenton Brown, Paul Baloche</t>
  </si>
  <si>
    <t>O Praise The Name (Anástasis)</t>
  </si>
  <si>
    <t>Benjamin Hastings, Dean Ussher, Marty Sampson</t>
  </si>
  <si>
    <t>Blessed Be Your Name</t>
  </si>
  <si>
    <t>Beth Redman, Matt Redman</t>
  </si>
  <si>
    <t>The Blessing</t>
  </si>
  <si>
    <t>Chris Brown, Cody Carnes, Kari Jobe, Steven Furtick</t>
  </si>
  <si>
    <t>How Deep The Father's Love For Us</t>
  </si>
  <si>
    <t>Stuart Townend</t>
  </si>
  <si>
    <t>No Longer Slaves</t>
  </si>
  <si>
    <t>Brian Johnson, Joel Case, Jonathan David Helser</t>
  </si>
  <si>
    <t>Glorious Day</t>
  </si>
  <si>
    <t>Jason Ingram, Jonathan Smith, Kristian Stanfill, Sean Curran</t>
  </si>
  <si>
    <t>Amazing Grace (My Chains Are Gone)</t>
  </si>
  <si>
    <t>Chris Tomlin, John Newton, Louie Giglio</t>
  </si>
  <si>
    <t>Holy Spirit</t>
  </si>
  <si>
    <t>Bryan Torwalt, Katie Torwalt</t>
  </si>
  <si>
    <t>The Lion And The Lamb</t>
  </si>
  <si>
    <t>Brenton Brown, Brian Johnson, Leeland Mooring</t>
  </si>
  <si>
    <t>Mighty To Save</t>
  </si>
  <si>
    <t>Great Things</t>
  </si>
  <si>
    <t>Jonas Myrin, Phil Wickham</t>
  </si>
  <si>
    <t>King Of My Heart</t>
  </si>
  <si>
    <t>John Mark McMillan, Sarah McMillan</t>
  </si>
  <si>
    <t>Yet Not I But Through Christ In Me</t>
  </si>
  <si>
    <t>Jonny Robinson, Michael Farren, Rich Thompson</t>
  </si>
  <si>
    <t>O Come To The Altar</t>
  </si>
  <si>
    <t>Chris Brown, Mack Brock, Steven Furtick, Wade Joye</t>
  </si>
  <si>
    <t>Here I Am To Worship</t>
  </si>
  <si>
    <t>Tim Hughes</t>
  </si>
  <si>
    <t>Revelation Song</t>
  </si>
  <si>
    <t>Jennie Lee Riddle</t>
  </si>
  <si>
    <t>Yes I Will</t>
  </si>
  <si>
    <t>Eddie Hoagland, Jonathan Smith, Mia Fieldes</t>
  </si>
  <si>
    <t>Reckless Love</t>
  </si>
  <si>
    <t>Caleb Culver, Cory Asbury, Ran Jackson</t>
  </si>
  <si>
    <t>How Great Thou Art</t>
  </si>
  <si>
    <t>Stuart Wesley Keene Hine</t>
  </si>
  <si>
    <t>Our God</t>
  </si>
  <si>
    <t>Chris Tomlin, Jesse Reeves, Jonas Myrin, Matt Redman</t>
  </si>
  <si>
    <t>Everlasting God</t>
  </si>
  <si>
    <t>Brenton Brown, Ken Riley</t>
  </si>
  <si>
    <t>Forever</t>
  </si>
  <si>
    <t>Chris Tomlin</t>
  </si>
  <si>
    <t>Open The Eyes Of My Heart</t>
  </si>
  <si>
    <t>Paul Baloche</t>
  </si>
  <si>
    <t>This I Believe (The Creed)</t>
  </si>
  <si>
    <t>Ben Fielding, Matt Crocker</t>
  </si>
  <si>
    <t>Jesus Messiah</t>
  </si>
  <si>
    <t>Chris Tomlin, Daniel Carson, Ed Cash, Jesse Reeves</t>
  </si>
  <si>
    <t>His Mercy Is More</t>
  </si>
  <si>
    <t>Matt Boswell, Matt Papa</t>
  </si>
  <si>
    <t>Because He Lives</t>
  </si>
  <si>
    <t>Gloria Gaither, William J. Gaither</t>
  </si>
  <si>
    <t>My Lighthouse</t>
  </si>
  <si>
    <t>Chris Llewellyn, Gareth Gilkeson</t>
  </si>
  <si>
    <t>Build Your Kingdom Here</t>
  </si>
  <si>
    <t>Chris Llewellyn, Gareth Gilkeson, William Herron</t>
  </si>
  <si>
    <t>Do It Again</t>
  </si>
  <si>
    <t>Chris Brown, Mack Brock, Matt Redman, Steven Furtick</t>
  </si>
  <si>
    <t>Graves Into Gardens</t>
  </si>
  <si>
    <t>Brandon Lake, Chris Brown, Steven Furtick, Tiffany Hammer</t>
  </si>
  <si>
    <t>There Is A Redeemer</t>
  </si>
  <si>
    <t>Melody Green</t>
  </si>
  <si>
    <t>Come Now Is The Time To Worship</t>
  </si>
  <si>
    <t>Brian Doerksen</t>
  </si>
  <si>
    <t>Your Grace Is Enough</t>
  </si>
  <si>
    <t>Matt Maher</t>
  </si>
  <si>
    <t>Christ Is Enough</t>
  </si>
  <si>
    <t>Oceans (Where Feet May Fail)</t>
  </si>
  <si>
    <t>Joel Houston, Matt Crocker, Salomon Ligthelm</t>
  </si>
  <si>
    <t>See A Victory</t>
  </si>
  <si>
    <t>Ben Fielding, Chris Brown, Jason Ingram, Steven Furtick</t>
  </si>
  <si>
    <t>Is He Worthy</t>
  </si>
  <si>
    <t>Andrew Peterson, Ben Shive</t>
  </si>
  <si>
    <t>Shout To The Lord</t>
  </si>
  <si>
    <t>Darlene Zschech</t>
  </si>
  <si>
    <t>Hosanna</t>
  </si>
  <si>
    <t>Brooke Ligertwood</t>
  </si>
  <si>
    <t>We Praise You</t>
  </si>
  <si>
    <t>Brandon Lake, Brian Johnson, Matt Redman, Phil Wickham</t>
  </si>
  <si>
    <t>You Are My All In All</t>
  </si>
  <si>
    <t>Death Was Arrested</t>
  </si>
  <si>
    <t>Adam Kersh, Brandon Coker, Heath Balltzglier, Paul Taylor Smith</t>
  </si>
  <si>
    <t>Only A Holy God</t>
  </si>
  <si>
    <t>The Heart Of Worship</t>
  </si>
  <si>
    <t>Matt Redman</t>
  </si>
  <si>
    <t>Open Up The Heavens</t>
  </si>
  <si>
    <t>Andi Rozier, James Macdonald, Jason Ingram, Meredith Andrews, Stuart Garrard</t>
  </si>
  <si>
    <t>King Of Heaven</t>
  </si>
  <si>
    <t>Man Of Sorrows</t>
  </si>
  <si>
    <t>Brooke Ligertwood, Matt Crocker</t>
  </si>
  <si>
    <t>God I Look To You</t>
  </si>
  <si>
    <t>Ian McIntosh, Jenn Johnson</t>
  </si>
  <si>
    <t>God You're So Good</t>
  </si>
  <si>
    <t>Brett Younker, Brooke Ligertwood, Kristian Stanfill, Scott Ligertwood</t>
  </si>
  <si>
    <t>Faithful One</t>
  </si>
  <si>
    <t>Your Love Awakens Me</t>
  </si>
  <si>
    <t>Chris Quilala, Phil Wickham</t>
  </si>
  <si>
    <t>You Are My King (Amazing Love)</t>
  </si>
  <si>
    <t>Billy J. Foote</t>
  </si>
  <si>
    <t>Days Of Elijah</t>
  </si>
  <si>
    <t>Robin Mark</t>
  </si>
  <si>
    <t>Jesus We Love You</t>
  </si>
  <si>
    <t>Resurrecting</t>
  </si>
  <si>
    <t>Chris Brown, Mack Brock, Matthews Ntlele, Steven Furtick, Wade Joye</t>
  </si>
  <si>
    <t>Yes And Amen</t>
  </si>
  <si>
    <t>Chris McClarney, Nate Moore, Tony Brown</t>
  </si>
  <si>
    <t>Forever (We Sing Hallelujah)</t>
  </si>
  <si>
    <t>Brian Johnson, Christa Black Gifford, Gabriel Wilson, Jenn Johnson, Joel Taylor, Kari Jobe</t>
  </si>
  <si>
    <t>Your Name</t>
  </si>
  <si>
    <t>Agnus Dei</t>
  </si>
  <si>
    <t>Surrounded (Fight My Battles)</t>
  </si>
  <si>
    <t>Elyssa Smith</t>
  </si>
  <si>
    <t>The Lord Is My Salvation</t>
  </si>
  <si>
    <t>Refiner's Fire</t>
  </si>
  <si>
    <t>Lord I Lift Your Name On High</t>
  </si>
  <si>
    <t>Rick Founds</t>
  </si>
  <si>
    <t>Hope Of The Nations</t>
  </si>
  <si>
    <t>Come As You Are</t>
  </si>
  <si>
    <t>He Will Hold Me Fast</t>
  </si>
  <si>
    <t>Ada Ruth Habershon, Matthew Merker</t>
  </si>
  <si>
    <t>One Thing Remains (Your Love Never Fails)</t>
  </si>
  <si>
    <t>Brian Johnson, Christa Black Gifford, Jeremy Riddle</t>
  </si>
  <si>
    <t>The Stand</t>
  </si>
  <si>
    <t>Joel Houston</t>
  </si>
  <si>
    <t>It Is Well</t>
  </si>
  <si>
    <t>Horatio Gates Spafford, Kristene DiMarco, Philip Paul Bliss</t>
  </si>
  <si>
    <t>At The Cross (Love Ran Red)</t>
  </si>
  <si>
    <t>Chris Tomlin, Ed Cash, Jonas Myrin, Matt Armstrong, Matt Redman</t>
  </si>
  <si>
    <t>Be Unto Your Name</t>
  </si>
  <si>
    <t>Before The Throne Of God Above</t>
  </si>
  <si>
    <t>Charitie Lees Bancroft, Vikki Cook</t>
  </si>
  <si>
    <t>Glorious Day (Living He Loved Me)</t>
  </si>
  <si>
    <t>John Wilbur Chapman, Mark Hall, Michael Bleecker</t>
  </si>
  <si>
    <t>Here For You</t>
  </si>
  <si>
    <t>Jesse Reeves, Matt Maher, Matt Redman, Tim Wanstall</t>
  </si>
  <si>
    <t>Whom Shall I Fear God Of Angel Armies</t>
  </si>
  <si>
    <t>All Who Are Thirsty</t>
  </si>
  <si>
    <t>I Stand Amazed (How Marvelous)</t>
  </si>
  <si>
    <t>Charles Hutchinson Gabriel, Chris Tomlin</t>
  </si>
  <si>
    <t>Speak O Lord</t>
  </si>
  <si>
    <t>Tremble</t>
  </si>
  <si>
    <t>Andres Figueroa, Hank Bentley, Mariah McManus, Mia Fieldes</t>
  </si>
  <si>
    <t>Here Again</t>
  </si>
  <si>
    <t>Amy Corbett, Chris Brown, Steven Furtick</t>
  </si>
  <si>
    <t>God Is So Good (You Are Worthy)</t>
  </si>
  <si>
    <t xml:space="preserve">Osinachi Kalu Okoro Egbu   </t>
  </si>
  <si>
    <t xml:space="preserve">Brian Johnson, Phil Wickham   </t>
  </si>
  <si>
    <t xml:space="preserve">Brett Younker, Karl Martin, Kirby Kaple, Matt Redman, Pat Barrett   </t>
  </si>
  <si>
    <t xml:space="preserve">Ben Fielding, Brooke Ligertwood   </t>
  </si>
  <si>
    <t xml:space="preserve">Jonas Myrin, Matt Redman   </t>
  </si>
  <si>
    <t xml:space="preserve">Ben Fielding, Reuben Morgan   </t>
  </si>
  <si>
    <t xml:space="preserve">David Leonard, Jason Ingram, Leslie Jordan   </t>
  </si>
  <si>
    <t xml:space="preserve">Jeremy Riddle, Josh Farro, Phil Wickham   </t>
  </si>
  <si>
    <t xml:space="preserve">Christy Nockels, Daniel Carson, Jesse Reeves, Kristian Stanfill, Matt Maher   </t>
  </si>
  <si>
    <t xml:space="preserve">Ben Fielding, Brian Johnson, Ed Cash, Jason Ingram, Jenn Johnson   </t>
  </si>
  <si>
    <t xml:space="preserve">Edward Mote, Eric Liljero, Jonas Myrin, Reuben Morgan, William Batchelder Bradbury   </t>
  </si>
  <si>
    <t xml:space="preserve">Anthony Brown, Pat Barrett   </t>
  </si>
  <si>
    <t xml:space="preserve">Keith Getty, Stuart Townend   </t>
  </si>
  <si>
    <t xml:space="preserve">Brooke Ligertwood, Jason Ingram, Scott Ligertwood   </t>
  </si>
  <si>
    <t xml:space="preserve">Chris Tomlin, Ed Cash, Jesse Reeves   </t>
  </si>
  <si>
    <t xml:space="preserve">Jake Stevens, Jonathan David Helser, Melissa Helser, Molly Skaggs   </t>
  </si>
  <si>
    <t xml:space="preserve">Brenton Brown, Paul Baloche   </t>
  </si>
  <si>
    <t xml:space="preserve">Benjamin Hastings, Dean Ussher, Marty Sampson   </t>
  </si>
  <si>
    <t xml:space="preserve">Beth Redman, Matt Redman   </t>
  </si>
  <si>
    <t xml:space="preserve">Chris Brown, Cody Carnes, Kari Jobe, Steven Furtick   </t>
  </si>
  <si>
    <t xml:space="preserve">Stuart Townend   </t>
  </si>
  <si>
    <t xml:space="preserve">Brian Johnson, Joel Case, Jonathan David Helser   </t>
  </si>
  <si>
    <t xml:space="preserve">Jason Ingram, Jonathan Smith, Kristian Stanfill, Sean Curran   </t>
  </si>
  <si>
    <t xml:space="preserve">Chris Tomlin, John Newton, Louie Giglio   </t>
  </si>
  <si>
    <t xml:space="preserve">Bryan Torwalt, Katie Torwalt   </t>
  </si>
  <si>
    <t xml:space="preserve">Brenton Brown, Brian Johnson, Leeland Mooring   </t>
  </si>
  <si>
    <t xml:space="preserve">Jonas Myrin, Phil Wickham   </t>
  </si>
  <si>
    <t xml:space="preserve">John Mark McMillan, Sarah McMillan   </t>
  </si>
  <si>
    <t xml:space="preserve">Jonny Robinson, Michael Farren, Rich Thompson   </t>
  </si>
  <si>
    <t xml:space="preserve">Chris Brown, Mack Brock, Steven Furtick, Wade Joye   </t>
  </si>
  <si>
    <t xml:space="preserve">Tim Hughes   </t>
  </si>
  <si>
    <t xml:space="preserve">Jennie Lee Riddle   </t>
  </si>
  <si>
    <t xml:space="preserve">Eddie Hoagland, Jonathan Smith, Mia Fieldes   </t>
  </si>
  <si>
    <t xml:space="preserve">Caleb Culver, Cory Asbury, Ran Jackson   </t>
  </si>
  <si>
    <t xml:space="preserve">Stuart Wesley Keene Hine   </t>
  </si>
  <si>
    <t xml:space="preserve">Chris Tomlin, Jesse Reeves, Jonas Myrin, Matt Redman   </t>
  </si>
  <si>
    <t xml:space="preserve">Brenton Brown, Ken Riley   </t>
  </si>
  <si>
    <t xml:space="preserve">Chris Tomlin   </t>
  </si>
  <si>
    <t xml:space="preserve">Paul Baloche   </t>
  </si>
  <si>
    <t xml:space="preserve">Ben Fielding, Matt Crocker   </t>
  </si>
  <si>
    <t xml:space="preserve">Chris Tomlin, Daniel Carson, Ed Cash, Jesse Reeves   </t>
  </si>
  <si>
    <t xml:space="preserve">Matt Boswell, Matt Papa   </t>
  </si>
  <si>
    <t xml:space="preserve">Gloria Gaither, William J. Gaither   </t>
  </si>
  <si>
    <t xml:space="preserve">Chris Llewellyn, Gareth Gilkeson   </t>
  </si>
  <si>
    <t xml:space="preserve">Chris Llewellyn, Gareth Gilkeson, William Herron   </t>
  </si>
  <si>
    <t xml:space="preserve">Chris Brown, Mack Brock, Matt Redman, Steven Furtick   </t>
  </si>
  <si>
    <t xml:space="preserve">Brandon Lake, Chris Brown, Steven Furtick, Tiffany Hammer   </t>
  </si>
  <si>
    <t xml:space="preserve">Melody Green   </t>
  </si>
  <si>
    <t xml:space="preserve">Brian Doerksen   </t>
  </si>
  <si>
    <t xml:space="preserve">Matt Maher   </t>
  </si>
  <si>
    <t xml:space="preserve">Jonas Myrin, Reuben Morgan   </t>
  </si>
  <si>
    <t xml:space="preserve">Joel Houston, Matt Crocker, Salomon Ligthelm   </t>
  </si>
  <si>
    <t xml:space="preserve">Ben Fielding, Chris Brown, Jason Ingram, Steven Furtick   </t>
  </si>
  <si>
    <t xml:space="preserve">Andrew Peterson, Ben Shive   </t>
  </si>
  <si>
    <t xml:space="preserve">Darlene Zschech   </t>
  </si>
  <si>
    <t xml:space="preserve">Brooke Ligertwood   </t>
  </si>
  <si>
    <t xml:space="preserve">Brandon Lake, Brian Johnson, Matt Redman, Phil Wickham   </t>
  </si>
  <si>
    <t xml:space="preserve">Dennis Jernigan   </t>
  </si>
  <si>
    <t xml:space="preserve">Adam Kersh, Brandon Coker, Heath Balltzglier, Paul Taylor Smith   </t>
  </si>
  <si>
    <t xml:space="preserve">Dustin Smith, Jonny Robinson, Michael Farren, Rich Thompson   </t>
  </si>
  <si>
    <t xml:space="preserve">Matt Redman   </t>
  </si>
  <si>
    <t xml:space="preserve">Andi Rozier, James Macdonald, Jason Ingram, Meredith Andrews, Stuart Garrard   </t>
  </si>
  <si>
    <t xml:space="preserve">Jason Ingram, Paul Baloche   </t>
  </si>
  <si>
    <t xml:space="preserve">Brooke Ligertwood, Matt Crocker   </t>
  </si>
  <si>
    <t xml:space="preserve">Ian McIntosh, Jenn Johnson   </t>
  </si>
  <si>
    <t xml:space="preserve">Brett Younker, Brooke Ligertwood, Kristian Stanfill, Scott Ligertwood   </t>
  </si>
  <si>
    <t xml:space="preserve">Chris Quilala, Phil Wickham   </t>
  </si>
  <si>
    <t xml:space="preserve">Billy J. Foote   </t>
  </si>
  <si>
    <t xml:space="preserve">Robin Mark   </t>
  </si>
  <si>
    <t xml:space="preserve">Hannah McClure, Kalley Heiligenthal, Paul McClure   </t>
  </si>
  <si>
    <t xml:space="preserve">Chris Brown, Mack Brock, Matthews Ntlele, Steven Furtick, Wade Joye   </t>
  </si>
  <si>
    <t xml:space="preserve">Chris McClarney, Nate Moore, Tony Brown   </t>
  </si>
  <si>
    <t xml:space="preserve">Brian Johnson, Christa Black Gifford, Gabriel Wilson, Jenn Johnson, Joel Taylor, Kari Jobe   </t>
  </si>
  <si>
    <t xml:space="preserve">Glenn Packiam, Paul Baloche   </t>
  </si>
  <si>
    <t xml:space="preserve">Michael W. Smith   </t>
  </si>
  <si>
    <t xml:space="preserve">Elyssa Smith   </t>
  </si>
  <si>
    <t xml:space="preserve">Jonas Myrin, Keith Getty, Kristyn Getty, Nathan Nockels   </t>
  </si>
  <si>
    <t xml:space="preserve">Rick Founds   </t>
  </si>
  <si>
    <t xml:space="preserve">Ben Glover, David Crowder, Matt Maher   </t>
  </si>
  <si>
    <t xml:space="preserve">Ada Ruth Habershon, Matthew Merker   </t>
  </si>
  <si>
    <t xml:space="preserve">Brian Johnson, Christa Black Gifford, Jeremy Riddle   </t>
  </si>
  <si>
    <t xml:space="preserve">Joel Houston   </t>
  </si>
  <si>
    <t xml:space="preserve">Horatio Gates Spafford, Kristene DiMarco, Philip Paul Bliss   </t>
  </si>
  <si>
    <t xml:space="preserve">Chris Tomlin, Ed Cash, Jonas Myrin, Matt Armstrong, Matt Redman   </t>
  </si>
  <si>
    <t xml:space="preserve">Gary Sadler, Lynn DeShazo   </t>
  </si>
  <si>
    <t xml:space="preserve">Charitie Lees Bancroft, Vikki Cook   </t>
  </si>
  <si>
    <t xml:space="preserve">John Wilbur Chapman, Mark Hall, Michael Bleecker   </t>
  </si>
  <si>
    <t xml:space="preserve">Jesse Reeves, Matt Maher, Matt Redman, Tim Wanstall   </t>
  </si>
  <si>
    <t xml:space="preserve">Chris Tomlin, Ed Cash, Scott Cash   </t>
  </si>
  <si>
    <t xml:space="preserve">Brenton Brown, Glenn Robertson   </t>
  </si>
  <si>
    <t xml:space="preserve">Charles Hutchinson Gabriel, Chris Tomlin   </t>
  </si>
  <si>
    <t xml:space="preserve">Andres Figueroa, Hank Bentley, Mariah McManus, Mia Fieldes   </t>
  </si>
  <si>
    <t xml:space="preserve">Amy Corbett, Chris Brown, Steven Furtick   </t>
  </si>
  <si>
    <t xml:space="preserve">Ben Smith, Daniel Bashta, Pat Barrett   </t>
  </si>
  <si>
    <t>Title</t>
  </si>
  <si>
    <t>Author</t>
  </si>
  <si>
    <t>CCLI #</t>
  </si>
  <si>
    <t>Index</t>
  </si>
  <si>
    <t>Stand In Your Love</t>
  </si>
  <si>
    <t>Ethan Hulse, Josh Baldwin, Mark Harris, Rita Springer</t>
  </si>
  <si>
    <t>Another In The Fire</t>
  </si>
  <si>
    <t>Chris Davenport, Joel Houston</t>
  </si>
  <si>
    <t>Jesus Paid It All</t>
  </si>
  <si>
    <t>Alex Nifong, Elvina M. Hall, John Thomas Grape</t>
  </si>
  <si>
    <t>Nothing Else</t>
  </si>
  <si>
    <t>Cody Carnes, Hank Bentley, Jessie Early</t>
  </si>
  <si>
    <t>Only King Forever</t>
  </si>
  <si>
    <t>Holy Water</t>
  </si>
  <si>
    <t>Andrew Bergthold, Ed Cash, Franni Cash, Martin Cash, Scott Cash</t>
  </si>
  <si>
    <t>Victory In Jesus</t>
  </si>
  <si>
    <t>Eugene M. Bartlett</t>
  </si>
  <si>
    <t>Run To The Father</t>
  </si>
  <si>
    <t>Cody Carnes, Matt Maher, Ran Jackson</t>
  </si>
  <si>
    <t>Good Grace</t>
  </si>
  <si>
    <t>How He Loves</t>
  </si>
  <si>
    <t>John Mark McMillan</t>
  </si>
  <si>
    <t>Won't Stop Now</t>
  </si>
  <si>
    <t>Chris Brown, Steven Furtick</t>
  </si>
  <si>
    <t>Unstoppable God</t>
  </si>
  <si>
    <t>Chris Brown, Steven Furtick, Wade Joye</t>
  </si>
  <si>
    <t>God Of Revival</t>
  </si>
  <si>
    <t>Because He Lives (Amen)</t>
  </si>
  <si>
    <t>Chris Tomlin, Daniel Carson, Ed Cash, Gloria Gaither, Jason Ingram, Matt Maher, William J. Gaither</t>
  </si>
  <si>
    <t>Forever Reign</t>
  </si>
  <si>
    <t>Jason Ingram, Reuben Morgan</t>
  </si>
  <si>
    <t>Great I Am</t>
  </si>
  <si>
    <t>Jared Anderson</t>
  </si>
  <si>
    <t>Christ Be Magnified</t>
  </si>
  <si>
    <t>Cody Carnes, Cory Asbury, Ethan Hulse</t>
  </si>
  <si>
    <t>God So Loved</t>
  </si>
  <si>
    <t>There's Nothing That Our God Can't Do</t>
  </si>
  <si>
    <t>Brandon Lake, Jonathan Smith, Kristian Stanfill</t>
  </si>
  <si>
    <t>This Is A Move</t>
  </si>
  <si>
    <t>Brandon Lake, Nate Moore, Tasha Cobbs Leonard, Tony Brown</t>
  </si>
  <si>
    <t>So Will I (100 Billion X)</t>
  </si>
  <si>
    <t>Benjamin Hastings, Joel Houston, Michael Fatkin</t>
  </si>
  <si>
    <t>We Believe</t>
  </si>
  <si>
    <t>Matthew Hooper, Richie Fike, Travis Ryan</t>
  </si>
  <si>
    <t>Ever Be</t>
  </si>
  <si>
    <t>Bobby Strand, Chris Greely, Gabriel Wilson, Kalley Heiligenthal</t>
  </si>
  <si>
    <t>Psalm 23</t>
  </si>
  <si>
    <t>Be Still</t>
  </si>
  <si>
    <t>David J. Evans</t>
  </si>
  <si>
    <t>Come People Of The Risen King</t>
  </si>
  <si>
    <t>Keith Getty, Kristyn Getty, Stuart Townend</t>
  </si>
  <si>
    <t>King Of Kings Majesty</t>
  </si>
  <si>
    <t>Jarrod Cooper</t>
  </si>
  <si>
    <t>Great Big God</t>
  </si>
  <si>
    <t>Jo Hemming, Nigel Hemming</t>
  </si>
  <si>
    <t>Great Is Thy Faithfulness</t>
  </si>
  <si>
    <t>Thomas Obediah Chisholm, William Marion Runyan</t>
  </si>
  <si>
    <t>The Servant King</t>
  </si>
  <si>
    <t>Graham Kendrick</t>
  </si>
  <si>
    <t>Knowing You</t>
  </si>
  <si>
    <t>Resurrection Hymn</t>
  </si>
  <si>
    <t>Behold Our God</t>
  </si>
  <si>
    <t>Jonathan Baird, Meghan Baird, Ryan Baird, Stephen Altrogge</t>
  </si>
  <si>
    <t>Shine Jesus Shine</t>
  </si>
  <si>
    <t>I Will Offer Up My Life</t>
  </si>
  <si>
    <t>Happy Day</t>
  </si>
  <si>
    <t>Ben Cantelon, Tim Hughes</t>
  </si>
  <si>
    <t>Across The Lands</t>
  </si>
  <si>
    <t>This Is Our God</t>
  </si>
  <si>
    <t>Reuben Morgan</t>
  </si>
  <si>
    <t>You Alone Can Rescue</t>
  </si>
  <si>
    <t>Beautiful Saviour</t>
  </si>
  <si>
    <t>The Power Of The Cross</t>
  </si>
  <si>
    <t>Indescribable</t>
  </si>
  <si>
    <t>Jesse Reeves, Laura Story</t>
  </si>
  <si>
    <t>At Your Name</t>
  </si>
  <si>
    <t>Phil Wickham, Tim Hughes</t>
  </si>
  <si>
    <t>Once Again</t>
  </si>
  <si>
    <t>All Heaven Declares</t>
  </si>
  <si>
    <t>Noel Richards, Tricia Richards</t>
  </si>
  <si>
    <t>The Power Of Your Love</t>
  </si>
  <si>
    <t>Geoff Bullock</t>
  </si>
  <si>
    <t>As The Deer</t>
  </si>
  <si>
    <t>Martin Nystrom</t>
  </si>
  <si>
    <t>O Church Arise</t>
  </si>
  <si>
    <t>Hear The Call Of The Kingdom</t>
  </si>
  <si>
    <t>By Faith</t>
  </si>
  <si>
    <t>There Is A Higher Throne</t>
  </si>
  <si>
    <t>Keith Getty, Kristyn Getty</t>
  </si>
  <si>
    <t>Waiting Here For You</t>
  </si>
  <si>
    <t>Chris Tomlin, Jesse Reeves, Martin Smith</t>
  </si>
  <si>
    <t>Lord Reign In Me</t>
  </si>
  <si>
    <t>Brenton Brown</t>
  </si>
  <si>
    <t>Be The Centre</t>
  </si>
  <si>
    <t>Michael Frye</t>
  </si>
  <si>
    <t>Thomas Obediah Chisholm</t>
  </si>
  <si>
    <t>I Give You My Heart</t>
  </si>
  <si>
    <t>Tell Out My Soul</t>
  </si>
  <si>
    <t>Timothy Dudley-Smith</t>
  </si>
  <si>
    <t>Spirit Break Out</t>
  </si>
  <si>
    <t>Ben Bryant, Luke Hellebronth, Myles Dhillon, Tim Hughes</t>
  </si>
  <si>
    <t>My Heart Is Filled</t>
  </si>
  <si>
    <t>Consuming Fire</t>
  </si>
  <si>
    <t>Holy Holy</t>
  </si>
  <si>
    <t>Nathan Fellingham</t>
  </si>
  <si>
    <t>Great Is The Lord</t>
  </si>
  <si>
    <t>Steve McEwan</t>
  </si>
  <si>
    <t>Matt Redman / Passion</t>
  </si>
  <si>
    <t>Hillsong Worship</t>
  </si>
  <si>
    <t>Phil Wickham</t>
  </si>
  <si>
    <t>Joy To The World (Unspeakable Joy)</t>
  </si>
  <si>
    <t>Kari Jobe</t>
  </si>
  <si>
    <t>Chris Tomlin / Passion</t>
  </si>
  <si>
    <t>Elevation Worship</t>
  </si>
  <si>
    <t>Kristian Stanfill / Passion</t>
  </si>
  <si>
    <t>Travis Cottrell</t>
  </si>
  <si>
    <t>Casting Crowns</t>
  </si>
  <si>
    <t>Noel</t>
  </si>
  <si>
    <t>Lauren Daigle</t>
  </si>
  <si>
    <t>Hillsong UNITED / Taya Smith</t>
  </si>
  <si>
    <t>I Will Rise</t>
  </si>
  <si>
    <t>Gateway Worship</t>
  </si>
  <si>
    <t>All Sons &amp; Daughters</t>
  </si>
  <si>
    <t>Your Great Name</t>
  </si>
  <si>
    <t>Natalie Grant</t>
  </si>
  <si>
    <t>Passion / Kristian Stanfill</t>
  </si>
  <si>
    <t>Angels We Have Heard On High</t>
  </si>
  <si>
    <t>Lion And The Lamb</t>
  </si>
  <si>
    <t>Bethel Music / Leeland</t>
  </si>
  <si>
    <t>Lakewood Church</t>
  </si>
  <si>
    <t>Bethel Music / Cory Asbury</t>
  </si>
  <si>
    <t>Whom Shall I Fear (God Of Angel Armies)</t>
  </si>
  <si>
    <t>New Life Worship</t>
  </si>
  <si>
    <t>Hillsong UNITED</t>
  </si>
  <si>
    <t>Come Thou Fount Come Thou King</t>
  </si>
  <si>
    <t>Kristene DiMarco / Bethel Music</t>
  </si>
  <si>
    <t>Christ Is Risen</t>
  </si>
  <si>
    <t>From The Inside Out</t>
  </si>
  <si>
    <t>Lincoln Brewster</t>
  </si>
  <si>
    <t>I Heard The Bells On Christmas Day</t>
  </si>
  <si>
    <t>O Come All Ye Faithful</t>
  </si>
  <si>
    <t>Newsboys</t>
  </si>
  <si>
    <t>Bethel Music / Melissa Helser / Jonathan David Helser</t>
  </si>
  <si>
    <t>Leeland</t>
  </si>
  <si>
    <t>Crown Him (Majesty)</t>
  </si>
  <si>
    <t>Bethel Music</t>
  </si>
  <si>
    <t>O The Blood</t>
  </si>
  <si>
    <t>Hark The Herald (with King Of Heaven)</t>
  </si>
  <si>
    <t>North Point Worship</t>
  </si>
  <si>
    <t>Today Is The Day</t>
  </si>
  <si>
    <t>Passion / Brett Younker</t>
  </si>
  <si>
    <t>How Marvelous (I Stand Amazed)</t>
  </si>
  <si>
    <t>Chain Breaker</t>
  </si>
  <si>
    <t>Zach Williams</t>
  </si>
  <si>
    <t>O Holy Night</t>
  </si>
  <si>
    <t>God Is Able</t>
  </si>
  <si>
    <t>It's Christmas</t>
  </si>
  <si>
    <t>He Shall Reign Forevermore</t>
  </si>
  <si>
    <t>Rend Collective</t>
  </si>
  <si>
    <t>Even So Come</t>
  </si>
  <si>
    <t>Passion / Chris Tomlin</t>
  </si>
  <si>
    <t>At The Cross</t>
  </si>
  <si>
    <t>Bethel Music / Jenn Johnson</t>
  </si>
  <si>
    <t>I Will Follow</t>
  </si>
  <si>
    <t>Vertical Worship</t>
  </si>
  <si>
    <t>Victor's Crown</t>
  </si>
  <si>
    <t>Worthy Is The Lamb</t>
  </si>
  <si>
    <t>Light Of The World</t>
  </si>
  <si>
    <t>Glory To God Forever</t>
  </si>
  <si>
    <t>FEE Band</t>
  </si>
  <si>
    <t>Holy Is The Lord</t>
  </si>
  <si>
    <t>Francesca Battistelli</t>
  </si>
  <si>
    <t>New Doxology</t>
  </si>
  <si>
    <t>Jesus</t>
  </si>
  <si>
    <t>Love The Lord</t>
  </si>
  <si>
    <t>Stronger</t>
  </si>
  <si>
    <t>The Wonderful Cross</t>
  </si>
  <si>
    <t>You Never Let Go</t>
  </si>
  <si>
    <t>I Can Only Imagine</t>
  </si>
  <si>
    <t>MercyMe</t>
  </si>
  <si>
    <t>Beautiful Things</t>
  </si>
  <si>
    <t>Michael Gungor</t>
  </si>
  <si>
    <t>Our God Saves</t>
  </si>
  <si>
    <t xml:space="preserve">You Are Good </t>
  </si>
  <si>
    <t xml:space="preserve">Holy Spirit </t>
  </si>
  <si>
    <t>Publication Year</t>
  </si>
  <si>
    <t>In S&amp;S</t>
  </si>
  <si>
    <t>In CCWS</t>
  </si>
  <si>
    <t>In Canada?</t>
  </si>
  <si>
    <t>Source</t>
  </si>
  <si>
    <t>CcliTop100Usa</t>
  </si>
  <si>
    <t>CcliTop100Uk</t>
  </si>
  <si>
    <t>CcliTop100Canada</t>
  </si>
  <si>
    <t>In Usa?</t>
  </si>
  <si>
    <t>In Uk?</t>
  </si>
  <si>
    <t>Our God (Water You Turned Into Wine)</t>
  </si>
  <si>
    <t>It Is Well (Grander Earth)</t>
  </si>
  <si>
    <t>O Praise The Name</t>
  </si>
  <si>
    <t>Lead Me To The Cross (Quiet I Come)</t>
  </si>
  <si>
    <t>dup</t>
  </si>
  <si>
    <t>xmas</t>
  </si>
  <si>
    <t>PraiseChartsTop100AllTime</t>
  </si>
  <si>
    <t>In Ccws?</t>
  </si>
  <si>
    <t>In S&amp;S?</t>
  </si>
  <si>
    <t>dup/xmas</t>
  </si>
  <si>
    <t>Battle Belongs</t>
  </si>
  <si>
    <t>Champion</t>
  </si>
  <si>
    <t>See a Victory</t>
  </si>
  <si>
    <t>Promises</t>
  </si>
  <si>
    <t>Goodness of God</t>
  </si>
  <si>
    <t>My Testimony</t>
  </si>
  <si>
    <t>Never Lost</t>
  </si>
  <si>
    <t>There's Nothing That Our God Can't Do (Live)</t>
  </si>
  <si>
    <t>What a Beautiful Name</t>
  </si>
  <si>
    <t>King of Kings</t>
  </si>
  <si>
    <t>Rattle!</t>
  </si>
  <si>
    <t>Egypt</t>
  </si>
  <si>
    <t>You Hold It All Together</t>
  </si>
  <si>
    <t>Heaven Invade</t>
  </si>
  <si>
    <t>Famous For (I Believe)</t>
  </si>
  <si>
    <t>Raise a Hallelujah</t>
  </si>
  <si>
    <t>Available</t>
  </si>
  <si>
    <t>Faithful Now</t>
  </si>
  <si>
    <t>Maverick City Music</t>
  </si>
  <si>
    <t>We the Kingdom</t>
  </si>
  <si>
    <t>Passion</t>
  </si>
  <si>
    <t>UPPERROOM</t>
  </si>
  <si>
    <t>Tauren Wells</t>
  </si>
  <si>
    <t>Cory Asbury</t>
  </si>
  <si>
    <t>Cody Carnes</t>
  </si>
  <si>
    <t>Anything Is Possible</t>
  </si>
  <si>
    <t>Hillsong United</t>
  </si>
  <si>
    <t>Evidence</t>
  </si>
  <si>
    <t>Josh Baldwin</t>
  </si>
  <si>
    <t>Man of Your Word</t>
  </si>
  <si>
    <t>Refiner</t>
  </si>
  <si>
    <t>Let the Light In</t>
  </si>
  <si>
    <t>Breakthrough</t>
  </si>
  <si>
    <t>Red Rocks Worship</t>
  </si>
  <si>
    <t>Lord Send Revival</t>
  </si>
  <si>
    <t>Hillsong Young &amp; Free</t>
  </si>
  <si>
    <t>Awake My Soul</t>
  </si>
  <si>
    <t>House of Miracles</t>
  </si>
  <si>
    <t>Brandon Lake</t>
  </si>
  <si>
    <t>You Are Good</t>
  </si>
  <si>
    <t>Israel and New Breed</t>
  </si>
  <si>
    <t>Authority</t>
  </si>
  <si>
    <t>Getting Ready</t>
  </si>
  <si>
    <t>You Keep Hope Alive</t>
  </si>
  <si>
    <t>Church of the City</t>
  </si>
  <si>
    <t>O Come to the Altar</t>
  </si>
  <si>
    <t>The Father's House</t>
  </si>
  <si>
    <t>Make Room</t>
  </si>
  <si>
    <t>The Church Will Sing</t>
  </si>
  <si>
    <t>God Turn It Around</t>
  </si>
  <si>
    <t>Freedom</t>
  </si>
  <si>
    <t>Jesus Culture</t>
  </si>
  <si>
    <t>I Surrender</t>
  </si>
  <si>
    <t>Community Music</t>
  </si>
  <si>
    <t>Mosaic MSC</t>
  </si>
  <si>
    <t>Echo</t>
  </si>
  <si>
    <t>In Jesus Name</t>
  </si>
  <si>
    <t>Rest On Us</t>
  </si>
  <si>
    <t>Nothing Else (Live)</t>
  </si>
  <si>
    <t>First Love</t>
  </si>
  <si>
    <t>Lion and the Lamb</t>
  </si>
  <si>
    <t>Here As In Heaven</t>
  </si>
  <si>
    <t>Moving Forward</t>
  </si>
  <si>
    <t>There Was Jesus</t>
  </si>
  <si>
    <t>Reign Above It All</t>
  </si>
  <si>
    <t>Proverbs 3 (Tablet of Your Heart)</t>
  </si>
  <si>
    <t>Todd Dulaney</t>
  </si>
  <si>
    <t>New Thing</t>
  </si>
  <si>
    <t>O Praise the Name (Anástasis)</t>
  </si>
  <si>
    <t>Holy Ground</t>
  </si>
  <si>
    <t>It Is So</t>
  </si>
  <si>
    <t>World Outside Your Window</t>
  </si>
  <si>
    <t>Have My Heart</t>
  </si>
  <si>
    <t>Breakthrough Miracle Power</t>
  </si>
  <si>
    <t>Let Go</t>
  </si>
  <si>
    <t>New Wine</t>
  </si>
  <si>
    <t>Touch of Heaven</t>
  </si>
  <si>
    <t>King of Glory (Live)</t>
  </si>
  <si>
    <t>No One But You</t>
  </si>
  <si>
    <t>Never Have I Ever</t>
  </si>
  <si>
    <t>Come Out of That Grave (Resurrection Power)</t>
  </si>
  <si>
    <t>Another In The Fire (Studio)</t>
  </si>
  <si>
    <t>TAYA</t>
  </si>
  <si>
    <t>Graves Into Gardens (Studio)</t>
  </si>
  <si>
    <t>There Is a King</t>
  </si>
  <si>
    <t>When I Lock Eyes With You</t>
  </si>
  <si>
    <t>Our God Reigns</t>
  </si>
  <si>
    <t>Pat Barrett</t>
  </si>
  <si>
    <t>Lord, I Need You</t>
  </si>
  <si>
    <t>Yes and Amen</t>
  </si>
  <si>
    <t>Defender</t>
  </si>
  <si>
    <t>Worthy of It All</t>
  </si>
  <si>
    <t>Christ for the Nations Worship</t>
  </si>
  <si>
    <t>Awake My Soul (Live)</t>
  </si>
  <si>
    <t>CeCe Winans</t>
  </si>
  <si>
    <t>Your Nature</t>
  </si>
  <si>
    <t>MultiTracksTop120</t>
  </si>
  <si>
    <t>MultiTracksTop120Global</t>
  </si>
  <si>
    <t>https://www.bbc.co.uk/programmes/articles/42TSJ0LNMfp0h0wNvxqlw93/2013-the-uks-top-100-hymns</t>
  </si>
  <si>
    <t>https://popularhymns.com/top100</t>
  </si>
  <si>
    <t>A Mighty Fortress Is Our God</t>
  </si>
  <si>
    <t>Abide With Me</t>
  </si>
  <si>
    <t>Alas And Did My Savior Bleed?</t>
  </si>
  <si>
    <t>All Creatures of our God and King</t>
  </si>
  <si>
    <t>All Hail The Power of Jesus' Name</t>
  </si>
  <si>
    <t>All The Way My Savior Leads Me</t>
  </si>
  <si>
    <t>Amazing Grace</t>
  </si>
  <si>
    <t>Are You Washed in the Blood?</t>
  </si>
  <si>
    <t>At Calvary</t>
  </si>
  <si>
    <t>Battle Hymn of the Republic</t>
  </si>
  <si>
    <t>Be Thou My Vision</t>
  </si>
  <si>
    <t>Before The Throne of God Above</t>
  </si>
  <si>
    <t>Blessed Assurance</t>
  </si>
  <si>
    <t>Blest Be The Tie That Binds</t>
  </si>
  <si>
    <t>Child of the King</t>
  </si>
  <si>
    <t>Christ The Lord Is Risen Today</t>
  </si>
  <si>
    <t>Cleanse Me</t>
  </si>
  <si>
    <t>Come Thou Fount of Every Blessing</t>
  </si>
  <si>
    <t>Count Your Blessings</t>
  </si>
  <si>
    <t>Crown Him With Many Crowns</t>
  </si>
  <si>
    <t>Day By Day</t>
  </si>
  <si>
    <t>Doxology</t>
  </si>
  <si>
    <t>Eternal Father, Strong To Save</t>
  </si>
  <si>
    <t>Face To Face</t>
  </si>
  <si>
    <t>Fairest Lord Jesus</t>
  </si>
  <si>
    <t>Faith is the Victory</t>
  </si>
  <si>
    <t>Faith of our Fathers</t>
  </si>
  <si>
    <t>Fight the Good Fight</t>
  </si>
  <si>
    <t>God Leads His Dear Children Along</t>
  </si>
  <si>
    <t>God Will Take Care Of You</t>
  </si>
  <si>
    <t>Guide Me, O Thou Great Jehovah</t>
  </si>
  <si>
    <t>Hark! The Herald Angels Sing</t>
  </si>
  <si>
    <t>Have Thine Own Way, Lord</t>
  </si>
  <si>
    <t>He Hideth My Soul</t>
  </si>
  <si>
    <t>He Is Coming Again</t>
  </si>
  <si>
    <t>He Lives</t>
  </si>
  <si>
    <t>His Eye Is On the Sparrow</t>
  </si>
  <si>
    <t>Holy, Holy, Holy</t>
  </si>
  <si>
    <t>How Firm A Foundation</t>
  </si>
  <si>
    <t>I Am Thine, O Lord</t>
  </si>
  <si>
    <t>I Love To Tell The Story</t>
  </si>
  <si>
    <t>I Need Thee Ev'ry Hour</t>
  </si>
  <si>
    <t>I Surrender All</t>
  </si>
  <si>
    <t>I'd Rather Have Jesus</t>
  </si>
  <si>
    <t>I'll Fly Away</t>
  </si>
  <si>
    <t>In the Garden</t>
  </si>
  <si>
    <t>In The Hour of Trial</t>
  </si>
  <si>
    <t>In The Sweet By and By</t>
  </si>
  <si>
    <t>It is Well</t>
  </si>
  <si>
    <t>Jesus, Lover Of My Soul</t>
  </si>
  <si>
    <t>Jesus Loves Me</t>
  </si>
  <si>
    <t>Just As I Am</t>
  </si>
  <si>
    <t>Leaning on the Everlasting Arms</t>
  </si>
  <si>
    <t>Lord I'm Coming Home</t>
  </si>
  <si>
    <t>Love Divine, All Loves Excelling</t>
  </si>
  <si>
    <t>Love Lifted Me</t>
  </si>
  <si>
    <t>Moment By Moment</t>
  </si>
  <si>
    <t>More Love To Thee</t>
  </si>
  <si>
    <t>Morning Has Broken</t>
  </si>
  <si>
    <t>My Faith Looks Up To Thee</t>
  </si>
  <si>
    <t>Nearer My God, To Thee</t>
  </si>
  <si>
    <t>No One Ever Cared for Me Like Jesus</t>
  </si>
  <si>
    <t>Now We Thank All Our God</t>
  </si>
  <si>
    <t>O For A Thousand Tongues To Sing</t>
  </si>
  <si>
    <t>O Little Town of Bethlehem</t>
  </si>
  <si>
    <t>O Worship The King</t>
  </si>
  <si>
    <t>Old Time Religion</t>
  </si>
  <si>
    <t>Pass Me Not, O Gentle Savior</t>
  </si>
  <si>
    <t>Peace, Perfect Peace</t>
  </si>
  <si>
    <t>Praise Him! Praise Him!</t>
  </si>
  <si>
    <t>Precious Lord Take My Hand</t>
  </si>
  <si>
    <t>Rescue The Perishing</t>
  </si>
  <si>
    <t>Revive Us Again</t>
  </si>
  <si>
    <t>Rock of Ages</t>
  </si>
  <si>
    <t>Safe in the Arms of Jesus</t>
  </si>
  <si>
    <t>Saviour, Like a Shepherd Lead Us</t>
  </si>
  <si>
    <t>Softly And Tenderly Jesus Is Calling</t>
  </si>
  <si>
    <t>Standing on the Promises</t>
  </si>
  <si>
    <t>Take My Life and Let It Be</t>
  </si>
  <si>
    <t>Take Time To Be Holy</t>
  </si>
  <si>
    <t>The Old Rugged Cross</t>
  </si>
  <si>
    <t>There Is A Fountain</t>
  </si>
  <si>
    <t>There Is Power In The Blood</t>
  </si>
  <si>
    <t>Till The Storm Passes By</t>
  </si>
  <si>
    <t>Turn Your Eyes Upon Jesus</t>
  </si>
  <si>
    <t>Trust And Obey</t>
  </si>
  <si>
    <t>What A Day That Will Be</t>
  </si>
  <si>
    <t>What A Friend We Have in Jesus</t>
  </si>
  <si>
    <t>What Child Is This?</t>
  </si>
  <si>
    <t>When I Survey The Wondrous Cross</t>
  </si>
  <si>
    <t>When The Roll Is Called Up Yonder</t>
  </si>
  <si>
    <t>When We All Get To Heaven</t>
  </si>
  <si>
    <t>Wherever He Leads, I'll Go</t>
  </si>
  <si>
    <t>Yesterday, Today, Forever</t>
  </si>
  <si>
    <t>Be Still, For The Presence Of The Lord</t>
  </si>
  <si>
    <t>Dear Lord And Father Of Mankind</t>
  </si>
  <si>
    <t>Here I Am, Lord (I, The Lord Of Sea And Sky)</t>
  </si>
  <si>
    <t>And Can It Be</t>
  </si>
  <si>
    <t>Guide Me, O Thou Great Redeemer/Jehova</t>
  </si>
  <si>
    <t>Make Me A Channel Of Your Peace</t>
  </si>
  <si>
    <t>The Day Thou Gavest, Lord, Is Ended</t>
  </si>
  <si>
    <t>Jerusalem</t>
  </si>
  <si>
    <t>Shine Jesus Shine (Lord, The Light Of Your Love Is Shining)</t>
  </si>
  <si>
    <t>Love Divine, All Love Excelling</t>
  </si>
  <si>
    <t>I Vow To Thee My Country</t>
  </si>
  <si>
    <t>When I Survey the Wondrous Cross</t>
  </si>
  <si>
    <t>What A Friend We have In Jesus</t>
  </si>
  <si>
    <t>Thine Be The Glory</t>
  </si>
  <si>
    <t>To God Be The Glory</t>
  </si>
  <si>
    <t>Praise, My Soul, The King Of Heaven</t>
  </si>
  <si>
    <t>Be Still, My Soul</t>
  </si>
  <si>
    <t>How Deep The Father’s Love For Us</t>
  </si>
  <si>
    <t>Will Your Anchor Hold In The Storms Of Life</t>
  </si>
  <si>
    <t>Psalm 23 (by Stuart Townend)</t>
  </si>
  <si>
    <t>O Love That Wilt Not Let Me Go</t>
  </si>
  <si>
    <t>Lord, For The Years</t>
  </si>
  <si>
    <t>Lord Of All Hopefulness</t>
  </si>
  <si>
    <t>O Jesus, I Have Promised</t>
  </si>
  <si>
    <t>All Things Bright And Beautiful</t>
  </si>
  <si>
    <t>The Lord's My Shepherd, I'll Not Want</t>
  </si>
  <si>
    <t>King Of Kings, Majesty</t>
  </si>
  <si>
    <t>Beauty For Brokenness</t>
  </si>
  <si>
    <t>Lord Of The Dance</t>
  </si>
  <si>
    <t>My Song Is Love Unknown</t>
  </si>
  <si>
    <t>My Jesus, My Saviour</t>
  </si>
  <si>
    <t>Here I Am To Worship (Light Of The World)</t>
  </si>
  <si>
    <t>Immortal, Invisible, God Only Wise</t>
  </si>
  <si>
    <t>Angel-Voices Ever Singing</t>
  </si>
  <si>
    <t>Before The Throne Of God</t>
  </si>
  <si>
    <t>Here Is Love, Vast As The Ocean</t>
  </si>
  <si>
    <t>The King Of Love My Shepherd Is</t>
  </si>
  <si>
    <t>At The Name Of Jesus</t>
  </si>
  <si>
    <t>Brother, Let Me Be Your Servant</t>
  </si>
  <si>
    <t>I’ll Go In The Strength Of The Lord</t>
  </si>
  <si>
    <t>Soul Of My Saviour</t>
  </si>
  <si>
    <t>Christ Triumphant, Ever Reigning</t>
  </si>
  <si>
    <t>For All The Saints</t>
  </si>
  <si>
    <t>O Happy Day</t>
  </si>
  <si>
    <t>The Church’s One Foundation</t>
  </si>
  <si>
    <t>He Who Would Valiant Be</t>
  </si>
  <si>
    <t>How Shall I Sing That Majesty</t>
  </si>
  <si>
    <t>Take My Life</t>
  </si>
  <si>
    <t>Mine Eyes have Seen The Glory</t>
  </si>
  <si>
    <t>I Will Sing The Wondrous Story</t>
  </si>
  <si>
    <t>Now Thank We All Our God</t>
  </si>
  <si>
    <t>There’s A Wideness In God’s Mercy</t>
  </si>
  <si>
    <t>Holy, Holy, Holy, Lord God Almighty</t>
  </si>
  <si>
    <t>Come Down, O Love Divine</t>
  </si>
  <si>
    <t>Who Would True Valour See</t>
  </si>
  <si>
    <t>Father, Hear The Prayer We Offer</t>
  </si>
  <si>
    <t>All My Hope On God Is Founded</t>
  </si>
  <si>
    <t>Lead Us, Heavenly Father</t>
  </si>
  <si>
    <t>Christ Be Our Light</t>
  </si>
  <si>
    <t>For The Beauty Of The Earth</t>
  </si>
  <si>
    <t>Christ Is Made The Sure Foundation</t>
  </si>
  <si>
    <t>Thy Hand, O God, Has Guided</t>
  </si>
  <si>
    <t>Since Jesus Came Into My Heart</t>
  </si>
  <si>
    <t>We Cannot Measure How You Heal</t>
  </si>
  <si>
    <t>Praise To The Lord, The Almighty</t>
  </si>
  <si>
    <t>Ye Servants Of God</t>
  </si>
  <si>
    <t>O God, Our Help In Ages Past</t>
  </si>
  <si>
    <t>Praise To The Holiest In The Height</t>
  </si>
  <si>
    <t>O Worship The King All Glorious Above</t>
  </si>
  <si>
    <t>Like A Mighty River Flowing</t>
  </si>
  <si>
    <t>Lord, Enthroned In Heavenly Splendour</t>
  </si>
  <si>
    <t>Sing Of The Lord’s Goodness</t>
  </si>
  <si>
    <t>O When The Saints</t>
  </si>
  <si>
    <t>God Is Love, Let Heaven Adore Him</t>
  </si>
  <si>
    <t>In Heavenly Love Abiding</t>
  </si>
  <si>
    <t>Nearer My God To Thee</t>
  </si>
  <si>
    <t>Lord, Jesus Christ (Living Lord)</t>
  </si>
  <si>
    <t>Give Me Joy In My Heart</t>
  </si>
  <si>
    <t>All People That On Earth Do Dwell</t>
  </si>
  <si>
    <t>I Cannot Tell</t>
  </si>
  <si>
    <t>Lead Kindly Light</t>
  </si>
  <si>
    <t>All Creatures Of Our God And King</t>
  </si>
  <si>
    <t>Hail, Redeemer, King Divine</t>
  </si>
  <si>
    <t>Let All The World In Every Corner Sing</t>
  </si>
  <si>
    <t>CCLI#</t>
  </si>
  <si>
    <t>Crown Him with Many Crowns</t>
  </si>
  <si>
    <t>All Creatures of Our God and King</t>
  </si>
  <si>
    <t>It Is Well with My Soul</t>
  </si>
  <si>
    <t>To God Be the Glory</t>
  </si>
  <si>
    <t>Amazing Grace! How Sweet the Sound</t>
  </si>
  <si>
    <t>Come, Thou Fount of Every Blessing</t>
  </si>
  <si>
    <t>Blessed Assurance, Jesus Is Mine</t>
  </si>
  <si>
    <t>In Christ Alone (My Hope Is Found)</t>
  </si>
  <si>
    <t>All Hail the Power of Jesus' Name</t>
  </si>
  <si>
    <t>Victory in Jesus</t>
  </si>
  <si>
    <t>I Stand Amazed in the Presence</t>
  </si>
  <si>
    <t>A Mighty Fortress is Our God</t>
  </si>
  <si>
    <t>Wherever He Leads I'll Go</t>
  </si>
  <si>
    <t>Tis So Sweet to Trust in Jesus</t>
  </si>
  <si>
    <t>Joyful, Joyful, We Adore Thee</t>
  </si>
  <si>
    <t>Worthy of Worship</t>
  </si>
  <si>
    <t>At the Cross</t>
  </si>
  <si>
    <t>When We All Get to Heaven</t>
  </si>
  <si>
    <t>He Keeps Me Singing</t>
  </si>
  <si>
    <t>The Love of God</t>
  </si>
  <si>
    <t>Nothing but the Blood</t>
  </si>
  <si>
    <t>Grace Greater Than Our Sin</t>
  </si>
  <si>
    <t>My Jesus, I Love Thee</t>
  </si>
  <si>
    <t>Praise to the Lord, the Almighty</t>
  </si>
  <si>
    <t>Turn Your Eyes upon Jesus</t>
  </si>
  <si>
    <t>What a Friend We Have in Jesus</t>
  </si>
  <si>
    <t>O God, Our Help in Ages Past</t>
  </si>
  <si>
    <t>Jesus! What a Friend for Sinners</t>
  </si>
  <si>
    <t>Brethren, We Have Met to Worship</t>
  </si>
  <si>
    <t>O Worship the King</t>
  </si>
  <si>
    <t>There Is Power in the Blood</t>
  </si>
  <si>
    <t>Christ Arose</t>
  </si>
  <si>
    <t>There Is a Fountain</t>
  </si>
  <si>
    <t>Heaven Came Down</t>
  </si>
  <si>
    <t>Come, Thou Almighty King</t>
  </si>
  <si>
    <t>Trust and Obey</t>
  </si>
  <si>
    <t>Are You Washed in the Blood</t>
  </si>
  <si>
    <t>Rejoice, the Lord Is King</t>
  </si>
  <si>
    <t>I Need Thee Every Hour</t>
  </si>
  <si>
    <t>Christ the Lord Is Risen Today</t>
  </si>
  <si>
    <t>How Deep the Father's Love</t>
  </si>
  <si>
    <t>The Solid Rock</t>
  </si>
  <si>
    <t>Since Jesus Came into My Heart</t>
  </si>
  <si>
    <t>I Have Decided to Follow Jesus</t>
  </si>
  <si>
    <t>Wonderful Grace of Jesus</t>
  </si>
  <si>
    <t>O Church, Arise</t>
  </si>
  <si>
    <t>Down at the Cross</t>
  </si>
  <si>
    <t>Glorious Is Thy Name</t>
  </si>
  <si>
    <t>Oh, How I Love Jesus</t>
  </si>
  <si>
    <t>Speak, O Lord</t>
  </si>
  <si>
    <t>Higher Ground</t>
  </si>
  <si>
    <t>The Church's One Foundation</t>
  </si>
  <si>
    <t>How Firm a Foundation</t>
  </si>
  <si>
    <t>What a Day That Will Be</t>
  </si>
  <si>
    <t>I Know Whom I Have Believed</t>
  </si>
  <si>
    <t>Blessed Be the Name</t>
  </si>
  <si>
    <t>Oh, How He Loves You and Me</t>
  </si>
  <si>
    <t>I Love to Tell the Story</t>
  </si>
  <si>
    <t>Come, Ye Thankful People, Come</t>
  </si>
  <si>
    <t>Send the Light</t>
  </si>
  <si>
    <t>Come, Christians, Join to Sing</t>
  </si>
  <si>
    <t>We Have Heard the Joyful Sound</t>
  </si>
  <si>
    <t>He Is Lord</t>
  </si>
  <si>
    <t>Stand Up, Stand Up for Jesus</t>
  </si>
  <si>
    <t>The Blood Will Never Lose Its Power</t>
  </si>
  <si>
    <t>I Will Sing of My Redeemer</t>
  </si>
  <si>
    <t>Just a Closer Walk with Thee</t>
  </si>
  <si>
    <t>Lamb of God</t>
  </si>
  <si>
    <t>His Eye Is On The Sparrow</t>
  </si>
  <si>
    <t>When the Roll Is Called up Yonder</t>
  </si>
  <si>
    <t>Redeemed, How I Love to Proclaim It</t>
  </si>
  <si>
    <t>A New Name in Glory</t>
  </si>
  <si>
    <t>The Communion Hymn (Behold the Lamb)</t>
  </si>
  <si>
    <t>https://genius.com/albums/Lifeway-worship/Top-100-hymns</t>
  </si>
  <si>
    <t>https://www.jwpepper.com/Top-100-Hymns-Guitar-Songbook/10089160.item#/submit</t>
  </si>
  <si>
    <t>All Hail The Power Of Jesus Name</t>
  </si>
  <si>
    <t>Are You Washed In The Blood</t>
  </si>
  <si>
    <t>Bless The Lord O My Soul</t>
  </si>
  <si>
    <t>Breathe On Me Breath Of God</t>
  </si>
  <si>
    <t>Come Thou Almighty King</t>
  </si>
  <si>
    <t>Come Thou Fount Of Every Blessing</t>
  </si>
  <si>
    <t>Down At The Cross</t>
  </si>
  <si>
    <t>Father I Adore You</t>
  </si>
  <si>
    <t>Glorify Thy Name</t>
  </si>
  <si>
    <t>Hallelujah What A Savior</t>
  </si>
  <si>
    <t>Have Thine Own Way Lord</t>
  </si>
  <si>
    <t>He's Got The Whole World In His Hands</t>
  </si>
  <si>
    <t>Holy Holy Holy</t>
  </si>
  <si>
    <t>I Am Thine O Lord</t>
  </si>
  <si>
    <t>I Have Decided To Follow Jesus</t>
  </si>
  <si>
    <t>I Love You Lord</t>
  </si>
  <si>
    <t>I Stand Amazed In The Presence</t>
  </si>
  <si>
    <t>Immortal Invisible God Only Wise</t>
  </si>
  <si>
    <t>In The Garden</t>
  </si>
  <si>
    <t>In The Sweet By And By</t>
  </si>
  <si>
    <t>It Is Well With My Soul</t>
  </si>
  <si>
    <t>I've Got Peace Like A River</t>
  </si>
  <si>
    <t>Jesus Keep Me Near The Cross</t>
  </si>
  <si>
    <t>Jesus What A Friend For Sinners</t>
  </si>
  <si>
    <t>Jesus Saves</t>
  </si>
  <si>
    <t>Joyful Joyful We Adore Thee</t>
  </si>
  <si>
    <t>Just A Closer Walk With Thee</t>
  </si>
  <si>
    <t>Leaning On The Everlasting Arms</t>
  </si>
  <si>
    <t>Let Us Break Bread Together</t>
  </si>
  <si>
    <t>Low In The Grave He Lay</t>
  </si>
  <si>
    <t>My Faith Has Found A Resting Place</t>
  </si>
  <si>
    <t>My Jesus I Love Thee</t>
  </si>
  <si>
    <t>Near To The Heart Of God</t>
  </si>
  <si>
    <t>No Not One</t>
  </si>
  <si>
    <t>Nothing But The Blood</t>
  </si>
  <si>
    <t>O How He Loves You And Me</t>
  </si>
  <si>
    <t>O How I Love Jesus</t>
  </si>
  <si>
    <t>Open My Eyes That I May See</t>
  </si>
  <si>
    <t>Open Our Eyes Lord</t>
  </si>
  <si>
    <t>Praise Him Praise Him</t>
  </si>
  <si>
    <t>Praise To The Lord The Almighty</t>
  </si>
  <si>
    <t>Rejoice In The Lord Always</t>
  </si>
  <si>
    <t>Rock Of Ages Cleft For Me</t>
  </si>
  <si>
    <t>Savior Like A Shepherd Lead Us</t>
  </si>
  <si>
    <t>Shall We Gather At The River</t>
  </si>
  <si>
    <t>Softly And Tenderly</t>
  </si>
  <si>
    <t>Standing On The Promises</t>
  </si>
  <si>
    <t>Sweet Hour Of Prayer</t>
  </si>
  <si>
    <t>Take My Life And Let It Be Consecrated</t>
  </si>
  <si>
    <t>The Solid Rock My Hope Is Built</t>
  </si>
  <si>
    <t>Tis So Sweet To Trust In Jesus</t>
  </si>
  <si>
    <t>Were You There</t>
  </si>
  <si>
    <t>What A Friend We Have In Jesus</t>
  </si>
  <si>
    <t>What Wondrous Love Is This</t>
  </si>
  <si>
    <t>When The Morning 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</si>
</sst>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wsBethelCommunity/Sections/Main/Index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ShaneAndShane/Shane%20&amp;%20Shane%20(from%20website)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>
        <row r="2">
          <cell r="H2">
            <v>6016351</v>
          </cell>
        </row>
        <row r="3">
          <cell r="H3">
            <v>42964</v>
          </cell>
        </row>
        <row r="4">
          <cell r="H4">
            <v>2672885</v>
          </cell>
        </row>
        <row r="5">
          <cell r="H5">
            <v>7008232</v>
          </cell>
        </row>
        <row r="6">
          <cell r="H6">
            <v>120556</v>
          </cell>
        </row>
        <row r="7">
          <cell r="H7">
            <v>5881130</v>
          </cell>
        </row>
        <row r="8">
          <cell r="H8">
            <v>5869860</v>
          </cell>
        </row>
        <row r="9">
          <cell r="H9">
            <v>22025</v>
          </cell>
        </row>
        <row r="10">
          <cell r="H10">
            <v>4768151</v>
          </cell>
        </row>
        <row r="11">
          <cell r="H11">
            <v>2986399</v>
          </cell>
        </row>
        <row r="12">
          <cell r="H12">
            <v>25280</v>
          </cell>
        </row>
        <row r="13">
          <cell r="H13">
            <v>7124907</v>
          </cell>
        </row>
        <row r="14">
          <cell r="H14">
            <v>21105</v>
          </cell>
        </row>
        <row r="15">
          <cell r="H15">
            <v>1431</v>
          </cell>
        </row>
        <row r="16">
          <cell r="H16">
            <v>29499</v>
          </cell>
        </row>
        <row r="17">
          <cell r="H17">
            <v>7017786</v>
          </cell>
        </row>
        <row r="18">
          <cell r="H18">
            <v>7054178</v>
          </cell>
        </row>
        <row r="19">
          <cell r="H19">
            <v>30639</v>
          </cell>
        </row>
        <row r="20">
          <cell r="H20">
            <v>3915912</v>
          </cell>
        </row>
        <row r="21">
          <cell r="H21">
            <v>16880</v>
          </cell>
        </row>
        <row r="22">
          <cell r="H22">
            <v>2306412</v>
          </cell>
        </row>
        <row r="23">
          <cell r="H23">
            <v>5937510</v>
          </cell>
        </row>
        <row r="24">
          <cell r="H24">
            <v>1101763</v>
          </cell>
        </row>
        <row r="25">
          <cell r="H25">
            <v>1097451</v>
          </cell>
        </row>
        <row r="26">
          <cell r="H26">
            <v>22324</v>
          </cell>
        </row>
        <row r="27">
          <cell r="H27">
            <v>3798438</v>
          </cell>
        </row>
        <row r="28">
          <cell r="H28">
            <v>5910977</v>
          </cell>
        </row>
        <row r="29">
          <cell r="H29">
            <v>7019974</v>
          </cell>
        </row>
        <row r="30">
          <cell r="H30">
            <v>7070345</v>
          </cell>
        </row>
        <row r="31">
          <cell r="H31">
            <v>6186078</v>
          </cell>
        </row>
        <row r="32">
          <cell r="H32">
            <v>4705190</v>
          </cell>
        </row>
        <row r="33">
          <cell r="H33">
            <v>6514035</v>
          </cell>
        </row>
        <row r="34">
          <cell r="H34">
            <v>27965</v>
          </cell>
        </row>
        <row r="35">
          <cell r="H35">
            <v>7019316</v>
          </cell>
        </row>
        <row r="36">
          <cell r="H36">
            <v>2430948</v>
          </cell>
        </row>
        <row r="37">
          <cell r="H37">
            <v>108389</v>
          </cell>
        </row>
        <row r="38">
          <cell r="H38">
            <v>6158927</v>
          </cell>
        </row>
        <row r="39">
          <cell r="H39">
            <v>6463818</v>
          </cell>
        </row>
        <row r="40">
          <cell r="H40">
            <v>23938</v>
          </cell>
        </row>
        <row r="41">
          <cell r="H41">
            <v>1537904</v>
          </cell>
        </row>
        <row r="42">
          <cell r="H42">
            <v>7046448</v>
          </cell>
        </row>
        <row r="43">
          <cell r="H43">
            <v>7102440</v>
          </cell>
        </row>
        <row r="44">
          <cell r="H44">
            <v>7067555</v>
          </cell>
        </row>
        <row r="45">
          <cell r="H45">
            <v>7036288</v>
          </cell>
        </row>
        <row r="46">
          <cell r="H46">
            <v>7030065</v>
          </cell>
        </row>
        <row r="47">
          <cell r="H47">
            <v>4556538</v>
          </cell>
        </row>
        <row r="48">
          <cell r="H48">
            <v>5869877</v>
          </cell>
        </row>
        <row r="49">
          <cell r="H49">
            <v>3148428</v>
          </cell>
        </row>
        <row r="50">
          <cell r="H50">
            <v>7001228</v>
          </cell>
        </row>
        <row r="51">
          <cell r="H51">
            <v>7068806</v>
          </cell>
        </row>
        <row r="52">
          <cell r="H52">
            <v>4705176</v>
          </cell>
        </row>
        <row r="53">
          <cell r="H53">
            <v>7081388</v>
          </cell>
        </row>
        <row r="54">
          <cell r="H54">
            <v>5638022</v>
          </cell>
        </row>
        <row r="55">
          <cell r="H55">
            <v>5037070</v>
          </cell>
        </row>
        <row r="56">
          <cell r="H56">
            <v>3118757</v>
          </cell>
        </row>
        <row r="57">
          <cell r="H57">
            <v>7036612</v>
          </cell>
        </row>
        <row r="58">
          <cell r="H58">
            <v>7091509</v>
          </cell>
        </row>
        <row r="59">
          <cell r="H59">
            <v>6460220</v>
          </cell>
        </row>
        <row r="60">
          <cell r="H60">
            <v>5881491</v>
          </cell>
        </row>
        <row r="61">
          <cell r="H61">
            <v>18723</v>
          </cell>
        </row>
        <row r="62">
          <cell r="H62">
            <v>7109317</v>
          </cell>
        </row>
        <row r="63">
          <cell r="H63">
            <v>7107551</v>
          </cell>
        </row>
        <row r="64">
          <cell r="H64">
            <v>6550556</v>
          </cell>
        </row>
        <row r="65">
          <cell r="H65">
            <v>4026635</v>
          </cell>
        </row>
        <row r="66">
          <cell r="H66">
            <v>4873981</v>
          </cell>
        </row>
        <row r="67">
          <cell r="H67">
            <v>2296522</v>
          </cell>
        </row>
        <row r="68">
          <cell r="H68">
            <v>7111925</v>
          </cell>
        </row>
        <row r="69">
          <cell r="H69">
            <v>5925649</v>
          </cell>
        </row>
        <row r="70">
          <cell r="H70">
            <v>3266032</v>
          </cell>
        </row>
        <row r="71">
          <cell r="H71">
            <v>3287884</v>
          </cell>
        </row>
        <row r="72">
          <cell r="H72">
            <v>6129798</v>
          </cell>
        </row>
        <row r="73">
          <cell r="H73">
            <v>1156</v>
          </cell>
        </row>
        <row r="74">
          <cell r="H74">
            <v>21545</v>
          </cell>
        </row>
        <row r="75">
          <cell r="H75">
            <v>4785835</v>
          </cell>
        </row>
        <row r="76">
          <cell r="H76">
            <v>4662491</v>
          </cell>
        </row>
        <row r="77">
          <cell r="H77">
            <v>1558110</v>
          </cell>
        </row>
        <row r="78">
          <cell r="H78">
            <v>107816</v>
          </cell>
        </row>
        <row r="79">
          <cell r="H79">
            <v>4348399</v>
          </cell>
        </row>
        <row r="80">
          <cell r="H80">
            <v>14181</v>
          </cell>
        </row>
        <row r="81">
          <cell r="H81">
            <v>2978857</v>
          </cell>
        </row>
        <row r="82">
          <cell r="H82">
            <v>31762</v>
          </cell>
        </row>
        <row r="83">
          <cell r="H83">
            <v>5869884</v>
          </cell>
        </row>
        <row r="84">
          <cell r="H84">
            <v>25297</v>
          </cell>
        </row>
        <row r="85">
          <cell r="H85">
            <v>23914</v>
          </cell>
        </row>
        <row r="86">
          <cell r="H86">
            <v>23189</v>
          </cell>
        </row>
        <row r="87">
          <cell r="H87">
            <v>5806878</v>
          </cell>
        </row>
        <row r="88">
          <cell r="H88">
            <v>5183450</v>
          </cell>
        </row>
        <row r="89">
          <cell r="H89">
            <v>7074703</v>
          </cell>
        </row>
        <row r="90">
          <cell r="H90">
            <v>2328610</v>
          </cell>
        </row>
        <row r="91">
          <cell r="H91">
            <v>26399</v>
          </cell>
        </row>
        <row r="92">
          <cell r="H92">
            <v>3350395</v>
          </cell>
        </row>
        <row r="93">
          <cell r="H93">
            <v>4403076</v>
          </cell>
        </row>
        <row r="94">
          <cell r="H94">
            <v>7021972</v>
          </cell>
        </row>
        <row r="95">
          <cell r="H95">
            <v>25376</v>
          </cell>
        </row>
        <row r="96">
          <cell r="H96">
            <v>148576</v>
          </cell>
        </row>
        <row r="97">
          <cell r="H97">
            <v>7121850</v>
          </cell>
        </row>
        <row r="98">
          <cell r="H98">
            <v>5183443</v>
          </cell>
        </row>
        <row r="99">
          <cell r="H99">
            <v>22331</v>
          </cell>
        </row>
        <row r="100">
          <cell r="H100">
            <v>6223539</v>
          </cell>
        </row>
        <row r="101">
          <cell r="H101">
            <v>23206</v>
          </cell>
        </row>
        <row r="102">
          <cell r="H102">
            <v>5635850</v>
          </cell>
        </row>
        <row r="103">
          <cell r="H103">
            <v>7127647</v>
          </cell>
        </row>
        <row r="104">
          <cell r="H104">
            <v>7046145</v>
          </cell>
        </row>
        <row r="105">
          <cell r="H105">
            <v>1045238</v>
          </cell>
        </row>
        <row r="106">
          <cell r="H106">
            <v>16787</v>
          </cell>
        </row>
        <row r="107">
          <cell r="H107">
            <v>6223577</v>
          </cell>
        </row>
        <row r="108">
          <cell r="H108">
            <v>4785828</v>
          </cell>
        </row>
        <row r="109">
          <cell r="H109">
            <v>33935</v>
          </cell>
        </row>
        <row r="110">
          <cell r="H110">
            <v>7038281</v>
          </cell>
        </row>
        <row r="111">
          <cell r="H111">
            <v>7106807</v>
          </cell>
        </row>
        <row r="112">
          <cell r="H112">
            <v>117947</v>
          </cell>
        </row>
        <row r="113">
          <cell r="H113">
            <v>5925687</v>
          </cell>
        </row>
        <row r="114">
          <cell r="H114">
            <v>7063694</v>
          </cell>
        </row>
        <row r="115">
          <cell r="H115">
            <v>6518055</v>
          </cell>
        </row>
        <row r="116">
          <cell r="H116">
            <v>18448</v>
          </cell>
        </row>
        <row r="117">
          <cell r="H117">
            <v>1527</v>
          </cell>
        </row>
        <row r="118">
          <cell r="H118">
            <v>4219071</v>
          </cell>
        </row>
        <row r="119">
          <cell r="H119">
            <v>6476063</v>
          </cell>
        </row>
        <row r="120">
          <cell r="H120">
            <v>7000689</v>
          </cell>
        </row>
        <row r="121">
          <cell r="H121">
            <v>4591782</v>
          </cell>
        </row>
        <row r="122">
          <cell r="H122">
            <v>24133</v>
          </cell>
        </row>
        <row r="123">
          <cell r="H123">
            <v>6428853</v>
          </cell>
        </row>
        <row r="124">
          <cell r="H124">
            <v>7065990</v>
          </cell>
        </row>
        <row r="125">
          <cell r="H125">
            <v>7002032</v>
          </cell>
        </row>
        <row r="126">
          <cell r="H126">
            <v>2397964</v>
          </cell>
        </row>
        <row r="127">
          <cell r="H127">
            <v>78835</v>
          </cell>
        </row>
        <row r="128">
          <cell r="H128">
            <v>7102397</v>
          </cell>
        </row>
        <row r="129">
          <cell r="H129">
            <v>7030123</v>
          </cell>
        </row>
        <row r="130">
          <cell r="H130">
            <v>4611992</v>
          </cell>
        </row>
        <row r="131">
          <cell r="H131">
            <v>7051511</v>
          </cell>
        </row>
        <row r="132">
          <cell r="H132">
            <v>7037787</v>
          </cell>
        </row>
        <row r="133">
          <cell r="H133">
            <v>137178</v>
          </cell>
        </row>
        <row r="134">
          <cell r="H134">
            <v>6428767</v>
          </cell>
        </row>
        <row r="135">
          <cell r="H135">
            <v>7044259</v>
          </cell>
        </row>
        <row r="136">
          <cell r="H136">
            <v>1564362</v>
          </cell>
        </row>
        <row r="137">
          <cell r="H137">
            <v>5508444</v>
          </cell>
        </row>
        <row r="138">
          <cell r="H138">
            <v>47017</v>
          </cell>
        </row>
        <row r="139">
          <cell r="H139">
            <v>2298355</v>
          </cell>
        </row>
        <row r="140">
          <cell r="H140">
            <v>5677416</v>
          </cell>
        </row>
        <row r="141">
          <cell r="H141">
            <v>4490766</v>
          </cell>
        </row>
        <row r="142">
          <cell r="H142">
            <v>917491</v>
          </cell>
        </row>
        <row r="143">
          <cell r="H143">
            <v>4543620</v>
          </cell>
        </row>
        <row r="144">
          <cell r="H144">
            <v>7089641</v>
          </cell>
        </row>
        <row r="145">
          <cell r="H145">
            <v>7051507</v>
          </cell>
        </row>
        <row r="146">
          <cell r="H146">
            <v>4447960</v>
          </cell>
        </row>
        <row r="147">
          <cell r="H147">
            <v>5875153</v>
          </cell>
        </row>
        <row r="148">
          <cell r="H148">
            <v>6428750</v>
          </cell>
        </row>
        <row r="149">
          <cell r="H149">
            <v>1352</v>
          </cell>
        </row>
        <row r="150">
          <cell r="H150">
            <v>1406918</v>
          </cell>
        </row>
        <row r="151">
          <cell r="H151">
            <v>7084123</v>
          </cell>
        </row>
        <row r="152">
          <cell r="H152">
            <v>25417</v>
          </cell>
        </row>
        <row r="153">
          <cell r="H153">
            <v>4705248</v>
          </cell>
        </row>
        <row r="154">
          <cell r="H154">
            <v>3940963</v>
          </cell>
        </row>
        <row r="155">
          <cell r="H155">
            <v>5060810</v>
          </cell>
        </row>
        <row r="156">
          <cell r="H156">
            <v>4514635</v>
          </cell>
        </row>
        <row r="157">
          <cell r="H157">
            <v>1390</v>
          </cell>
        </row>
        <row r="158">
          <cell r="H158">
            <v>27707</v>
          </cell>
        </row>
        <row r="159">
          <cell r="H159">
            <v>11483</v>
          </cell>
        </row>
        <row r="160">
          <cell r="H160">
            <v>6333821</v>
          </cell>
        </row>
        <row r="161">
          <cell r="H161">
            <v>6167640</v>
          </cell>
        </row>
        <row r="162">
          <cell r="H162">
            <v>22609</v>
          </cell>
        </row>
        <row r="163">
          <cell r="H163">
            <v>23426</v>
          </cell>
        </row>
        <row r="164">
          <cell r="H164">
            <v>7065049</v>
          </cell>
        </row>
        <row r="165">
          <cell r="H165">
            <v>22094</v>
          </cell>
        </row>
        <row r="166">
          <cell r="H166">
            <v>6454621</v>
          </cell>
        </row>
        <row r="167">
          <cell r="H167">
            <v>1259</v>
          </cell>
        </row>
        <row r="168">
          <cell r="H168">
            <v>7115744</v>
          </cell>
        </row>
        <row r="169">
          <cell r="H169">
            <v>6367165</v>
          </cell>
        </row>
        <row r="170">
          <cell r="H170">
            <v>7068424</v>
          </cell>
        </row>
        <row r="171">
          <cell r="H171">
            <v>27714</v>
          </cell>
        </row>
        <row r="172">
          <cell r="H172">
            <v>27893</v>
          </cell>
        </row>
        <row r="173">
          <cell r="H173">
            <v>31315</v>
          </cell>
        </row>
        <row r="174">
          <cell r="H174">
            <v>4196651</v>
          </cell>
        </row>
        <row r="175">
          <cell r="H175">
            <v>7102401</v>
          </cell>
        </row>
        <row r="176">
          <cell r="H176">
            <v>6440288</v>
          </cell>
        </row>
        <row r="177">
          <cell r="H177">
            <v>3148435</v>
          </cell>
        </row>
        <row r="178">
          <cell r="H178">
            <v>106879</v>
          </cell>
        </row>
        <row r="179">
          <cell r="H179">
            <v>7121852</v>
          </cell>
        </row>
        <row r="180">
          <cell r="H180">
            <v>4243463</v>
          </cell>
        </row>
        <row r="181">
          <cell r="H181">
            <v>2332149</v>
          </cell>
        </row>
        <row r="182">
          <cell r="H182">
            <v>825356</v>
          </cell>
        </row>
        <row r="183">
          <cell r="H183">
            <v>2456623</v>
          </cell>
        </row>
        <row r="184">
          <cell r="H184">
            <v>4477026</v>
          </cell>
        </row>
        <row r="185">
          <cell r="H185">
            <v>5393329</v>
          </cell>
        </row>
        <row r="186">
          <cell r="H186">
            <v>5337172</v>
          </cell>
        </row>
        <row r="187">
          <cell r="H187">
            <v>6214751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K2">
            <v>6428767</v>
          </cell>
        </row>
        <row r="3">
          <cell r="K3">
            <v>6333821</v>
          </cell>
        </row>
        <row r="4">
          <cell r="K4">
            <v>5881130</v>
          </cell>
        </row>
        <row r="5">
          <cell r="K5">
            <v>5925687</v>
          </cell>
        </row>
        <row r="6">
          <cell r="K6">
            <v>3350395</v>
          </cell>
        </row>
        <row r="7">
          <cell r="K7">
            <v>5665521</v>
          </cell>
        </row>
        <row r="8">
          <cell r="K8">
            <v>7029505</v>
          </cell>
        </row>
        <row r="9">
          <cell r="K9">
            <v>6016351</v>
          </cell>
        </row>
        <row r="10">
          <cell r="K10">
            <v>6440288</v>
          </cell>
        </row>
        <row r="11">
          <cell r="K11">
            <v>4847027</v>
          </cell>
        </row>
        <row r="12">
          <cell r="K12">
            <v>6578772</v>
          </cell>
        </row>
        <row r="13">
          <cell r="K13">
            <v>4662491</v>
          </cell>
        </row>
        <row r="14">
          <cell r="K14">
            <v>5639997</v>
          </cell>
        </row>
        <row r="15">
          <cell r="K15">
            <v>7000689</v>
          </cell>
        </row>
        <row r="16">
          <cell r="K16">
            <v>4348399</v>
          </cell>
        </row>
        <row r="17">
          <cell r="K17">
            <v>825356</v>
          </cell>
        </row>
        <row r="18">
          <cell r="K18">
            <v>17803</v>
          </cell>
        </row>
        <row r="19">
          <cell r="K19">
            <v>5677416</v>
          </cell>
        </row>
        <row r="20">
          <cell r="K20">
            <v>2298355</v>
          </cell>
        </row>
        <row r="21">
          <cell r="K21">
            <v>1097451</v>
          </cell>
        </row>
        <row r="22">
          <cell r="K22">
            <v>7031125</v>
          </cell>
        </row>
        <row r="23">
          <cell r="K23">
            <v>5806878</v>
          </cell>
        </row>
        <row r="24">
          <cell r="K24">
            <v>6186872</v>
          </cell>
        </row>
        <row r="25">
          <cell r="K25">
            <v>14514</v>
          </cell>
        </row>
        <row r="26">
          <cell r="K26">
            <v>5032549</v>
          </cell>
        </row>
        <row r="27">
          <cell r="K27">
            <v>5997055</v>
          </cell>
        </row>
        <row r="28">
          <cell r="K28">
            <v>1406918</v>
          </cell>
        </row>
        <row r="29">
          <cell r="K29">
            <v>2306412</v>
          </cell>
        </row>
        <row r="30">
          <cell r="K30">
            <v>3915912</v>
          </cell>
        </row>
        <row r="31">
          <cell r="K31">
            <v>3798438</v>
          </cell>
        </row>
        <row r="32">
          <cell r="K32">
            <v>7029507</v>
          </cell>
        </row>
        <row r="33">
          <cell r="K33">
            <v>5636866</v>
          </cell>
        </row>
        <row r="34">
          <cell r="K34">
            <v>4158039</v>
          </cell>
        </row>
        <row r="35">
          <cell r="K35">
            <v>5925649</v>
          </cell>
        </row>
        <row r="36">
          <cell r="K36">
            <v>5881037</v>
          </cell>
        </row>
        <row r="37">
          <cell r="K37">
            <v>3266032</v>
          </cell>
        </row>
        <row r="38">
          <cell r="K38">
            <v>5627772</v>
          </cell>
        </row>
        <row r="39">
          <cell r="K39">
            <v>4873981</v>
          </cell>
        </row>
        <row r="40">
          <cell r="K40">
            <v>7029513</v>
          </cell>
        </row>
        <row r="41">
          <cell r="K41">
            <v>4158022</v>
          </cell>
        </row>
        <row r="42">
          <cell r="K42">
            <v>6158927</v>
          </cell>
        </row>
        <row r="43">
          <cell r="K43">
            <v>5207587</v>
          </cell>
        </row>
        <row r="44">
          <cell r="K44">
            <v>5124055</v>
          </cell>
        </row>
        <row r="45">
          <cell r="K45">
            <v>6590798</v>
          </cell>
        </row>
        <row r="46">
          <cell r="K46">
            <v>3040980</v>
          </cell>
        </row>
        <row r="47">
          <cell r="K47">
            <v>5880784</v>
          </cell>
        </row>
        <row r="48">
          <cell r="K48">
            <v>2060208</v>
          </cell>
        </row>
        <row r="49">
          <cell r="K49">
            <v>4689508</v>
          </cell>
        </row>
        <row r="50">
          <cell r="K50">
            <v>5393329</v>
          </cell>
        </row>
        <row r="51">
          <cell r="K51">
            <v>3148435</v>
          </cell>
        </row>
        <row r="52">
          <cell r="K52">
            <v>16880</v>
          </cell>
        </row>
        <row r="53">
          <cell r="K53">
            <v>7029241</v>
          </cell>
        </row>
        <row r="54">
          <cell r="K54">
            <v>4447960</v>
          </cell>
        </row>
        <row r="55">
          <cell r="K55">
            <v>18723</v>
          </cell>
        </row>
        <row r="56">
          <cell r="K56">
            <v>6521035</v>
          </cell>
        </row>
        <row r="57">
          <cell r="K57">
            <v>4491002</v>
          </cell>
        </row>
        <row r="58">
          <cell r="K58">
            <v>3148428</v>
          </cell>
        </row>
        <row r="59">
          <cell r="K59">
            <v>5508444</v>
          </cell>
        </row>
        <row r="60">
          <cell r="K60">
            <v>4785828</v>
          </cell>
        </row>
        <row r="61">
          <cell r="K61">
            <v>4477026</v>
          </cell>
        </row>
        <row r="62">
          <cell r="K62">
            <v>5124024</v>
          </cell>
        </row>
        <row r="63">
          <cell r="K63">
            <v>4785835</v>
          </cell>
        </row>
        <row r="64">
          <cell r="K64">
            <v>4591782</v>
          </cell>
        </row>
        <row r="65">
          <cell r="K65">
            <v>1383</v>
          </cell>
        </row>
        <row r="66">
          <cell r="K66">
            <v>5060793</v>
          </cell>
        </row>
        <row r="67">
          <cell r="K67">
            <v>164361</v>
          </cell>
        </row>
        <row r="68">
          <cell r="K68">
            <v>5710744</v>
          </cell>
        </row>
        <row r="69">
          <cell r="K69">
            <v>5627758</v>
          </cell>
        </row>
        <row r="70">
          <cell r="K70">
            <v>4556538</v>
          </cell>
        </row>
        <row r="71">
          <cell r="K71">
            <v>5409079</v>
          </cell>
        </row>
        <row r="72">
          <cell r="K72">
            <v>4705248</v>
          </cell>
        </row>
        <row r="73">
          <cell r="K73">
            <v>4403076</v>
          </cell>
        </row>
        <row r="74">
          <cell r="K74">
            <v>1866132</v>
          </cell>
        </row>
        <row r="75">
          <cell r="K75">
            <v>4329411</v>
          </cell>
        </row>
        <row r="76">
          <cell r="K76">
            <v>4447984</v>
          </cell>
        </row>
        <row r="77">
          <cell r="K77">
            <v>4674166</v>
          </cell>
        </row>
        <row r="78">
          <cell r="K78">
            <v>3599479</v>
          </cell>
        </row>
        <row r="79">
          <cell r="K79">
            <v>4768151</v>
          </cell>
        </row>
        <row r="80">
          <cell r="K80">
            <v>5553530</v>
          </cell>
        </row>
        <row r="81">
          <cell r="K81">
            <v>4325556</v>
          </cell>
        </row>
        <row r="82">
          <cell r="K82">
            <v>5295221</v>
          </cell>
        </row>
        <row r="83">
          <cell r="K83">
            <v>7029516</v>
          </cell>
        </row>
        <row r="84">
          <cell r="K84">
            <v>2296522</v>
          </cell>
        </row>
        <row r="85">
          <cell r="K85">
            <v>4705176</v>
          </cell>
        </row>
        <row r="86">
          <cell r="K86">
            <v>5060810</v>
          </cell>
        </row>
        <row r="87">
          <cell r="K87">
            <v>6590839</v>
          </cell>
        </row>
        <row r="88">
          <cell r="K88">
            <v>5242683</v>
          </cell>
        </row>
        <row r="89">
          <cell r="K89">
            <v>17827</v>
          </cell>
        </row>
        <row r="90">
          <cell r="K90">
            <v>5720105</v>
          </cell>
        </row>
        <row r="91">
          <cell r="K91">
            <v>4611679</v>
          </cell>
        </row>
        <row r="92">
          <cell r="K92">
            <v>5894275</v>
          </cell>
        </row>
        <row r="93">
          <cell r="K93">
            <v>5337172</v>
          </cell>
        </row>
        <row r="94">
          <cell r="K94">
            <v>7000686</v>
          </cell>
        </row>
        <row r="95">
          <cell r="K95">
            <v>7029242</v>
          </cell>
        </row>
        <row r="96">
          <cell r="K96">
            <v>4219071</v>
          </cell>
        </row>
        <row r="97">
          <cell r="K97">
            <v>5183443</v>
          </cell>
        </row>
        <row r="98">
          <cell r="K98">
            <v>5183450</v>
          </cell>
        </row>
        <row r="99">
          <cell r="K99">
            <v>3118757</v>
          </cell>
        </row>
        <row r="100">
          <cell r="K100">
            <v>2456623</v>
          </cell>
        </row>
        <row r="101">
          <cell r="K101">
            <v>1558110</v>
          </cell>
        </row>
        <row r="102">
          <cell r="K102">
            <v>7041770</v>
          </cell>
        </row>
        <row r="103">
          <cell r="K103">
            <v>7030072</v>
          </cell>
        </row>
        <row r="104">
          <cell r="K104">
            <v>7018338</v>
          </cell>
        </row>
        <row r="105">
          <cell r="K105">
            <v>6428750</v>
          </cell>
        </row>
        <row r="106">
          <cell r="K106">
            <v>7001228</v>
          </cell>
        </row>
        <row r="107">
          <cell r="K107">
            <v>7028829</v>
          </cell>
        </row>
        <row r="108">
          <cell r="K108">
            <v>7016414</v>
          </cell>
        </row>
        <row r="109">
          <cell r="K109">
            <v>7003306</v>
          </cell>
        </row>
        <row r="110">
          <cell r="K110">
            <v>6460220</v>
          </cell>
        </row>
        <row r="111">
          <cell r="K111">
            <v>6476063</v>
          </cell>
        </row>
        <row r="112">
          <cell r="K112">
            <v>7051511</v>
          </cell>
        </row>
        <row r="113">
          <cell r="K113">
            <v>6304702</v>
          </cell>
        </row>
        <row r="114">
          <cell r="K114">
            <v>7054178</v>
          </cell>
        </row>
        <row r="115">
          <cell r="K115">
            <v>7036612</v>
          </cell>
        </row>
        <row r="116">
          <cell r="K116">
            <v>6087919</v>
          </cell>
        </row>
        <row r="117">
          <cell r="K117">
            <v>6087919</v>
          </cell>
        </row>
        <row r="118">
          <cell r="K118">
            <v>7030123</v>
          </cell>
        </row>
        <row r="119">
          <cell r="K119">
            <v>7017786</v>
          </cell>
        </row>
        <row r="120">
          <cell r="K120">
            <v>7032344</v>
          </cell>
        </row>
        <row r="121">
          <cell r="K121">
            <v>6011370</v>
          </cell>
        </row>
        <row r="122">
          <cell r="K122">
            <v>6327734</v>
          </cell>
        </row>
        <row r="123">
          <cell r="K123">
            <v>7083703</v>
          </cell>
        </row>
        <row r="124">
          <cell r="K124">
            <v>7030068</v>
          </cell>
        </row>
        <row r="125">
          <cell r="K125">
            <v>7038281</v>
          </cell>
        </row>
        <row r="126">
          <cell r="K126">
            <v>6605212</v>
          </cell>
        </row>
        <row r="127">
          <cell r="K127">
            <v>7030065</v>
          </cell>
        </row>
        <row r="128">
          <cell r="K128">
            <v>7030065</v>
          </cell>
        </row>
        <row r="129">
          <cell r="K129">
            <v>7068424</v>
          </cell>
        </row>
        <row r="130">
          <cell r="K130">
            <v>7083710</v>
          </cell>
        </row>
        <row r="131">
          <cell r="K131">
            <v>7017790</v>
          </cell>
        </row>
        <row r="132">
          <cell r="K132">
            <v>6518055</v>
          </cell>
        </row>
        <row r="133">
          <cell r="K133">
            <v>7036288</v>
          </cell>
        </row>
        <row r="134">
          <cell r="K134">
            <v>5881491</v>
          </cell>
        </row>
        <row r="135">
          <cell r="K135">
            <v>7037787</v>
          </cell>
        </row>
        <row r="136">
          <cell r="K136">
            <v>7023294</v>
          </cell>
        </row>
        <row r="137">
          <cell r="K137">
            <v>7068428</v>
          </cell>
        </row>
        <row r="138">
          <cell r="K138">
            <v>7081388</v>
          </cell>
        </row>
        <row r="139">
          <cell r="K139">
            <v>7046145</v>
          </cell>
        </row>
        <row r="140">
          <cell r="K140">
            <v>5858163</v>
          </cell>
        </row>
        <row r="141">
          <cell r="K141">
            <v>7052927</v>
          </cell>
        </row>
        <row r="142">
          <cell r="K142">
            <v>7070345</v>
          </cell>
        </row>
        <row r="143">
          <cell r="K143">
            <v>7032328</v>
          </cell>
        </row>
        <row r="144">
          <cell r="K144">
            <v>6517898</v>
          </cell>
        </row>
        <row r="145">
          <cell r="K145">
            <v>7046448</v>
          </cell>
        </row>
        <row r="146">
          <cell r="K146">
            <v>7089641</v>
          </cell>
        </row>
        <row r="147">
          <cell r="K147">
            <v>7054720</v>
          </cell>
        </row>
        <row r="148">
          <cell r="K148">
            <v>6514035</v>
          </cell>
        </row>
        <row r="149">
          <cell r="K149">
            <v>7065049</v>
          </cell>
        </row>
        <row r="150">
          <cell r="K150">
            <v>7051507</v>
          </cell>
        </row>
        <row r="151">
          <cell r="K151">
            <v>7107554</v>
          </cell>
        </row>
        <row r="152">
          <cell r="K152">
            <v>7067555</v>
          </cell>
        </row>
        <row r="153">
          <cell r="K153">
            <v>7106807</v>
          </cell>
        </row>
        <row r="154">
          <cell r="K154">
            <v>7102401</v>
          </cell>
        </row>
        <row r="155">
          <cell r="K155">
            <v>7060709</v>
          </cell>
        </row>
        <row r="156">
          <cell r="K156">
            <v>7068430</v>
          </cell>
        </row>
        <row r="157">
          <cell r="K157">
            <v>7084123</v>
          </cell>
        </row>
        <row r="158">
          <cell r="K158">
            <v>7017785</v>
          </cell>
        </row>
        <row r="159">
          <cell r="K159">
            <v>7068422</v>
          </cell>
        </row>
        <row r="160">
          <cell r="K160">
            <v>7060031</v>
          </cell>
        </row>
        <row r="161">
          <cell r="K161">
            <v>7117726</v>
          </cell>
        </row>
        <row r="162">
          <cell r="K162">
            <v>7033417</v>
          </cell>
        </row>
        <row r="163">
          <cell r="K163">
            <v>7104907</v>
          </cell>
        </row>
        <row r="164">
          <cell r="K164">
            <v>7080403</v>
          </cell>
        </row>
        <row r="165">
          <cell r="K165">
            <v>7100876</v>
          </cell>
        </row>
        <row r="166">
          <cell r="K166">
            <v>7021972</v>
          </cell>
        </row>
        <row r="167">
          <cell r="K167">
            <v>7006188</v>
          </cell>
        </row>
        <row r="168">
          <cell r="K168">
            <v>7102397</v>
          </cell>
        </row>
        <row r="169">
          <cell r="K169">
            <v>7004369</v>
          </cell>
        </row>
        <row r="170">
          <cell r="K170">
            <v>7078152</v>
          </cell>
        </row>
        <row r="171">
          <cell r="K171">
            <v>7081764</v>
          </cell>
        </row>
        <row r="172">
          <cell r="K172">
            <v>7019974</v>
          </cell>
        </row>
        <row r="173">
          <cell r="K173">
            <v>7097216</v>
          </cell>
        </row>
        <row r="174">
          <cell r="K174">
            <v>7121852</v>
          </cell>
        </row>
        <row r="175">
          <cell r="K175">
            <v>7076958</v>
          </cell>
        </row>
        <row r="176">
          <cell r="K176">
            <v>7127647</v>
          </cell>
        </row>
        <row r="177">
          <cell r="K177">
            <v>7120418</v>
          </cell>
        </row>
        <row r="178">
          <cell r="K178">
            <v>7107821</v>
          </cell>
        </row>
        <row r="179">
          <cell r="K179">
            <v>7089024</v>
          </cell>
        </row>
        <row r="180">
          <cell r="K180">
            <v>7105442</v>
          </cell>
        </row>
        <row r="181">
          <cell r="K181">
            <v>7107551</v>
          </cell>
        </row>
        <row r="182">
          <cell r="K182">
            <v>7076958</v>
          </cell>
        </row>
        <row r="183">
          <cell r="K183">
            <v>7124907</v>
          </cell>
        </row>
        <row r="184">
          <cell r="K184">
            <v>7133375</v>
          </cell>
        </row>
        <row r="185">
          <cell r="K185">
            <v>7048885</v>
          </cell>
        </row>
        <row r="186">
          <cell r="K186">
            <v>7109453</v>
          </cell>
        </row>
        <row r="187">
          <cell r="K187">
            <v>7073332</v>
          </cell>
        </row>
        <row r="188">
          <cell r="K188">
            <v>7036096</v>
          </cell>
        </row>
        <row r="189">
          <cell r="K189">
            <v>5174122</v>
          </cell>
        </row>
        <row r="190">
          <cell r="K190">
            <v>7098243</v>
          </cell>
        </row>
        <row r="191">
          <cell r="K191">
            <v>7011451</v>
          </cell>
        </row>
        <row r="192">
          <cell r="K192">
            <v>7142008</v>
          </cell>
        </row>
        <row r="193">
          <cell r="K193">
            <v>7122996</v>
          </cell>
        </row>
        <row r="194">
          <cell r="K194">
            <v>7102399</v>
          </cell>
        </row>
        <row r="195">
          <cell r="K195">
            <v>7127096</v>
          </cell>
        </row>
        <row r="196">
          <cell r="K196">
            <v>7110696</v>
          </cell>
        </row>
        <row r="197">
          <cell r="K197">
            <v>6517269</v>
          </cell>
        </row>
        <row r="198">
          <cell r="K198">
            <v>7147502</v>
          </cell>
        </row>
        <row r="199">
          <cell r="K199">
            <v>7054548</v>
          </cell>
        </row>
        <row r="200">
          <cell r="K200">
            <v>5638022</v>
          </cell>
        </row>
        <row r="201">
          <cell r="K201">
            <v>7067561</v>
          </cell>
        </row>
        <row r="202">
          <cell r="K202">
            <v>7107548</v>
          </cell>
        </row>
        <row r="203">
          <cell r="K203" t="str">
            <v>N/A</v>
          </cell>
        </row>
        <row r="204">
          <cell r="K204">
            <v>7059306</v>
          </cell>
        </row>
        <row r="205">
          <cell r="K205">
            <v>7138219</v>
          </cell>
        </row>
        <row r="206">
          <cell r="K206">
            <v>27714</v>
          </cell>
        </row>
        <row r="207">
          <cell r="K207">
            <v>3469389</v>
          </cell>
        </row>
        <row r="208">
          <cell r="K208">
            <v>7054172</v>
          </cell>
        </row>
        <row r="209">
          <cell r="K209">
            <v>7138939</v>
          </cell>
        </row>
        <row r="210">
          <cell r="K210">
            <v>23189</v>
          </cell>
        </row>
        <row r="211">
          <cell r="K211">
            <v>7141227</v>
          </cell>
        </row>
        <row r="212">
          <cell r="K212">
            <v>7147007</v>
          </cell>
        </row>
        <row r="213">
          <cell r="K213">
            <v>4582588</v>
          </cell>
        </row>
        <row r="214">
          <cell r="K214">
            <v>7146673</v>
          </cell>
        </row>
        <row r="215">
          <cell r="K215">
            <v>7149439</v>
          </cell>
        </row>
        <row r="216">
          <cell r="K216">
            <v>7079706</v>
          </cell>
        </row>
        <row r="217">
          <cell r="K217">
            <v>7130622</v>
          </cell>
        </row>
        <row r="218">
          <cell r="K218">
            <v>5942543</v>
          </cell>
        </row>
        <row r="219">
          <cell r="K219">
            <v>7126793</v>
          </cell>
        </row>
        <row r="220">
          <cell r="K220">
            <v>7153516</v>
          </cell>
        </row>
        <row r="221">
          <cell r="K221">
            <v>6472799</v>
          </cell>
        </row>
        <row r="222">
          <cell r="K222">
            <v>7068421</v>
          </cell>
        </row>
        <row r="223">
          <cell r="K223">
            <v>7151239</v>
          </cell>
        </row>
        <row r="225">
          <cell r="K225">
            <v>7133494</v>
          </cell>
        </row>
        <row r="226">
          <cell r="K226">
            <v>7125876</v>
          </cell>
        </row>
        <row r="228">
          <cell r="K228">
            <v>7108656</v>
          </cell>
        </row>
        <row r="229">
          <cell r="K229">
            <v>19007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E1EC-4820-4514-A89A-322361245AE5}">
  <dimension ref="A1:H19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39.7109375" bestFit="1" customWidth="1"/>
    <col min="3" max="3" width="89.14062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476</v>
      </c>
      <c r="H1" s="1" t="s">
        <v>477</v>
      </c>
    </row>
    <row r="2" spans="1:8" x14ac:dyDescent="0.25">
      <c r="A2">
        <v>5</v>
      </c>
      <c r="B2" t="s">
        <v>8</v>
      </c>
      <c r="C2" t="s">
        <v>184</v>
      </c>
      <c r="D2">
        <v>6016351</v>
      </c>
      <c r="E2">
        <v>2011</v>
      </c>
      <c r="F2" t="s">
        <v>466</v>
      </c>
      <c r="G2" t="e">
        <f>IF(COUNTIF([1]Index!$H$2:$H$187,D2)&gt;0,"","NO")</f>
        <v>#VALUE!</v>
      </c>
    </row>
    <row r="3" spans="1:8" x14ac:dyDescent="0.25">
      <c r="A3">
        <v>63</v>
      </c>
      <c r="B3" t="s">
        <v>341</v>
      </c>
      <c r="C3" t="s">
        <v>25</v>
      </c>
      <c r="D3" s="2">
        <v>3709898</v>
      </c>
      <c r="F3" t="s">
        <v>465</v>
      </c>
      <c r="G3" t="e">
        <f>IF(COUNTIF([1]Index!$H$2:$H$187,D3)&gt;0,"","NO")</f>
        <v>#VALUE!</v>
      </c>
      <c r="H3" t="e">
        <f>IF(COUNTIF([2]Sheet1!$K$2:$K$233,D3)&gt;0,"","NO")</f>
        <v>#VALUE!</v>
      </c>
    </row>
    <row r="4" spans="1:8" x14ac:dyDescent="0.25">
      <c r="A4">
        <v>78</v>
      </c>
      <c r="B4" t="s">
        <v>144</v>
      </c>
      <c r="C4" t="s">
        <v>254</v>
      </c>
      <c r="D4">
        <v>626713</v>
      </c>
      <c r="E4">
        <v>1990</v>
      </c>
      <c r="F4" t="s">
        <v>466</v>
      </c>
      <c r="G4" t="e">
        <f>IF(COUNTIF([1]Index!$H$2:$H$187,D4)&gt;0,"","NO")</f>
        <v>#VALUE!</v>
      </c>
      <c r="H4" t="e">
        <f>IF(COUNTIF([2]Sheet1!$K$2:$K$233,D4)&gt;0,"","NO")</f>
        <v>#VALUE!</v>
      </c>
    </row>
    <row r="5" spans="1:8" x14ac:dyDescent="0.25">
      <c r="A5">
        <v>76</v>
      </c>
      <c r="B5" t="s">
        <v>352</v>
      </c>
      <c r="C5" t="s">
        <v>353</v>
      </c>
      <c r="D5" s="2">
        <v>120556</v>
      </c>
      <c r="F5" t="s">
        <v>465</v>
      </c>
      <c r="G5" t="e">
        <f>IF(COUNTIF([1]Index!$H$2:$H$187,D5)&gt;0,"","NO")</f>
        <v>#VALUE!</v>
      </c>
    </row>
    <row r="6" spans="1:8" x14ac:dyDescent="0.25">
      <c r="A6">
        <v>95</v>
      </c>
      <c r="B6" t="s">
        <v>171</v>
      </c>
      <c r="C6" t="s">
        <v>269</v>
      </c>
      <c r="D6">
        <v>2489542</v>
      </c>
      <c r="E6">
        <v>1998</v>
      </c>
      <c r="F6" t="s">
        <v>466</v>
      </c>
      <c r="G6" t="e">
        <f>IF(COUNTIF([1]Index!$H$2:$H$187,D6)&gt;0,"","NO")</f>
        <v>#VALUE!</v>
      </c>
      <c r="H6" t="e">
        <f>IF(COUNTIF([2]Sheet1!$K$2:$K$233,D6)&gt;0,"","NO")</f>
        <v>#VALUE!</v>
      </c>
    </row>
    <row r="7" spans="1:8" x14ac:dyDescent="0.25">
      <c r="A7">
        <v>24</v>
      </c>
      <c r="B7" t="s">
        <v>46</v>
      </c>
      <c r="C7" t="s">
        <v>203</v>
      </c>
      <c r="D7">
        <v>4768151</v>
      </c>
      <c r="E7">
        <v>2006</v>
      </c>
      <c r="F7" t="s">
        <v>466</v>
      </c>
      <c r="G7" t="e">
        <f>IF(COUNTIF([1]Index!$H$2:$H$187,D7)&gt;0,"","NO")</f>
        <v>#VALUE!</v>
      </c>
    </row>
    <row r="8" spans="1:8" x14ac:dyDescent="0.25">
      <c r="A8">
        <v>49</v>
      </c>
      <c r="B8" t="s">
        <v>280</v>
      </c>
      <c r="C8" t="s">
        <v>281</v>
      </c>
      <c r="D8">
        <v>7124907</v>
      </c>
      <c r="F8" t="s">
        <v>464</v>
      </c>
      <c r="G8" t="e">
        <f>IF(COUNTIF([1]Index!$H$2:$H$187,D8)&gt;0,"","NO")</f>
        <v>#VALUE!</v>
      </c>
    </row>
    <row r="9" spans="1:8" x14ac:dyDescent="0.25">
      <c r="A9">
        <v>79</v>
      </c>
      <c r="B9" t="s">
        <v>356</v>
      </c>
      <c r="C9" t="s">
        <v>357</v>
      </c>
      <c r="D9" s="2">
        <v>1431</v>
      </c>
      <c r="F9" t="s">
        <v>465</v>
      </c>
      <c r="G9" t="e">
        <f>IF(COUNTIF([1]Index!$H$2:$H$187,D9)&gt;0,"","NO")</f>
        <v>#VALUE!</v>
      </c>
    </row>
    <row r="10" spans="1:8" x14ac:dyDescent="0.25">
      <c r="A10">
        <v>73</v>
      </c>
      <c r="B10" t="s">
        <v>435</v>
      </c>
      <c r="C10" t="s">
        <v>382</v>
      </c>
      <c r="D10">
        <v>29499</v>
      </c>
      <c r="F10" t="s">
        <v>475</v>
      </c>
      <c r="G10" t="e">
        <f>IF(COUNTIF([1]Index!$H$2:$H$187,D10)&gt;0,"","NO")</f>
        <v>#VALUE!</v>
      </c>
    </row>
    <row r="11" spans="1:8" x14ac:dyDescent="0.25">
      <c r="A11">
        <v>89</v>
      </c>
      <c r="B11" t="s">
        <v>161</v>
      </c>
      <c r="C11" t="s">
        <v>263</v>
      </c>
      <c r="D11">
        <v>7017786</v>
      </c>
      <c r="E11">
        <v>2014</v>
      </c>
      <c r="F11" t="s">
        <v>466</v>
      </c>
      <c r="G11" t="e">
        <f>IF(COUNTIF([1]Index!$H$2:$H$187,D11)&gt;0,"","NO")</f>
        <v>#VALUE!</v>
      </c>
    </row>
    <row r="12" spans="1:8" x14ac:dyDescent="0.25">
      <c r="A12">
        <v>74</v>
      </c>
      <c r="B12" t="s">
        <v>349</v>
      </c>
      <c r="C12" t="s">
        <v>350</v>
      </c>
      <c r="D12" s="2">
        <v>5942543</v>
      </c>
      <c r="F12" t="s">
        <v>465</v>
      </c>
      <c r="G12" t="e">
        <f>IF(COUNTIF([1]Index!$H$2:$H$187,D12)&gt;0,"","NO")</f>
        <v>#VALUE!</v>
      </c>
      <c r="H12" t="e">
        <f>IF(COUNTIF([2]Sheet1!$K$2:$K$233,D12)&gt;0,"","NO")</f>
        <v>#VALUE!</v>
      </c>
    </row>
    <row r="13" spans="1:8" x14ac:dyDescent="0.25">
      <c r="A13">
        <v>16</v>
      </c>
      <c r="B13" t="s">
        <v>321</v>
      </c>
      <c r="C13" t="s">
        <v>322</v>
      </c>
      <c r="D13" s="2">
        <v>120824</v>
      </c>
      <c r="F13" t="s">
        <v>465</v>
      </c>
      <c r="G13" t="e">
        <f>IF(COUNTIF([1]Index!$H$2:$H$187,D13)&gt;0,"","NO")</f>
        <v>#VALUE!</v>
      </c>
      <c r="H13" t="e">
        <f>IF(COUNTIF([2]Sheet1!$K$2:$K$233,D13)&gt;0,"","NO")</f>
        <v>#VALUE!</v>
      </c>
    </row>
    <row r="14" spans="1:8" x14ac:dyDescent="0.25">
      <c r="A14">
        <v>90</v>
      </c>
      <c r="B14" t="s">
        <v>367</v>
      </c>
      <c r="C14" t="s">
        <v>368</v>
      </c>
      <c r="D14" s="2">
        <v>2650429</v>
      </c>
      <c r="F14" t="s">
        <v>465</v>
      </c>
      <c r="G14" t="e">
        <f>IF(COUNTIF([1]Index!$H$2:$H$187,D14)&gt;0,"","NO")</f>
        <v>#VALUE!</v>
      </c>
      <c r="H14" t="e">
        <f>IF(COUNTIF([2]Sheet1!$K$2:$K$233,D14)&gt;0,"","NO")</f>
        <v>#VALUE!</v>
      </c>
    </row>
    <row r="15" spans="1:8" x14ac:dyDescent="0.25">
      <c r="A15">
        <v>90</v>
      </c>
      <c r="B15" t="s">
        <v>163</v>
      </c>
      <c r="C15" t="s">
        <v>264</v>
      </c>
      <c r="D15">
        <v>2177476</v>
      </c>
      <c r="E15">
        <v>1998</v>
      </c>
      <c r="F15" t="s">
        <v>466</v>
      </c>
      <c r="G15" t="e">
        <f>IF(COUNTIF([1]Index!$H$2:$H$187,D15)&gt;0,"","NO")</f>
        <v>#VALUE!</v>
      </c>
      <c r="H15" t="e">
        <f>IF(COUNTIF([2]Sheet1!$K$2:$K$233,D15)&gt;0,"","NO")</f>
        <v>#VALUE!</v>
      </c>
    </row>
    <row r="16" spans="1:8" x14ac:dyDescent="0.25">
      <c r="A16">
        <v>69</v>
      </c>
      <c r="B16" t="s">
        <v>345</v>
      </c>
      <c r="C16" t="s">
        <v>41</v>
      </c>
      <c r="D16" s="2">
        <v>2492216</v>
      </c>
      <c r="F16" t="s">
        <v>465</v>
      </c>
      <c r="G16" t="e">
        <f>IF(COUNTIF([1]Index!$H$2:$H$187,D16)&gt;0,"","NO")</f>
        <v>#VALUE!</v>
      </c>
      <c r="H16" t="e">
        <f>IF(COUNTIF([2]Sheet1!$K$2:$K$233,D16)&gt;0,"","NO")</f>
        <v>#VALUE!</v>
      </c>
    </row>
    <row r="17" spans="1:8" x14ac:dyDescent="0.25">
      <c r="A17">
        <v>98</v>
      </c>
      <c r="B17" t="s">
        <v>454</v>
      </c>
      <c r="C17" t="s">
        <v>455</v>
      </c>
      <c r="D17">
        <v>5665521</v>
      </c>
      <c r="F17" t="s">
        <v>475</v>
      </c>
      <c r="G17" t="e">
        <f>IF(COUNTIF([1]Index!$H$2:$H$187,D17)&gt;0,"","NO")</f>
        <v>#VALUE!</v>
      </c>
      <c r="H17" t="e">
        <f>IF(COUNTIF([2]Sheet1!$K$2:$K$233,D17)&gt;0,"","NO")</f>
        <v>#VALUE!</v>
      </c>
    </row>
    <row r="18" spans="1:8" x14ac:dyDescent="0.25">
      <c r="A18">
        <v>44</v>
      </c>
      <c r="B18" t="s">
        <v>85</v>
      </c>
      <c r="C18" t="s">
        <v>222</v>
      </c>
      <c r="D18">
        <v>16880</v>
      </c>
      <c r="E18">
        <v>1971</v>
      </c>
      <c r="F18" t="s">
        <v>466</v>
      </c>
      <c r="G18" t="e">
        <f>IF(COUNTIF([1]Index!$H$2:$H$187,D18)&gt;0,"","NO")</f>
        <v>#VALUE!</v>
      </c>
    </row>
    <row r="19" spans="1:8" x14ac:dyDescent="0.25">
      <c r="A19">
        <v>80</v>
      </c>
      <c r="B19" t="s">
        <v>301</v>
      </c>
      <c r="C19" t="s">
        <v>302</v>
      </c>
      <c r="D19">
        <v>7027887</v>
      </c>
      <c r="F19" t="s">
        <v>464</v>
      </c>
      <c r="G19" t="e">
        <f>IF(COUNTIF([1]Index!$H$2:$H$187,D19)&gt;0,"","NO")</f>
        <v>#VALUE!</v>
      </c>
      <c r="H19" t="e">
        <f>IF(COUNTIF([2]Sheet1!$K$2:$K$233,D19)&gt;0,"","NO")</f>
        <v>#VALUE!</v>
      </c>
    </row>
    <row r="20" spans="1:8" x14ac:dyDescent="0.25">
      <c r="A20">
        <v>91</v>
      </c>
      <c r="B20" t="s">
        <v>164</v>
      </c>
      <c r="C20" t="s">
        <v>265</v>
      </c>
      <c r="D20">
        <v>2306412</v>
      </c>
      <c r="E20">
        <v>1997</v>
      </c>
      <c r="F20" t="s">
        <v>466</v>
      </c>
      <c r="G20" t="e">
        <f>IF(COUNTIF([1]Index!$H$2:$H$187,D20)&gt;0,"","NO")</f>
        <v>#VALUE!</v>
      </c>
    </row>
    <row r="21" spans="1:8" x14ac:dyDescent="0.25">
      <c r="A21">
        <v>55</v>
      </c>
      <c r="B21" t="s">
        <v>335</v>
      </c>
      <c r="C21" t="s">
        <v>336</v>
      </c>
      <c r="D21" s="2">
        <v>5937510</v>
      </c>
      <c r="F21" t="s">
        <v>465</v>
      </c>
      <c r="G21" t="e">
        <f>IF(COUNTIF([1]Index!$H$2:$H$187,D21)&gt;0,"","NO")</f>
        <v>#VALUE!</v>
      </c>
    </row>
    <row r="22" spans="1:8" x14ac:dyDescent="0.25">
      <c r="A22">
        <v>19</v>
      </c>
      <c r="B22" t="s">
        <v>36</v>
      </c>
      <c r="C22" t="s">
        <v>198</v>
      </c>
      <c r="D22">
        <v>3798438</v>
      </c>
      <c r="E22">
        <v>2002</v>
      </c>
      <c r="F22" t="s">
        <v>466</v>
      </c>
      <c r="G22" t="e">
        <f>IF(COUNTIF([1]Index!$H$2:$H$187,D22)&gt;0,"","NO")</f>
        <v>#VALUE!</v>
      </c>
    </row>
    <row r="23" spans="1:8" x14ac:dyDescent="0.25">
      <c r="A23">
        <v>3</v>
      </c>
      <c r="B23" t="s">
        <v>4</v>
      </c>
      <c r="C23" t="s">
        <v>182</v>
      </c>
      <c r="D23">
        <v>7070345</v>
      </c>
      <c r="E23">
        <v>2016</v>
      </c>
      <c r="F23" t="s">
        <v>466</v>
      </c>
      <c r="G23" t="e">
        <f>IF(COUNTIF([1]Index!$H$2:$H$187,D23)&gt;0,"","NO")</f>
        <v>#VALUE!</v>
      </c>
    </row>
    <row r="24" spans="1:8" x14ac:dyDescent="0.25">
      <c r="A24">
        <v>46</v>
      </c>
      <c r="B24" t="s">
        <v>89</v>
      </c>
      <c r="C24" t="s">
        <v>224</v>
      </c>
      <c r="D24">
        <v>6186078</v>
      </c>
      <c r="E24">
        <v>2011</v>
      </c>
      <c r="F24" t="s">
        <v>466</v>
      </c>
      <c r="G24" t="e">
        <f>IF(COUNTIF([1]Index!$H$2:$H$187,D24)&gt;0,"","NO")</f>
        <v>#VALUE!</v>
      </c>
    </row>
    <row r="25" spans="1:8" x14ac:dyDescent="0.25">
      <c r="A25">
        <v>85</v>
      </c>
      <c r="B25" t="s">
        <v>360</v>
      </c>
      <c r="C25" t="s">
        <v>324</v>
      </c>
      <c r="D25" s="2">
        <v>5469291</v>
      </c>
      <c r="F25" t="s">
        <v>465</v>
      </c>
      <c r="G25" t="e">
        <f>IF(COUNTIF([1]Index!$H$2:$H$187,D25)&gt;0,"","NO")</f>
        <v>#VALUE!</v>
      </c>
      <c r="H25" t="e">
        <f>IF(COUNTIF([2]Sheet1!$K$2:$K$233,D25)&gt;0,"","NO")</f>
        <v>#VALUE!</v>
      </c>
    </row>
    <row r="26" spans="1:8" x14ac:dyDescent="0.25">
      <c r="A26">
        <v>65</v>
      </c>
      <c r="B26" t="s">
        <v>426</v>
      </c>
      <c r="C26" t="s">
        <v>427</v>
      </c>
      <c r="D26">
        <v>7060031</v>
      </c>
      <c r="F26" t="s">
        <v>475</v>
      </c>
      <c r="G26" t="e">
        <f>IF(COUNTIF([1]Index!$H$2:$H$187,D26)&gt;0,"","NO")</f>
        <v>#VALUE!</v>
      </c>
      <c r="H26" t="e">
        <f>IF(COUNTIF([2]Sheet1!$K$2:$K$233,D26)&gt;0,"","NO")</f>
        <v>#VALUE!</v>
      </c>
    </row>
    <row r="27" spans="1:8" x14ac:dyDescent="0.25">
      <c r="A27">
        <v>87</v>
      </c>
      <c r="B27" t="s">
        <v>307</v>
      </c>
      <c r="C27" t="s">
        <v>308</v>
      </c>
      <c r="D27">
        <v>7139866</v>
      </c>
      <c r="F27" t="s">
        <v>464</v>
      </c>
      <c r="G27" t="e">
        <f>IF(COUNTIF([1]Index!$H$2:$H$187,D27)&gt;0,"","NO")</f>
        <v>#VALUE!</v>
      </c>
      <c r="H27" t="e">
        <f>IF(COUNTIF([2]Sheet1!$K$2:$K$233,D27)&gt;0,"","NO")</f>
        <v>#VALUE!</v>
      </c>
    </row>
    <row r="28" spans="1:8" x14ac:dyDescent="0.25">
      <c r="A28">
        <v>52</v>
      </c>
      <c r="B28" t="s">
        <v>101</v>
      </c>
      <c r="C28" t="s">
        <v>230</v>
      </c>
      <c r="D28">
        <v>6514035</v>
      </c>
      <c r="E28">
        <v>2012</v>
      </c>
      <c r="F28" t="s">
        <v>466</v>
      </c>
      <c r="G28" t="e">
        <f>IF(COUNTIF([1]Index!$H$2:$H$187,D28)&gt;0,"","NO")</f>
        <v>#VALUE!</v>
      </c>
    </row>
    <row r="29" spans="1:8" x14ac:dyDescent="0.25">
      <c r="A29">
        <v>44</v>
      </c>
      <c r="B29" t="s">
        <v>410</v>
      </c>
      <c r="C29" t="s">
        <v>100</v>
      </c>
      <c r="D29">
        <v>5242683</v>
      </c>
      <c r="F29" t="s">
        <v>475</v>
      </c>
      <c r="G29" t="e">
        <f>IF(COUNTIF([1]Index!$H$2:$H$187,D29)&gt;0,"","NO")</f>
        <v>#VALUE!</v>
      </c>
      <c r="H29" t="e">
        <f>IF(COUNTIF([2]Sheet1!$K$2:$K$233,D29)&gt;0,"","NO")</f>
        <v>#VALUE!</v>
      </c>
    </row>
    <row r="30" spans="1:8" x14ac:dyDescent="0.25">
      <c r="A30">
        <v>84</v>
      </c>
      <c r="B30" t="s">
        <v>152</v>
      </c>
      <c r="C30" t="s">
        <v>258</v>
      </c>
      <c r="D30">
        <v>7017790</v>
      </c>
      <c r="E30">
        <v>2014</v>
      </c>
      <c r="F30" t="s">
        <v>466</v>
      </c>
      <c r="G30" t="e">
        <f>IF(COUNTIF([1]Index!$H$2:$H$187,D30)&gt;0,"","NO")</f>
        <v>#VALUE!</v>
      </c>
      <c r="H30" t="e">
        <f>IF(COUNTIF([2]Sheet1!$K$2:$K$233,D30)&gt;0,"","NO")</f>
        <v>#VALUE!</v>
      </c>
    </row>
    <row r="31" spans="1:8" x14ac:dyDescent="0.25">
      <c r="A31">
        <v>50</v>
      </c>
      <c r="B31" t="s">
        <v>97</v>
      </c>
      <c r="C31" t="s">
        <v>228</v>
      </c>
      <c r="D31">
        <v>2430948</v>
      </c>
      <c r="E31">
        <v>1998</v>
      </c>
      <c r="F31" t="s">
        <v>466</v>
      </c>
      <c r="G31" t="e">
        <f>IF(COUNTIF([1]Index!$H$2:$H$187,D31)&gt;0,"","NO")</f>
        <v>#VALUE!</v>
      </c>
    </row>
    <row r="32" spans="1:8" x14ac:dyDescent="0.25">
      <c r="A32">
        <v>24</v>
      </c>
      <c r="B32" t="s">
        <v>323</v>
      </c>
      <c r="C32" t="s">
        <v>324</v>
      </c>
      <c r="D32" s="2">
        <v>5232617</v>
      </c>
      <c r="F32" t="s">
        <v>465</v>
      </c>
      <c r="G32" t="e">
        <f>IF(COUNTIF([1]Index!$H$2:$H$187,D32)&gt;0,"","NO")</f>
        <v>#VALUE!</v>
      </c>
      <c r="H32" t="e">
        <f>IF(COUNTIF([2]Sheet1!$K$2:$K$233,D32)&gt;0,"","NO")</f>
        <v>#VALUE!</v>
      </c>
    </row>
    <row r="33" spans="1:8" x14ac:dyDescent="0.25">
      <c r="A33">
        <v>41</v>
      </c>
      <c r="B33" t="s">
        <v>408</v>
      </c>
      <c r="C33" t="s">
        <v>395</v>
      </c>
      <c r="D33">
        <v>4775010</v>
      </c>
      <c r="F33" t="s">
        <v>475</v>
      </c>
      <c r="G33" t="e">
        <f>IF(COUNTIF([1]Index!$H$2:$H$187,D33)&gt;0,"","NO")</f>
        <v>#VALUE!</v>
      </c>
      <c r="H33" t="e">
        <f>IF(COUNTIF([2]Sheet1!$K$2:$K$233,D33)&gt;0,"","NO")</f>
        <v>#VALUE!</v>
      </c>
    </row>
    <row r="34" spans="1:8" x14ac:dyDescent="0.25">
      <c r="A34">
        <v>98</v>
      </c>
      <c r="B34" t="s">
        <v>376</v>
      </c>
      <c r="C34" t="s">
        <v>62</v>
      </c>
      <c r="D34" s="2">
        <v>3818569</v>
      </c>
      <c r="F34" t="s">
        <v>465</v>
      </c>
      <c r="G34" t="e">
        <f>IF(COUNTIF([1]Index!$H$2:$H$187,D34)&gt;0,"","NO")</f>
        <v>#VALUE!</v>
      </c>
      <c r="H34" t="e">
        <f>IF(COUNTIF([2]Sheet1!$K$2:$K$233,D34)&gt;0,"","NO")</f>
        <v>#VALUE!</v>
      </c>
    </row>
    <row r="35" spans="1:8" x14ac:dyDescent="0.25">
      <c r="A35">
        <v>11</v>
      </c>
      <c r="B35" t="s">
        <v>20</v>
      </c>
      <c r="C35" t="s">
        <v>190</v>
      </c>
      <c r="D35">
        <v>6158927</v>
      </c>
      <c r="E35">
        <v>2011</v>
      </c>
      <c r="F35" t="s">
        <v>466</v>
      </c>
      <c r="G35" t="e">
        <f>IF(COUNTIF([1]Index!$H$2:$H$187,D35)&gt;0,"","NO")</f>
        <v>#VALUE!</v>
      </c>
    </row>
    <row r="36" spans="1:8" x14ac:dyDescent="0.25">
      <c r="A36">
        <v>54</v>
      </c>
      <c r="B36" t="s">
        <v>418</v>
      </c>
      <c r="C36" t="s">
        <v>76</v>
      </c>
      <c r="D36">
        <v>6463818</v>
      </c>
      <c r="F36" t="s">
        <v>475</v>
      </c>
      <c r="G36" t="e">
        <f>IF(COUNTIF([1]Index!$H$2:$H$187,D36)&gt;0,"","NO")</f>
        <v>#VALUE!</v>
      </c>
    </row>
    <row r="37" spans="1:8" x14ac:dyDescent="0.25">
      <c r="A37">
        <v>71</v>
      </c>
      <c r="B37" t="s">
        <v>134</v>
      </c>
      <c r="C37" t="s">
        <v>248</v>
      </c>
      <c r="D37">
        <v>1537904</v>
      </c>
      <c r="E37">
        <v>1996</v>
      </c>
      <c r="F37" t="s">
        <v>466</v>
      </c>
      <c r="G37" t="e">
        <f>IF(COUNTIF([1]Index!$H$2:$H$187,D37)&gt;0,"","NO")</f>
        <v>#VALUE!</v>
      </c>
    </row>
    <row r="38" spans="1:8" x14ac:dyDescent="0.25">
      <c r="A38">
        <v>60</v>
      </c>
      <c r="B38" t="s">
        <v>115</v>
      </c>
      <c r="C38" t="s">
        <v>238</v>
      </c>
      <c r="D38">
        <v>7046448</v>
      </c>
      <c r="E38">
        <v>2015</v>
      </c>
      <c r="F38" t="s">
        <v>466</v>
      </c>
      <c r="G38" t="e">
        <f>IF(COUNTIF([1]Index!$H$2:$H$187,D38)&gt;0,"","NO")</f>
        <v>#VALUE!</v>
      </c>
    </row>
    <row r="39" spans="1:8" x14ac:dyDescent="0.25">
      <c r="A39">
        <v>47</v>
      </c>
      <c r="B39" t="s">
        <v>91</v>
      </c>
      <c r="C39" t="s">
        <v>225</v>
      </c>
      <c r="D39">
        <v>7067555</v>
      </c>
      <c r="E39">
        <v>2016</v>
      </c>
      <c r="F39" t="s">
        <v>466</v>
      </c>
      <c r="G39" t="e">
        <f>IF(COUNTIF([1]Index!$H$2:$H$187,D39)&gt;0,"","NO")</f>
        <v>#VALUE!</v>
      </c>
    </row>
    <row r="40" spans="1:8" x14ac:dyDescent="0.25">
      <c r="A40">
        <v>72</v>
      </c>
      <c r="B40" t="s">
        <v>433</v>
      </c>
      <c r="C40" t="s">
        <v>434</v>
      </c>
      <c r="D40">
        <v>7036288</v>
      </c>
      <c r="F40" t="s">
        <v>475</v>
      </c>
      <c r="G40" t="e">
        <f>IF(COUNTIF([1]Index!$H$2:$H$187,D40)&gt;0,"","NO")</f>
        <v>#VALUE!</v>
      </c>
    </row>
    <row r="41" spans="1:8" x14ac:dyDescent="0.25">
      <c r="A41">
        <v>100</v>
      </c>
      <c r="B41" t="s">
        <v>318</v>
      </c>
      <c r="C41" t="s">
        <v>319</v>
      </c>
      <c r="D41">
        <v>7030065</v>
      </c>
      <c r="F41" t="s">
        <v>464</v>
      </c>
      <c r="G41" t="e">
        <f>IF(COUNTIF([1]Index!$H$2:$H$187,D41)&gt;0,"","NO")</f>
        <v>#VALUE!</v>
      </c>
    </row>
    <row r="42" spans="1:8" x14ac:dyDescent="0.25">
      <c r="A42">
        <v>38</v>
      </c>
      <c r="B42" t="s">
        <v>73</v>
      </c>
      <c r="C42" t="s">
        <v>216</v>
      </c>
      <c r="D42">
        <v>4556538</v>
      </c>
      <c r="E42">
        <v>2005</v>
      </c>
      <c r="F42" t="s">
        <v>466</v>
      </c>
      <c r="G42" t="e">
        <f>IF(COUNTIF([1]Index!$H$2:$H$187,D42)&gt;0,"","NO")</f>
        <v>#VALUE!</v>
      </c>
    </row>
    <row r="43" spans="1:8" x14ac:dyDescent="0.25">
      <c r="A43">
        <v>68</v>
      </c>
      <c r="B43" t="s">
        <v>129</v>
      </c>
      <c r="C43" t="s">
        <v>228</v>
      </c>
      <c r="D43">
        <v>465840</v>
      </c>
      <c r="E43">
        <v>1989</v>
      </c>
      <c r="F43" t="s">
        <v>466</v>
      </c>
      <c r="G43" t="e">
        <f>IF(COUNTIF([1]Index!$H$2:$H$187,D43)&gt;0,"","NO")</f>
        <v>#VALUE!</v>
      </c>
      <c r="H43" t="e">
        <f>IF(COUNTIF([2]Sheet1!$K$2:$K$233,D43)&gt;0,"","NO")</f>
        <v>#VALUE!</v>
      </c>
    </row>
    <row r="44" spans="1:8" x14ac:dyDescent="0.25">
      <c r="A44">
        <v>39</v>
      </c>
      <c r="B44" t="s">
        <v>75</v>
      </c>
      <c r="C44" t="s">
        <v>217</v>
      </c>
      <c r="D44">
        <v>3148428</v>
      </c>
      <c r="E44">
        <v>2001</v>
      </c>
      <c r="F44" t="s">
        <v>466</v>
      </c>
      <c r="G44" t="e">
        <f>IF(COUNTIF([1]Index!$H$2:$H$187,D44)&gt;0,"","NO")</f>
        <v>#VALUE!</v>
      </c>
    </row>
    <row r="45" spans="1:8" x14ac:dyDescent="0.25">
      <c r="A45">
        <v>76</v>
      </c>
      <c r="B45" t="s">
        <v>141</v>
      </c>
      <c r="C45" t="s">
        <v>252</v>
      </c>
      <c r="D45">
        <v>7001228</v>
      </c>
      <c r="E45">
        <v>2013</v>
      </c>
      <c r="F45" t="s">
        <v>466</v>
      </c>
      <c r="G45" t="e">
        <f>IF(COUNTIF([1]Index!$H$2:$H$187,D45)&gt;0,"","NO")</f>
        <v>#VALUE!</v>
      </c>
    </row>
    <row r="46" spans="1:8" x14ac:dyDescent="0.25">
      <c r="A46">
        <v>83</v>
      </c>
      <c r="B46" t="s">
        <v>303</v>
      </c>
      <c r="C46" t="s">
        <v>304</v>
      </c>
      <c r="D46">
        <v>5639997</v>
      </c>
      <c r="F46" t="s">
        <v>464</v>
      </c>
      <c r="G46" t="e">
        <f>IF(COUNTIF([1]Index!$H$2:$H$187,D46)&gt;0,"","NO")</f>
        <v>#VALUE!</v>
      </c>
      <c r="H46" t="e">
        <f>IF(COUNTIF([2]Sheet1!$K$2:$K$233,D46)&gt;0,"","NO")</f>
        <v>#VALUE!</v>
      </c>
    </row>
    <row r="47" spans="1:8" x14ac:dyDescent="0.25">
      <c r="A47">
        <v>45</v>
      </c>
      <c r="B47" t="s">
        <v>411</v>
      </c>
      <c r="C47" t="s">
        <v>382</v>
      </c>
      <c r="D47">
        <v>4705176</v>
      </c>
      <c r="F47" t="s">
        <v>475</v>
      </c>
      <c r="G47" t="e">
        <f>IF(COUNTIF([1]Index!$H$2:$H$187,D47)&gt;0,"","NO")</f>
        <v>#VALUE!</v>
      </c>
    </row>
    <row r="48" spans="1:8" x14ac:dyDescent="0.25">
      <c r="A48">
        <v>23</v>
      </c>
      <c r="B48" t="s">
        <v>44</v>
      </c>
      <c r="C48" t="s">
        <v>202</v>
      </c>
      <c r="D48">
        <v>7081388</v>
      </c>
      <c r="E48">
        <v>2017</v>
      </c>
      <c r="F48" t="s">
        <v>466</v>
      </c>
      <c r="G48" t="e">
        <f>IF(COUNTIF([1]Index!$H$2:$H$187,D48)&gt;0,"","NO")</f>
        <v>#VALUE!</v>
      </c>
    </row>
    <row r="49" spans="1:8" x14ac:dyDescent="0.25">
      <c r="A49">
        <v>92</v>
      </c>
      <c r="B49" t="s">
        <v>166</v>
      </c>
      <c r="C49" t="s">
        <v>266</v>
      </c>
      <c r="D49">
        <v>5638022</v>
      </c>
      <c r="E49">
        <v>2009</v>
      </c>
      <c r="F49" t="s">
        <v>466</v>
      </c>
      <c r="G49" t="e">
        <f>IF(COUNTIF([1]Index!$H$2:$H$187,D49)&gt;0,"","NO")</f>
        <v>#VALUE!</v>
      </c>
    </row>
    <row r="50" spans="1:8" x14ac:dyDescent="0.25">
      <c r="A50">
        <v>85</v>
      </c>
      <c r="B50" t="s">
        <v>442</v>
      </c>
      <c r="C50" t="s">
        <v>443</v>
      </c>
      <c r="D50">
        <v>5384338</v>
      </c>
      <c r="F50" t="s">
        <v>475</v>
      </c>
      <c r="G50" t="e">
        <f>IF(COUNTIF([1]Index!$H$2:$H$187,D50)&gt;0,"","NO")</f>
        <v>#VALUE!</v>
      </c>
      <c r="H50" t="e">
        <f>IF(COUNTIF([2]Sheet1!$K$2:$K$233,D50)&gt;0,"","NO")</f>
        <v>#VALUE!</v>
      </c>
    </row>
    <row r="51" spans="1:8" x14ac:dyDescent="0.25">
      <c r="A51">
        <v>66</v>
      </c>
      <c r="B51" t="s">
        <v>125</v>
      </c>
      <c r="C51" t="s">
        <v>244</v>
      </c>
      <c r="D51">
        <v>5858163</v>
      </c>
      <c r="E51">
        <v>2010</v>
      </c>
      <c r="F51" t="s">
        <v>466</v>
      </c>
      <c r="G51" t="e">
        <f>IF(COUNTIF([1]Index!$H$2:$H$187,D51)&gt;0,"","NO")</f>
        <v>#VALUE!</v>
      </c>
      <c r="H51" t="e">
        <f>IF(COUNTIF([2]Sheet1!$K$2:$K$233,D51)&gt;0,"","NO")</f>
        <v>#VALUE!</v>
      </c>
    </row>
    <row r="52" spans="1:8" x14ac:dyDescent="0.25">
      <c r="A52">
        <v>67</v>
      </c>
      <c r="B52" t="s">
        <v>429</v>
      </c>
      <c r="C52" t="s">
        <v>382</v>
      </c>
      <c r="D52">
        <v>5894275</v>
      </c>
      <c r="F52" t="s">
        <v>475</v>
      </c>
      <c r="G52" t="e">
        <f>IF(COUNTIF([1]Index!$H$2:$H$187,D52)&gt;0,"","NO")</f>
        <v>#VALUE!</v>
      </c>
      <c r="H52" t="e">
        <f>IF(COUNTIF([2]Sheet1!$K$2:$K$233,D52)&gt;0,"","NO")</f>
        <v>#VALUE!</v>
      </c>
    </row>
    <row r="53" spans="1:8" x14ac:dyDescent="0.25">
      <c r="A53">
        <v>100</v>
      </c>
      <c r="B53" t="s">
        <v>179</v>
      </c>
      <c r="C53" t="s">
        <v>273</v>
      </c>
      <c r="D53">
        <v>7100964</v>
      </c>
      <c r="E53">
        <v>2017</v>
      </c>
      <c r="F53" t="s">
        <v>466</v>
      </c>
      <c r="G53" t="e">
        <f>IF(COUNTIF([1]Index!$H$2:$H$187,D53)&gt;0,"","NO")</f>
        <v>#VALUE!</v>
      </c>
      <c r="H53" t="e">
        <f>IF(COUNTIF([2]Sheet1!$K$2:$K$233,D53)&gt;0,"","NO")</f>
        <v>#VALUE!</v>
      </c>
    </row>
    <row r="54" spans="1:8" x14ac:dyDescent="0.25">
      <c r="A54">
        <v>78</v>
      </c>
      <c r="B54" t="s">
        <v>300</v>
      </c>
      <c r="C54" t="s">
        <v>3</v>
      </c>
      <c r="D54">
        <v>7133285</v>
      </c>
      <c r="F54" t="s">
        <v>464</v>
      </c>
      <c r="G54" t="e">
        <f>IF(COUNTIF([1]Index!$H$2:$H$187,D54)&gt;0,"","NO")</f>
        <v>#VALUE!</v>
      </c>
      <c r="H54" t="e">
        <f>IF(COUNTIF([2]Sheet1!$K$2:$K$233,D54)&gt;0,"","NO")</f>
        <v>#VALUE!</v>
      </c>
    </row>
    <row r="55" spans="1:8" x14ac:dyDescent="0.25">
      <c r="A55">
        <v>88</v>
      </c>
      <c r="B55" t="s">
        <v>309</v>
      </c>
      <c r="C55" t="s">
        <v>288</v>
      </c>
      <c r="D55">
        <v>7138599</v>
      </c>
      <c r="F55" t="s">
        <v>464</v>
      </c>
      <c r="G55" t="e">
        <f>IF(COUNTIF([1]Index!$H$2:$H$187,D55)&gt;0,"","NO")</f>
        <v>#VALUE!</v>
      </c>
      <c r="H55" t="e">
        <f>IF(COUNTIF([2]Sheet1!$K$2:$K$233,D55)&gt;0,"","NO")</f>
        <v>#VALUE!</v>
      </c>
    </row>
    <row r="56" spans="1:8" x14ac:dyDescent="0.25">
      <c r="A56">
        <v>67</v>
      </c>
      <c r="B56" t="s">
        <v>127</v>
      </c>
      <c r="C56" t="s">
        <v>245</v>
      </c>
      <c r="D56">
        <v>7105729</v>
      </c>
      <c r="E56">
        <v>2018</v>
      </c>
      <c r="F56" t="s">
        <v>466</v>
      </c>
      <c r="G56" t="e">
        <f>IF(COUNTIF([1]Index!$H$2:$H$187,D56)&gt;0,"","NO")</f>
        <v>#VALUE!</v>
      </c>
      <c r="H56" t="e">
        <f>IF(COUNTIF([2]Sheet1!$K$2:$K$233,D56)&gt;0,"","NO")</f>
        <v>#VALUE!</v>
      </c>
    </row>
    <row r="57" spans="1:8" x14ac:dyDescent="0.25">
      <c r="A57">
        <v>12</v>
      </c>
      <c r="B57" t="s">
        <v>22</v>
      </c>
      <c r="C57" t="s">
        <v>191</v>
      </c>
      <c r="D57">
        <v>7036612</v>
      </c>
      <c r="E57">
        <v>2014</v>
      </c>
      <c r="F57" t="s">
        <v>466</v>
      </c>
      <c r="G57" t="e">
        <f>IF(COUNTIF([1]Index!$H$2:$H$187,D57)&gt;0,"","NO")</f>
        <v>#VALUE!</v>
      </c>
    </row>
    <row r="58" spans="1:8" x14ac:dyDescent="0.25">
      <c r="A58">
        <v>64</v>
      </c>
      <c r="B58" t="s">
        <v>293</v>
      </c>
      <c r="C58" t="s">
        <v>158</v>
      </c>
      <c r="D58">
        <v>7122177</v>
      </c>
      <c r="F58" t="s">
        <v>464</v>
      </c>
      <c r="G58" t="e">
        <f>IF(COUNTIF([1]Index!$H$2:$H$187,D58)&gt;0,"","NO")</f>
        <v>#VALUE!</v>
      </c>
      <c r="H58" t="e">
        <f>IF(COUNTIF([2]Sheet1!$K$2:$K$233,D58)&gt;0,"","NO")</f>
        <v>#VALUE!</v>
      </c>
    </row>
    <row r="59" spans="1:8" x14ac:dyDescent="0.25">
      <c r="A59">
        <v>10</v>
      </c>
      <c r="B59" t="s">
        <v>18</v>
      </c>
      <c r="C59" t="s">
        <v>189</v>
      </c>
      <c r="D59">
        <v>7117726</v>
      </c>
      <c r="E59">
        <v>2018</v>
      </c>
      <c r="F59" t="s">
        <v>466</v>
      </c>
      <c r="G59" t="e">
        <f>IF(COUNTIF([1]Index!$H$2:$H$187,D59)&gt;0,"","NO")</f>
        <v>#VALUE!</v>
      </c>
      <c r="H59" t="e">
        <f>IF(COUNTIF([2]Sheet1!$K$2:$K$233,D59)&gt;0,"","NO")</f>
        <v>#VALUE!</v>
      </c>
    </row>
    <row r="60" spans="1:8" x14ac:dyDescent="0.25">
      <c r="A60">
        <v>48</v>
      </c>
      <c r="B60" t="s">
        <v>93</v>
      </c>
      <c r="C60" t="s">
        <v>226</v>
      </c>
      <c r="D60">
        <v>7138219</v>
      </c>
      <c r="E60">
        <v>2019</v>
      </c>
      <c r="F60" t="s">
        <v>466</v>
      </c>
      <c r="G60" t="e">
        <f>IF(COUNTIF([1]Index!$H$2:$H$187,D60)&gt;0,"","NO")</f>
        <v>#VALUE!</v>
      </c>
      <c r="H60" t="e">
        <f>IF(COUNTIF([2]Sheet1!$K$2:$K$233,D60)&gt;0,"","NO")</f>
        <v>#VALUE!</v>
      </c>
    </row>
    <row r="61" spans="1:8" x14ac:dyDescent="0.25">
      <c r="A61">
        <v>7</v>
      </c>
      <c r="B61" t="s">
        <v>12</v>
      </c>
      <c r="C61" t="s">
        <v>186</v>
      </c>
      <c r="D61">
        <v>6460220</v>
      </c>
      <c r="E61">
        <v>2012</v>
      </c>
      <c r="F61" t="s">
        <v>466</v>
      </c>
      <c r="G61" t="e">
        <f>IF(COUNTIF([1]Index!$H$2:$H$187,D61)&gt;0,"","NO")</f>
        <v>#VALUE!</v>
      </c>
    </row>
    <row r="62" spans="1:8" x14ac:dyDescent="0.25">
      <c r="A62">
        <v>34</v>
      </c>
      <c r="B62" t="s">
        <v>327</v>
      </c>
      <c r="C62" t="s">
        <v>328</v>
      </c>
      <c r="D62" s="2">
        <v>3373437</v>
      </c>
      <c r="F62" t="s">
        <v>465</v>
      </c>
      <c r="G62" t="e">
        <f>IF(COUNTIF([1]Index!$H$2:$H$187,D62)&gt;0,"","NO")</f>
        <v>#VALUE!</v>
      </c>
      <c r="H62" t="e">
        <f>IF(COUNTIF([2]Sheet1!$K$2:$K$233,D62)&gt;0,"","NO")</f>
        <v>#VALUE!</v>
      </c>
    </row>
    <row r="63" spans="1:8" x14ac:dyDescent="0.25">
      <c r="A63">
        <v>85</v>
      </c>
      <c r="B63" t="s">
        <v>305</v>
      </c>
      <c r="C63" t="s">
        <v>306</v>
      </c>
      <c r="D63">
        <v>5881491</v>
      </c>
      <c r="F63" t="s">
        <v>464</v>
      </c>
      <c r="G63" t="e">
        <f>IF(COUNTIF([1]Index!$H$2:$H$187,D63)&gt;0,"","NO")</f>
        <v>#VALUE!</v>
      </c>
    </row>
    <row r="64" spans="1:8" x14ac:dyDescent="0.25">
      <c r="A64">
        <v>100</v>
      </c>
      <c r="B64" t="s">
        <v>379</v>
      </c>
      <c r="C64" t="s">
        <v>380</v>
      </c>
      <c r="D64" s="2">
        <v>10769</v>
      </c>
      <c r="F64" t="s">
        <v>465</v>
      </c>
      <c r="G64" t="e">
        <f>IF(COUNTIF([1]Index!$H$2:$H$187,D64)&gt;0,"","NO")</f>
        <v>#VALUE!</v>
      </c>
      <c r="H64" t="e">
        <f>IF(COUNTIF([2]Sheet1!$K$2:$K$233,D64)&gt;0,"","NO")</f>
        <v>#VALUE!</v>
      </c>
    </row>
    <row r="65" spans="1:8" x14ac:dyDescent="0.25">
      <c r="A65">
        <v>36</v>
      </c>
      <c r="B65" t="s">
        <v>329</v>
      </c>
      <c r="C65" t="s">
        <v>330</v>
      </c>
      <c r="D65" s="2">
        <v>18723</v>
      </c>
      <c r="F65" t="s">
        <v>465</v>
      </c>
      <c r="G65" t="e">
        <f>IF(COUNTIF([1]Index!$H$2:$H$187,D65)&gt;0,"","NO")</f>
        <v>#VALUE!</v>
      </c>
    </row>
    <row r="66" spans="1:8" x14ac:dyDescent="0.25">
      <c r="A66">
        <v>91</v>
      </c>
      <c r="B66" t="s">
        <v>329</v>
      </c>
      <c r="C66" t="s">
        <v>369</v>
      </c>
      <c r="D66" s="2">
        <v>5196100</v>
      </c>
      <c r="F66" t="s">
        <v>465</v>
      </c>
      <c r="G66" t="e">
        <f>IF(COUNTIF([1]Index!$H$2:$H$187,D66)&gt;0,"","NO")</f>
        <v>#VALUE!</v>
      </c>
      <c r="H66" t="e">
        <f>IF(COUNTIF([2]Sheet1!$K$2:$K$233,D66)&gt;0,"","NO")</f>
        <v>#VALUE!</v>
      </c>
    </row>
    <row r="67" spans="1:8" x14ac:dyDescent="0.25">
      <c r="A67">
        <v>28</v>
      </c>
      <c r="B67" t="s">
        <v>53</v>
      </c>
      <c r="C67" t="s">
        <v>206</v>
      </c>
      <c r="D67">
        <v>7111321</v>
      </c>
      <c r="E67">
        <v>2018</v>
      </c>
      <c r="F67" t="s">
        <v>466</v>
      </c>
      <c r="G67" t="e">
        <f>IF(COUNTIF([1]Index!$H$2:$H$187,D67)&gt;0,"","NO")</f>
        <v>#VALUE!</v>
      </c>
      <c r="H67" t="e">
        <f>IF(COUNTIF([2]Sheet1!$K$2:$K$233,D67)&gt;0,"","NO")</f>
        <v>#VALUE!</v>
      </c>
    </row>
    <row r="68" spans="1:8" x14ac:dyDescent="0.25">
      <c r="A68">
        <v>91</v>
      </c>
      <c r="B68" t="s">
        <v>53</v>
      </c>
      <c r="C68" t="s">
        <v>383</v>
      </c>
      <c r="D68">
        <v>7076958</v>
      </c>
      <c r="F68" t="s">
        <v>475</v>
      </c>
      <c r="G68" t="e">
        <f>IF(COUNTIF([1]Index!$H$2:$H$187,D68)&gt;0,"","NO")</f>
        <v>#VALUE!</v>
      </c>
      <c r="H68" t="e">
        <f>IF(COUNTIF([2]Sheet1!$K$2:$K$233,D68)&gt;0,"","NO")</f>
        <v>#VALUE!</v>
      </c>
    </row>
    <row r="69" spans="1:8" x14ac:dyDescent="0.25">
      <c r="A69">
        <v>61</v>
      </c>
      <c r="B69" t="s">
        <v>339</v>
      </c>
      <c r="C69" t="s">
        <v>340</v>
      </c>
      <c r="D69" s="2">
        <v>4847027</v>
      </c>
      <c r="F69" t="s">
        <v>465</v>
      </c>
      <c r="G69" t="e">
        <f>IF(COUNTIF([1]Index!$H$2:$H$187,D69)&gt;0,"","NO")</f>
        <v>#VALUE!</v>
      </c>
      <c r="H69" t="e">
        <f>IF(COUNTIF([2]Sheet1!$K$2:$K$233,D69)&gt;0,"","NO")</f>
        <v>#VALUE!</v>
      </c>
    </row>
    <row r="70" spans="1:8" x14ac:dyDescent="0.25">
      <c r="A70">
        <v>70</v>
      </c>
      <c r="B70" t="s">
        <v>431</v>
      </c>
      <c r="C70" t="s">
        <v>76</v>
      </c>
      <c r="D70">
        <v>7050416</v>
      </c>
      <c r="F70" t="s">
        <v>475</v>
      </c>
      <c r="G70" t="e">
        <f>IF(COUNTIF([1]Index!$H$2:$H$187,D70)&gt;0,"","NO")</f>
        <v>#VALUE!</v>
      </c>
      <c r="H70" t="e">
        <f>IF(COUNTIF([2]Sheet1!$K$2:$K$233,D70)&gt;0,"","NO")</f>
        <v>#VALUE!</v>
      </c>
    </row>
    <row r="71" spans="1:8" x14ac:dyDescent="0.25">
      <c r="A71">
        <v>85</v>
      </c>
      <c r="B71" t="s">
        <v>153</v>
      </c>
      <c r="C71" t="s">
        <v>259</v>
      </c>
      <c r="D71">
        <v>7016161</v>
      </c>
      <c r="E71">
        <v>2013</v>
      </c>
      <c r="F71" t="s">
        <v>466</v>
      </c>
      <c r="G71" t="e">
        <f>IF(COUNTIF([1]Index!$H$2:$H$187,D71)&gt;0,"","NO")</f>
        <v>#VALUE!</v>
      </c>
      <c r="H71" t="e">
        <f>IF(COUNTIF([2]Sheet1!$K$2:$K$233,D71)&gt;0,"","NO")</f>
        <v>#VALUE!</v>
      </c>
    </row>
    <row r="72" spans="1:8" x14ac:dyDescent="0.25">
      <c r="A72">
        <v>83</v>
      </c>
      <c r="B72" t="s">
        <v>359</v>
      </c>
      <c r="C72" t="s">
        <v>324</v>
      </c>
      <c r="D72" s="2">
        <v>4930752</v>
      </c>
      <c r="F72" t="s">
        <v>465</v>
      </c>
      <c r="G72" t="e">
        <f>IF(COUNTIF([1]Index!$H$2:$H$187,D72)&gt;0,"","NO")</f>
        <v>#VALUE!</v>
      </c>
      <c r="H72" t="e">
        <f>IF(COUNTIF([2]Sheet1!$K$2:$K$233,D72)&gt;0,"","NO")</f>
        <v>#VALUE!</v>
      </c>
    </row>
    <row r="73" spans="1:8" x14ac:dyDescent="0.25">
      <c r="A73">
        <v>99</v>
      </c>
      <c r="B73" t="s">
        <v>177</v>
      </c>
      <c r="C73" t="s">
        <v>272</v>
      </c>
      <c r="D73">
        <v>7111925</v>
      </c>
      <c r="E73">
        <v>2018</v>
      </c>
      <c r="F73" t="s">
        <v>466</v>
      </c>
      <c r="G73" t="e">
        <f>IF(COUNTIF([1]Index!$H$2:$H$187,D73)&gt;0,"","NO")</f>
        <v>#VALUE!</v>
      </c>
    </row>
    <row r="74" spans="1:8" x14ac:dyDescent="0.25">
      <c r="A74">
        <v>93</v>
      </c>
      <c r="B74" t="s">
        <v>168</v>
      </c>
      <c r="C74" t="s">
        <v>267</v>
      </c>
      <c r="D74">
        <v>5925649</v>
      </c>
      <c r="E74">
        <v>2011</v>
      </c>
      <c r="F74" t="s">
        <v>466</v>
      </c>
      <c r="G74" t="e">
        <f>IF(COUNTIF([1]Index!$H$2:$H$187,D74)&gt;0,"","NO")</f>
        <v>#VALUE!</v>
      </c>
    </row>
    <row r="75" spans="1:8" x14ac:dyDescent="0.25">
      <c r="A75">
        <v>32</v>
      </c>
      <c r="B75" t="s">
        <v>61</v>
      </c>
      <c r="C75" t="s">
        <v>210</v>
      </c>
      <c r="D75">
        <v>3266032</v>
      </c>
      <c r="E75">
        <v>2000</v>
      </c>
      <c r="F75" t="s">
        <v>466</v>
      </c>
      <c r="G75" t="e">
        <f>IF(COUNTIF([1]Index!$H$2:$H$187,D75)&gt;0,"","NO")</f>
        <v>#VALUE!</v>
      </c>
    </row>
    <row r="76" spans="1:8" x14ac:dyDescent="0.25">
      <c r="A76">
        <v>43</v>
      </c>
      <c r="B76" t="s">
        <v>83</v>
      </c>
      <c r="C76" t="s">
        <v>221</v>
      </c>
      <c r="D76">
        <v>7065053</v>
      </c>
      <c r="E76">
        <v>2016</v>
      </c>
      <c r="F76" t="s">
        <v>466</v>
      </c>
      <c r="G76" t="e">
        <f>IF(COUNTIF([1]Index!$H$2:$H$187,D76)&gt;0,"","NO")</f>
        <v>#VALUE!</v>
      </c>
      <c r="H76" t="e">
        <f>IF(COUNTIF([2]Sheet1!$K$2:$K$233,D76)&gt;0,"","NO")</f>
        <v>#VALUE!</v>
      </c>
    </row>
    <row r="77" spans="1:8" x14ac:dyDescent="0.25">
      <c r="A77">
        <v>99</v>
      </c>
      <c r="B77" t="s">
        <v>377</v>
      </c>
      <c r="C77" t="s">
        <v>378</v>
      </c>
      <c r="D77" s="2">
        <v>1540719</v>
      </c>
      <c r="F77" t="s">
        <v>465</v>
      </c>
      <c r="G77" t="e">
        <f>IF(COUNTIF([1]Index!$H$2:$H$187,D77)&gt;0,"","NO")</f>
        <v>#VALUE!</v>
      </c>
      <c r="H77" t="e">
        <f>IF(COUNTIF([2]Sheet1!$K$2:$K$233,D77)&gt;0,"","NO")</f>
        <v>#VALUE!</v>
      </c>
    </row>
    <row r="78" spans="1:8" x14ac:dyDescent="0.25">
      <c r="A78">
        <v>86</v>
      </c>
      <c r="B78" t="s">
        <v>444</v>
      </c>
      <c r="C78" t="s">
        <v>386</v>
      </c>
      <c r="D78">
        <v>4158039</v>
      </c>
      <c r="F78" t="s">
        <v>475</v>
      </c>
      <c r="G78" t="e">
        <f>IF(COUNTIF([1]Index!$H$2:$H$187,D78)&gt;0,"","NO")</f>
        <v>#VALUE!</v>
      </c>
      <c r="H78" t="e">
        <f>IF(COUNTIF([2]Sheet1!$K$2:$K$233,D78)&gt;0,"","NO")</f>
        <v>#VALUE!</v>
      </c>
    </row>
    <row r="79" spans="1:8" x14ac:dyDescent="0.25">
      <c r="A79">
        <v>25</v>
      </c>
      <c r="B79" t="s">
        <v>48</v>
      </c>
      <c r="C79" t="s">
        <v>204</v>
      </c>
      <c r="D79">
        <v>6087919</v>
      </c>
      <c r="E79">
        <v>2011</v>
      </c>
      <c r="F79" t="s">
        <v>466</v>
      </c>
      <c r="G79" t="e">
        <f>IF(COUNTIF([1]Index!$H$2:$H$187,D79)&gt;0,"","NO")</f>
        <v>#VALUE!</v>
      </c>
      <c r="H79" t="e">
        <f>IF(COUNTIF([2]Sheet1!$K$2:$K$233,D79)&gt;0,"","NO")</f>
        <v>#VALUE!</v>
      </c>
    </row>
    <row r="80" spans="1:8" x14ac:dyDescent="0.25">
      <c r="A80">
        <v>75</v>
      </c>
      <c r="B80" t="s">
        <v>48</v>
      </c>
      <c r="C80" t="s">
        <v>192</v>
      </c>
      <c r="D80">
        <v>4779872</v>
      </c>
      <c r="E80">
        <v>2006</v>
      </c>
      <c r="F80" t="s">
        <v>466</v>
      </c>
      <c r="G80" t="e">
        <f>IF(COUNTIF([1]Index!$H$2:$H$187,D80)&gt;0,"","NO")</f>
        <v>#VALUE!</v>
      </c>
      <c r="H80" t="e">
        <f>IF(COUNTIF([2]Sheet1!$K$2:$K$233,D80)&gt;0,"","NO")</f>
        <v>#VALUE!</v>
      </c>
    </row>
    <row r="81" spans="1:8" x14ac:dyDescent="0.25">
      <c r="A81">
        <v>61</v>
      </c>
      <c r="B81" t="s">
        <v>287</v>
      </c>
      <c r="C81" t="s">
        <v>288</v>
      </c>
      <c r="D81">
        <v>7136448</v>
      </c>
      <c r="F81" t="s">
        <v>464</v>
      </c>
      <c r="G81" t="e">
        <f>IF(COUNTIF([1]Index!$H$2:$H$187,D81)&gt;0,"","NO")</f>
        <v>#VALUE!</v>
      </c>
      <c r="H81" t="e">
        <f>IF(COUNTIF([2]Sheet1!$K$2:$K$233,D81)&gt;0,"","NO")</f>
        <v>#VALUE!</v>
      </c>
    </row>
    <row r="82" spans="1:8" x14ac:dyDescent="0.25">
      <c r="A82">
        <v>83</v>
      </c>
      <c r="B82" t="s">
        <v>151</v>
      </c>
      <c r="C82" t="s">
        <v>228</v>
      </c>
      <c r="D82">
        <v>3540703</v>
      </c>
      <c r="E82">
        <v>2002</v>
      </c>
      <c r="F82" t="s">
        <v>466</v>
      </c>
      <c r="G82" t="e">
        <f>IF(COUNTIF([1]Index!$H$2:$H$187,D82)&gt;0,"","NO")</f>
        <v>#VALUE!</v>
      </c>
      <c r="H82" t="e">
        <f>IF(COUNTIF([2]Sheet1!$K$2:$K$233,D82)&gt;0,"","NO")</f>
        <v>#VALUE!</v>
      </c>
    </row>
    <row r="83" spans="1:8" x14ac:dyDescent="0.25">
      <c r="A83">
        <v>57</v>
      </c>
      <c r="B83" t="s">
        <v>110</v>
      </c>
      <c r="C83" t="s">
        <v>235</v>
      </c>
      <c r="D83">
        <v>4785835</v>
      </c>
      <c r="E83">
        <v>2006</v>
      </c>
      <c r="F83" t="s">
        <v>466</v>
      </c>
      <c r="G83" t="e">
        <f>IF(COUNTIF([1]Index!$H$2:$H$187,D83)&gt;0,"","NO")</f>
        <v>#VALUE!</v>
      </c>
    </row>
    <row r="84" spans="1:8" x14ac:dyDescent="0.25">
      <c r="A84">
        <v>39</v>
      </c>
      <c r="B84" t="s">
        <v>110</v>
      </c>
      <c r="C84" t="s">
        <v>407</v>
      </c>
      <c r="D84">
        <v>21545</v>
      </c>
      <c r="F84" t="s">
        <v>475</v>
      </c>
      <c r="G84" t="e">
        <f>IF(COUNTIF([1]Index!$H$2:$H$187,D84)&gt;0,"","NO")</f>
        <v>#VALUE!</v>
      </c>
    </row>
    <row r="85" spans="1:8" x14ac:dyDescent="0.25">
      <c r="A85">
        <v>17</v>
      </c>
      <c r="B85" t="s">
        <v>32</v>
      </c>
      <c r="C85" t="s">
        <v>196</v>
      </c>
      <c r="D85">
        <v>4662491</v>
      </c>
      <c r="E85">
        <v>2006</v>
      </c>
      <c r="F85" t="s">
        <v>466</v>
      </c>
      <c r="G85" t="e">
        <f>IF(COUNTIF([1]Index!$H$2:$H$187,D85)&gt;0,"","NO")</f>
        <v>#VALUE!</v>
      </c>
    </row>
    <row r="86" spans="1:8" x14ac:dyDescent="0.25">
      <c r="A86">
        <v>21</v>
      </c>
      <c r="B86" t="s">
        <v>40</v>
      </c>
      <c r="C86" t="s">
        <v>200</v>
      </c>
      <c r="D86">
        <v>1558110</v>
      </c>
      <c r="E86">
        <v>1995</v>
      </c>
      <c r="F86" t="s">
        <v>466</v>
      </c>
      <c r="G86" t="e">
        <f>IF(COUNTIF([1]Index!$H$2:$H$187,D86)&gt;0,"","NO")</f>
        <v>#VALUE!</v>
      </c>
    </row>
    <row r="87" spans="1:8" x14ac:dyDescent="0.25">
      <c r="A87">
        <v>15</v>
      </c>
      <c r="B87" t="s">
        <v>28</v>
      </c>
      <c r="C87" t="s">
        <v>194</v>
      </c>
      <c r="D87">
        <v>4348399</v>
      </c>
      <c r="E87">
        <v>2004</v>
      </c>
      <c r="F87" t="s">
        <v>466</v>
      </c>
      <c r="G87" t="e">
        <f>IF(COUNTIF([1]Index!$H$2:$H$187,D87)&gt;0,"","NO")</f>
        <v>#VALUE!</v>
      </c>
    </row>
    <row r="88" spans="1:8" x14ac:dyDescent="0.25">
      <c r="A88">
        <v>36</v>
      </c>
      <c r="B88" t="s">
        <v>69</v>
      </c>
      <c r="C88" t="s">
        <v>214</v>
      </c>
      <c r="D88">
        <v>14181</v>
      </c>
      <c r="E88">
        <v>1953</v>
      </c>
      <c r="F88" t="s">
        <v>466</v>
      </c>
      <c r="G88" t="e">
        <f>IF(COUNTIF([1]Index!$H$2:$H$187,D88)&gt;0,"","NO")</f>
        <v>#VALUE!</v>
      </c>
    </row>
    <row r="89" spans="1:8" x14ac:dyDescent="0.25">
      <c r="A89">
        <v>69</v>
      </c>
      <c r="B89" t="s">
        <v>294</v>
      </c>
      <c r="C89" t="s">
        <v>295</v>
      </c>
      <c r="D89">
        <v>5032549</v>
      </c>
      <c r="F89" t="s">
        <v>464</v>
      </c>
      <c r="G89" t="e">
        <f>IF(COUNTIF([1]Index!$H$2:$H$187,D89)&gt;0,"","NO")</f>
        <v>#VALUE!</v>
      </c>
      <c r="H89" t="e">
        <f>IF(COUNTIF([2]Sheet1!$K$2:$K$233,D89)&gt;0,"","NO")</f>
        <v>#VALUE!</v>
      </c>
    </row>
    <row r="90" spans="1:8" x14ac:dyDescent="0.25">
      <c r="A90">
        <v>97</v>
      </c>
      <c r="B90" t="s">
        <v>452</v>
      </c>
      <c r="C90" t="s">
        <v>453</v>
      </c>
      <c r="D90">
        <v>2978857</v>
      </c>
      <c r="F90" t="s">
        <v>475</v>
      </c>
      <c r="G90" t="e">
        <f>IF(COUNTIF([1]Index!$H$2:$H$187,D90)&gt;0,"","NO")</f>
        <v>#VALUE!</v>
      </c>
    </row>
    <row r="91" spans="1:8" x14ac:dyDescent="0.25">
      <c r="A91">
        <v>93</v>
      </c>
      <c r="B91" t="s">
        <v>370</v>
      </c>
      <c r="C91" t="s">
        <v>343</v>
      </c>
      <c r="D91" s="2">
        <v>1866132</v>
      </c>
      <c r="F91" t="s">
        <v>465</v>
      </c>
      <c r="G91" t="e">
        <f>IF(COUNTIF([1]Index!$H$2:$H$187,D91)&gt;0,"","NO")</f>
        <v>#VALUE!</v>
      </c>
      <c r="H91" t="e">
        <f>IF(COUNTIF([2]Sheet1!$K$2:$K$233,D91)&gt;0,"","NO")</f>
        <v>#VALUE!</v>
      </c>
    </row>
    <row r="92" spans="1:8" x14ac:dyDescent="0.25">
      <c r="A92">
        <v>96</v>
      </c>
      <c r="B92" t="s">
        <v>172</v>
      </c>
      <c r="C92" t="s">
        <v>270</v>
      </c>
      <c r="D92">
        <v>4674207</v>
      </c>
      <c r="E92">
        <v>2006</v>
      </c>
      <c r="F92" t="s">
        <v>466</v>
      </c>
      <c r="G92" t="e">
        <f>IF(COUNTIF([1]Index!$H$2:$H$187,D92)&gt;0,"","NO")</f>
        <v>#VALUE!</v>
      </c>
      <c r="H92" t="e">
        <f>IF(COUNTIF([2]Sheet1!$K$2:$K$233,D92)&gt;0,"","NO")</f>
        <v>#VALUE!</v>
      </c>
    </row>
    <row r="93" spans="1:8" x14ac:dyDescent="0.25">
      <c r="A93">
        <v>78</v>
      </c>
      <c r="B93" t="s">
        <v>437</v>
      </c>
      <c r="C93" t="s">
        <v>76</v>
      </c>
      <c r="D93">
        <v>5806878</v>
      </c>
      <c r="F93" t="s">
        <v>475</v>
      </c>
      <c r="G93" t="e">
        <f>IF(COUNTIF([1]Index!$H$2:$H$187,D93)&gt;0,"","NO")</f>
        <v>#VALUE!</v>
      </c>
    </row>
    <row r="94" spans="1:8" x14ac:dyDescent="0.25">
      <c r="A94">
        <v>59</v>
      </c>
      <c r="B94" t="s">
        <v>338</v>
      </c>
      <c r="C94" t="s">
        <v>119</v>
      </c>
      <c r="D94" s="2">
        <v>1083764</v>
      </c>
      <c r="F94" t="s">
        <v>465</v>
      </c>
      <c r="G94" t="e">
        <f>IF(COUNTIF([1]Index!$H$2:$H$187,D94)&gt;0,"","NO")</f>
        <v>#VALUE!</v>
      </c>
      <c r="H94" t="e">
        <f>IF(COUNTIF([2]Sheet1!$K$2:$K$233,D94)&gt;0,"","NO")</f>
        <v>#VALUE!</v>
      </c>
    </row>
    <row r="95" spans="1:8" x14ac:dyDescent="0.25">
      <c r="A95">
        <v>20</v>
      </c>
      <c r="B95" t="s">
        <v>394</v>
      </c>
      <c r="C95" t="s">
        <v>76</v>
      </c>
      <c r="D95">
        <v>5183450</v>
      </c>
      <c r="F95" t="s">
        <v>475</v>
      </c>
      <c r="G95" t="e">
        <f>IF(COUNTIF([1]Index!$H$2:$H$187,D95)&gt;0,"","NO")</f>
        <v>#VALUE!</v>
      </c>
    </row>
    <row r="96" spans="1:8" x14ac:dyDescent="0.25">
      <c r="A96">
        <v>13</v>
      </c>
      <c r="B96" t="s">
        <v>24</v>
      </c>
      <c r="C96" t="s">
        <v>192</v>
      </c>
      <c r="D96">
        <v>3350395</v>
      </c>
      <c r="E96">
        <v>2001</v>
      </c>
      <c r="F96" t="s">
        <v>466</v>
      </c>
      <c r="G96" t="e">
        <f>IF(COUNTIF([1]Index!$H$2:$H$187,D96)&gt;0,"","NO")</f>
        <v>#VALUE!</v>
      </c>
    </row>
    <row r="97" spans="1:8" x14ac:dyDescent="0.25">
      <c r="A97">
        <v>73</v>
      </c>
      <c r="B97" t="s">
        <v>347</v>
      </c>
      <c r="C97" t="s">
        <v>348</v>
      </c>
      <c r="D97" s="2">
        <v>4403076</v>
      </c>
      <c r="F97" t="s">
        <v>465</v>
      </c>
      <c r="G97" t="e">
        <f>IF(COUNTIF([1]Index!$H$2:$H$187,D97)&gt;0,"","NO")</f>
        <v>#VALUE!</v>
      </c>
    </row>
    <row r="98" spans="1:8" x14ac:dyDescent="0.25">
      <c r="A98">
        <v>55</v>
      </c>
      <c r="B98" t="s">
        <v>106</v>
      </c>
      <c r="C98" t="s">
        <v>233</v>
      </c>
      <c r="D98">
        <v>7108951</v>
      </c>
      <c r="E98">
        <v>2018</v>
      </c>
      <c r="F98" t="s">
        <v>466</v>
      </c>
      <c r="G98" t="e">
        <f>IF(COUNTIF([1]Index!$H$2:$H$187,D98)&gt;0,"","NO")</f>
        <v>#VALUE!</v>
      </c>
      <c r="H98" t="e">
        <f>IF(COUNTIF([2]Sheet1!$K$2:$K$233,D98)&gt;0,"","NO")</f>
        <v>#VALUE!</v>
      </c>
    </row>
    <row r="99" spans="1:8" x14ac:dyDescent="0.25">
      <c r="A99">
        <v>88</v>
      </c>
      <c r="B99" t="s">
        <v>159</v>
      </c>
      <c r="C99" t="s">
        <v>262</v>
      </c>
      <c r="D99">
        <v>7021972</v>
      </c>
      <c r="E99">
        <v>2013</v>
      </c>
      <c r="F99" t="s">
        <v>466</v>
      </c>
      <c r="G99" t="e">
        <f>IF(COUNTIF([1]Index!$H$2:$H$187,D99)&gt;0,"","NO")</f>
        <v>#VALUE!</v>
      </c>
    </row>
    <row r="100" spans="1:8" x14ac:dyDescent="0.25">
      <c r="A100">
        <v>89</v>
      </c>
      <c r="B100" t="s">
        <v>447</v>
      </c>
      <c r="C100" t="s">
        <v>76</v>
      </c>
      <c r="D100">
        <v>7067249</v>
      </c>
      <c r="F100" t="s">
        <v>475</v>
      </c>
      <c r="G100" t="e">
        <f>IF(COUNTIF([1]Index!$H$2:$H$187,D100)&gt;0,"","NO")</f>
        <v>#VALUE!</v>
      </c>
      <c r="H100" t="e">
        <f>IF(COUNTIF([2]Sheet1!$K$2:$K$233,D100)&gt;0,"","NO")</f>
        <v>#VALUE!</v>
      </c>
    </row>
    <row r="101" spans="1:8" x14ac:dyDescent="0.25">
      <c r="A101">
        <v>42</v>
      </c>
      <c r="B101" t="s">
        <v>81</v>
      </c>
      <c r="C101" t="s">
        <v>220</v>
      </c>
      <c r="D101">
        <v>5183443</v>
      </c>
      <c r="E101">
        <v>2008</v>
      </c>
      <c r="F101" t="s">
        <v>466</v>
      </c>
      <c r="G101" t="e">
        <f>IF(COUNTIF([1]Index!$H$2:$H$187,D101)&gt;0,"","NO")</f>
        <v>#VALUE!</v>
      </c>
    </row>
    <row r="102" spans="1:8" x14ac:dyDescent="0.25">
      <c r="A102">
        <v>55</v>
      </c>
      <c r="B102" t="s">
        <v>282</v>
      </c>
      <c r="C102" t="s">
        <v>283</v>
      </c>
      <c r="D102">
        <v>4689508</v>
      </c>
      <c r="F102" t="s">
        <v>464</v>
      </c>
      <c r="G102" t="e">
        <f>IF(COUNTIF([1]Index!$H$2:$H$187,D102)&gt;0,"","NO")</f>
        <v>#VALUE!</v>
      </c>
      <c r="H102" t="e">
        <f>IF(COUNTIF([2]Sheet1!$K$2:$K$233,D102)&gt;0,"","NO")</f>
        <v>#VALUE!</v>
      </c>
    </row>
    <row r="103" spans="1:8" x14ac:dyDescent="0.25">
      <c r="A103">
        <v>14</v>
      </c>
      <c r="B103" t="s">
        <v>282</v>
      </c>
      <c r="C103" t="s">
        <v>388</v>
      </c>
      <c r="D103">
        <v>22331</v>
      </c>
      <c r="F103" t="s">
        <v>475</v>
      </c>
      <c r="G103" t="e">
        <f>IF(COUNTIF([1]Index!$H$2:$H$187,D103)&gt;0,"","NO")</f>
        <v>#VALUE!</v>
      </c>
    </row>
    <row r="104" spans="1:8" x14ac:dyDescent="0.25">
      <c r="A104">
        <v>72</v>
      </c>
      <c r="B104" t="s">
        <v>136</v>
      </c>
      <c r="C104" t="s">
        <v>249</v>
      </c>
      <c r="D104">
        <v>7030068</v>
      </c>
      <c r="E104">
        <v>2014</v>
      </c>
      <c r="F104" t="s">
        <v>466</v>
      </c>
      <c r="G104" t="e">
        <f>IF(COUNTIF([1]Index!$H$2:$H$187,D104)&gt;0,"","NO")</f>
        <v>#VALUE!</v>
      </c>
      <c r="H104" t="e">
        <f>IF(COUNTIF([2]Sheet1!$K$2:$K$233,D104)&gt;0,"","NO")</f>
        <v>#VALUE!</v>
      </c>
    </row>
    <row r="105" spans="1:8" x14ac:dyDescent="0.25">
      <c r="A105">
        <v>64</v>
      </c>
      <c r="B105" t="s">
        <v>122</v>
      </c>
      <c r="C105" t="s">
        <v>242</v>
      </c>
      <c r="D105">
        <v>5997804</v>
      </c>
      <c r="E105">
        <v>2010</v>
      </c>
      <c r="F105" t="s">
        <v>466</v>
      </c>
      <c r="G105" t="e">
        <f>IF(COUNTIF([1]Index!$H$2:$H$187,D105)&gt;0,"","NO")</f>
        <v>#VALUE!</v>
      </c>
      <c r="H105" t="e">
        <f>IF(COUNTIF([2]Sheet1!$K$2:$K$233,D105)&gt;0,"","NO")</f>
        <v>#VALUE!</v>
      </c>
    </row>
    <row r="106" spans="1:8" x14ac:dyDescent="0.25">
      <c r="A106">
        <v>14</v>
      </c>
      <c r="B106" t="s">
        <v>26</v>
      </c>
      <c r="C106" t="s">
        <v>193</v>
      </c>
      <c r="D106">
        <v>7127647</v>
      </c>
      <c r="E106">
        <v>2019</v>
      </c>
      <c r="F106" t="s">
        <v>466</v>
      </c>
      <c r="G106" t="e">
        <f>IF(COUNTIF([1]Index!$H$2:$H$187,D106)&gt;0,"","NO")</f>
        <v>#VALUE!</v>
      </c>
    </row>
    <row r="107" spans="1:8" x14ac:dyDescent="0.25">
      <c r="A107">
        <v>31</v>
      </c>
      <c r="B107" t="s">
        <v>325</v>
      </c>
      <c r="C107" t="s">
        <v>326</v>
      </c>
      <c r="D107" s="2">
        <v>1581778</v>
      </c>
      <c r="F107" t="s">
        <v>465</v>
      </c>
      <c r="G107" t="e">
        <f>IF(COUNTIF([1]Index!$H$2:$H$187,D107)&gt;0,"","NO")</f>
        <v>#VALUE!</v>
      </c>
      <c r="H107" t="e">
        <f>IF(COUNTIF([2]Sheet1!$K$2:$K$233,D107)&gt;0,"","NO")</f>
        <v>#VALUE!</v>
      </c>
    </row>
    <row r="108" spans="1:8" x14ac:dyDescent="0.25">
      <c r="A108">
        <v>29</v>
      </c>
      <c r="B108" t="s">
        <v>55</v>
      </c>
      <c r="C108" t="s">
        <v>207</v>
      </c>
      <c r="D108">
        <v>7046145</v>
      </c>
      <c r="E108">
        <v>2015</v>
      </c>
      <c r="F108" t="s">
        <v>466</v>
      </c>
      <c r="G108" t="e">
        <f>IF(COUNTIF([1]Index!$H$2:$H$187,D108)&gt;0,"","NO")</f>
        <v>#VALUE!</v>
      </c>
    </row>
    <row r="109" spans="1:8" x14ac:dyDescent="0.25">
      <c r="A109">
        <v>53</v>
      </c>
      <c r="B109" t="s">
        <v>333</v>
      </c>
      <c r="C109" t="s">
        <v>332</v>
      </c>
      <c r="D109" s="2">
        <v>1045238</v>
      </c>
      <c r="F109" t="s">
        <v>465</v>
      </c>
      <c r="G109" t="e">
        <f>IF(COUNTIF([1]Index!$H$2:$H$187,D109)&gt;0,"","NO")</f>
        <v>#VALUE!</v>
      </c>
    </row>
    <row r="110" spans="1:8" x14ac:dyDescent="0.25">
      <c r="A110">
        <v>58</v>
      </c>
      <c r="B110" t="s">
        <v>472</v>
      </c>
      <c r="C110" t="s">
        <v>407</v>
      </c>
      <c r="D110">
        <v>4785828</v>
      </c>
      <c r="F110" t="s">
        <v>475</v>
      </c>
      <c r="G110" t="e">
        <f>IF(COUNTIF([1]Index!$H$2:$H$187,D110)&gt;0,"","NO")</f>
        <v>#VALUE!</v>
      </c>
    </row>
    <row r="111" spans="1:8" x14ac:dyDescent="0.25">
      <c r="A111">
        <v>82</v>
      </c>
      <c r="B111" t="s">
        <v>441</v>
      </c>
      <c r="C111" t="s">
        <v>392</v>
      </c>
      <c r="D111">
        <v>7023299</v>
      </c>
      <c r="F111" t="s">
        <v>475</v>
      </c>
      <c r="G111" t="e">
        <f>IF(COUNTIF([1]Index!$H$2:$H$187,D111)&gt;0,"","NO")</f>
        <v>#VALUE!</v>
      </c>
      <c r="H111" t="e">
        <f>IF(COUNTIF([2]Sheet1!$K$2:$K$233,D111)&gt;0,"","NO")</f>
        <v>#VALUE!</v>
      </c>
    </row>
    <row r="112" spans="1:8" x14ac:dyDescent="0.25">
      <c r="A112">
        <v>2</v>
      </c>
      <c r="B112" t="s">
        <v>2</v>
      </c>
      <c r="C112" t="s">
        <v>181</v>
      </c>
      <c r="D112">
        <v>7106807</v>
      </c>
      <c r="E112">
        <v>2017</v>
      </c>
      <c r="F112" t="s">
        <v>466</v>
      </c>
      <c r="G112" t="e">
        <f>IF(COUNTIF([1]Index!$H$2:$H$187,D112)&gt;0,"","NO")</f>
        <v>#VALUE!</v>
      </c>
    </row>
    <row r="113" spans="1:8" x14ac:dyDescent="0.25">
      <c r="A113">
        <v>82</v>
      </c>
      <c r="B113" t="s">
        <v>149</v>
      </c>
      <c r="C113" t="s">
        <v>257</v>
      </c>
      <c r="D113">
        <v>117947</v>
      </c>
      <c r="E113">
        <v>1989</v>
      </c>
      <c r="F113" t="s">
        <v>466</v>
      </c>
      <c r="G113" t="e">
        <f>IF(COUNTIF([1]Index!$H$2:$H$187,D113)&gt;0,"","NO")</f>
        <v>#VALUE!</v>
      </c>
    </row>
    <row r="114" spans="1:8" x14ac:dyDescent="0.25">
      <c r="A114">
        <v>9</v>
      </c>
      <c r="B114" t="s">
        <v>16</v>
      </c>
      <c r="C114" t="s">
        <v>188</v>
      </c>
      <c r="D114">
        <v>5925687</v>
      </c>
      <c r="E114">
        <v>2011</v>
      </c>
      <c r="F114" t="s">
        <v>466</v>
      </c>
      <c r="G114" t="e">
        <f>IF(COUNTIF([1]Index!$H$2:$H$187,D114)&gt;0,"","NO")</f>
        <v>#VALUE!</v>
      </c>
    </row>
    <row r="115" spans="1:8" x14ac:dyDescent="0.25">
      <c r="A115">
        <v>89</v>
      </c>
      <c r="B115" t="s">
        <v>365</v>
      </c>
      <c r="C115" t="s">
        <v>366</v>
      </c>
      <c r="D115" s="2">
        <v>2490706</v>
      </c>
      <c r="F115" t="s">
        <v>465</v>
      </c>
      <c r="G115" t="e">
        <f>IF(COUNTIF([1]Index!$H$2:$H$187,D115)&gt;0,"","NO")</f>
        <v>#VALUE!</v>
      </c>
      <c r="H115" t="e">
        <f>IF(COUNTIF([2]Sheet1!$K$2:$K$233,D115)&gt;0,"","NO")</f>
        <v>#VALUE!</v>
      </c>
    </row>
    <row r="116" spans="1:8" x14ac:dyDescent="0.25">
      <c r="A116">
        <v>93</v>
      </c>
      <c r="B116" t="s">
        <v>448</v>
      </c>
      <c r="C116" t="s">
        <v>412</v>
      </c>
      <c r="D116">
        <v>4572938</v>
      </c>
      <c r="F116" t="s">
        <v>475</v>
      </c>
      <c r="G116" t="e">
        <f>IF(COUNTIF([1]Index!$H$2:$H$187,D116)&gt;0,"","NO")</f>
        <v>#VALUE!</v>
      </c>
      <c r="H116" t="e">
        <f>IF(COUNTIF([2]Sheet1!$K$2:$K$233,D116)&gt;0,"","NO")</f>
        <v>#VALUE!</v>
      </c>
    </row>
    <row r="117" spans="1:8" x14ac:dyDescent="0.25">
      <c r="A117">
        <v>65</v>
      </c>
      <c r="B117" t="s">
        <v>123</v>
      </c>
      <c r="C117" t="s">
        <v>243</v>
      </c>
      <c r="D117">
        <v>6476063</v>
      </c>
      <c r="E117">
        <v>2012</v>
      </c>
      <c r="F117" t="s">
        <v>466</v>
      </c>
      <c r="G117" t="e">
        <f>IF(COUNTIF([1]Index!$H$2:$H$187,D117)&gt;0,"","NO")</f>
        <v>#VALUE!</v>
      </c>
    </row>
    <row r="118" spans="1:8" x14ac:dyDescent="0.25">
      <c r="A118">
        <v>27</v>
      </c>
      <c r="B118" t="s">
        <v>52</v>
      </c>
      <c r="C118" t="s">
        <v>185</v>
      </c>
      <c r="D118">
        <v>4591782</v>
      </c>
      <c r="E118">
        <v>2006</v>
      </c>
      <c r="F118" t="s">
        <v>466</v>
      </c>
      <c r="G118" t="e">
        <f>IF(COUNTIF([1]Index!$H$2:$H$187,D118)&gt;0,"","NO")</f>
        <v>#VALUE!</v>
      </c>
    </row>
    <row r="119" spans="1:8" x14ac:dyDescent="0.25">
      <c r="A119">
        <v>96</v>
      </c>
      <c r="B119" t="s">
        <v>375</v>
      </c>
      <c r="C119" t="s">
        <v>25</v>
      </c>
      <c r="D119" s="2">
        <v>4108704</v>
      </c>
      <c r="F119" t="s">
        <v>465</v>
      </c>
      <c r="G119" t="e">
        <f>IF(COUNTIF([1]Index!$H$2:$H$187,D119)&gt;0,"","NO")</f>
        <v>#VALUE!</v>
      </c>
      <c r="H119" t="e">
        <f>IF(COUNTIF([2]Sheet1!$K$2:$K$233,D119)&gt;0,"","NO")</f>
        <v>#VALUE!</v>
      </c>
    </row>
    <row r="120" spans="1:8" x14ac:dyDescent="0.25">
      <c r="A120">
        <v>45</v>
      </c>
      <c r="B120" t="s">
        <v>87</v>
      </c>
      <c r="C120" t="s">
        <v>223</v>
      </c>
      <c r="D120">
        <v>7002032</v>
      </c>
      <c r="E120">
        <v>2013</v>
      </c>
      <c r="F120" t="s">
        <v>466</v>
      </c>
      <c r="G120" t="e">
        <f>IF(COUNTIF([1]Index!$H$2:$H$187,D120)&gt;0,"","NO")</f>
        <v>#VALUE!</v>
      </c>
    </row>
    <row r="121" spans="1:8" x14ac:dyDescent="0.25">
      <c r="A121">
        <v>88</v>
      </c>
      <c r="B121" t="s">
        <v>446</v>
      </c>
      <c r="C121" t="s">
        <v>395</v>
      </c>
      <c r="D121">
        <v>5075025</v>
      </c>
      <c r="F121" t="s">
        <v>475</v>
      </c>
      <c r="G121" t="e">
        <f>IF(COUNTIF([1]Index!$H$2:$H$187,D121)&gt;0,"","NO")</f>
        <v>#VALUE!</v>
      </c>
      <c r="H121" t="e">
        <f>IF(COUNTIF([2]Sheet1!$K$2:$K$233,D121)&gt;0,"","NO")</f>
        <v>#VALUE!</v>
      </c>
    </row>
    <row r="122" spans="1:8" x14ac:dyDescent="0.25">
      <c r="A122">
        <v>22</v>
      </c>
      <c r="B122" t="s">
        <v>42</v>
      </c>
      <c r="C122" t="s">
        <v>201</v>
      </c>
      <c r="D122">
        <v>7030123</v>
      </c>
      <c r="E122">
        <v>2014</v>
      </c>
      <c r="F122" t="s">
        <v>466</v>
      </c>
      <c r="G122" t="e">
        <f>IF(COUNTIF([1]Index!$H$2:$H$187,D122)&gt;0,"","NO")</f>
        <v>#VALUE!</v>
      </c>
    </row>
    <row r="123" spans="1:8" x14ac:dyDescent="0.25">
      <c r="A123">
        <v>59</v>
      </c>
      <c r="B123" t="s">
        <v>284</v>
      </c>
      <c r="C123" t="s">
        <v>285</v>
      </c>
      <c r="D123">
        <v>7123436</v>
      </c>
      <c r="F123" t="s">
        <v>464</v>
      </c>
      <c r="G123" t="e">
        <f>IF(COUNTIF([1]Index!$H$2:$H$187,D123)&gt;0,"","NO")</f>
        <v>#VALUE!</v>
      </c>
      <c r="H123" t="e">
        <f>IF(COUNTIF([2]Sheet1!$K$2:$K$233,D123)&gt;0,"","NO")</f>
        <v>#VALUE!</v>
      </c>
    </row>
    <row r="124" spans="1:8" x14ac:dyDescent="0.25">
      <c r="A124">
        <v>80</v>
      </c>
      <c r="B124" t="s">
        <v>358</v>
      </c>
      <c r="C124" t="s">
        <v>25</v>
      </c>
      <c r="D124" s="2">
        <v>4611992</v>
      </c>
      <c r="F124" t="s">
        <v>465</v>
      </c>
      <c r="G124" t="e">
        <f>IF(COUNTIF([1]Index!$H$2:$H$187,D124)&gt;0,"","NO")</f>
        <v>#VALUE!</v>
      </c>
    </row>
    <row r="125" spans="1:8" x14ac:dyDescent="0.25">
      <c r="A125">
        <v>31</v>
      </c>
      <c r="B125" t="s">
        <v>59</v>
      </c>
      <c r="C125" t="s">
        <v>209</v>
      </c>
      <c r="D125">
        <v>7051511</v>
      </c>
      <c r="E125">
        <v>2015</v>
      </c>
      <c r="F125" t="s">
        <v>466</v>
      </c>
      <c r="G125" t="e">
        <f>IF(COUNTIF([1]Index!$H$2:$H$187,D125)&gt;0,"","NO")</f>
        <v>#VALUE!</v>
      </c>
    </row>
    <row r="126" spans="1:8" x14ac:dyDescent="0.25">
      <c r="A126">
        <v>18</v>
      </c>
      <c r="B126" t="s">
        <v>34</v>
      </c>
      <c r="C126" t="s">
        <v>197</v>
      </c>
      <c r="D126">
        <v>7037787</v>
      </c>
      <c r="E126">
        <v>2015</v>
      </c>
      <c r="F126" t="s">
        <v>466</v>
      </c>
      <c r="G126" t="e">
        <f>IF(COUNTIF([1]Index!$H$2:$H$187,D126)&gt;0,"","NO")</f>
        <v>#VALUE!</v>
      </c>
    </row>
    <row r="127" spans="1:8" x14ac:dyDescent="0.25">
      <c r="A127">
        <v>57</v>
      </c>
      <c r="B127" t="s">
        <v>420</v>
      </c>
      <c r="C127" t="s">
        <v>395</v>
      </c>
      <c r="D127">
        <v>5783630</v>
      </c>
      <c r="F127" t="s">
        <v>475</v>
      </c>
      <c r="G127" t="e">
        <f>IF(COUNTIF([1]Index!$H$2:$H$187,D127)&gt;0,"","NO")</f>
        <v>#VALUE!</v>
      </c>
      <c r="H127" t="e">
        <f>IF(COUNTIF([2]Sheet1!$K$2:$K$233,D127)&gt;0,"","NO")</f>
        <v>#VALUE!</v>
      </c>
    </row>
    <row r="128" spans="1:8" x14ac:dyDescent="0.25">
      <c r="A128">
        <v>53</v>
      </c>
      <c r="B128" t="s">
        <v>102</v>
      </c>
      <c r="C128" t="s">
        <v>231</v>
      </c>
      <c r="D128">
        <v>6428767</v>
      </c>
      <c r="E128">
        <v>2012</v>
      </c>
      <c r="F128" t="s">
        <v>466</v>
      </c>
      <c r="G128" t="e">
        <f>IF(COUNTIF([1]Index!$H$2:$H$187,D128)&gt;0,"","NO")</f>
        <v>#VALUE!</v>
      </c>
    </row>
    <row r="129" spans="1:8" x14ac:dyDescent="0.25">
      <c r="A129">
        <v>75</v>
      </c>
      <c r="B129" t="s">
        <v>351</v>
      </c>
      <c r="C129" t="s">
        <v>119</v>
      </c>
      <c r="D129" s="2">
        <v>1564362</v>
      </c>
      <c r="F129" t="s">
        <v>465</v>
      </c>
      <c r="G129" t="e">
        <f>IF(COUNTIF([1]Index!$H$2:$H$187,D129)&gt;0,"","NO")</f>
        <v>#VALUE!</v>
      </c>
    </row>
    <row r="130" spans="1:8" x14ac:dyDescent="0.25">
      <c r="A130">
        <v>86</v>
      </c>
      <c r="B130" t="s">
        <v>155</v>
      </c>
      <c r="C130" t="s">
        <v>260</v>
      </c>
      <c r="D130">
        <v>5508444</v>
      </c>
      <c r="E130">
        <v>2010</v>
      </c>
      <c r="F130" t="s">
        <v>466</v>
      </c>
      <c r="G130" t="e">
        <f>IF(COUNTIF([1]Index!$H$2:$H$187,D130)&gt;0,"","NO")</f>
        <v>#VALUE!</v>
      </c>
    </row>
    <row r="131" spans="1:8" x14ac:dyDescent="0.25">
      <c r="A131">
        <v>61</v>
      </c>
      <c r="B131" t="s">
        <v>117</v>
      </c>
      <c r="C131" t="s">
        <v>239</v>
      </c>
      <c r="D131">
        <v>7073332</v>
      </c>
      <c r="E131">
        <v>2016</v>
      </c>
      <c r="F131" t="s">
        <v>466</v>
      </c>
      <c r="G131" t="e">
        <f>IF(COUNTIF([1]Index!$H$2:$H$187,D131)&gt;0,"","NO")</f>
        <v>#VALUE!</v>
      </c>
      <c r="H131" t="e">
        <f>IF(COUNTIF([2]Sheet1!$K$2:$K$233,D131)&gt;0,"","NO")</f>
        <v>#VALUE!</v>
      </c>
    </row>
    <row r="132" spans="1:8" x14ac:dyDescent="0.25">
      <c r="A132">
        <v>60</v>
      </c>
      <c r="B132" t="s">
        <v>286</v>
      </c>
      <c r="C132" t="s">
        <v>60</v>
      </c>
      <c r="D132">
        <v>7011438</v>
      </c>
      <c r="F132" t="s">
        <v>464</v>
      </c>
      <c r="G132" t="e">
        <f>IF(COUNTIF([1]Index!$H$2:$H$187,D132)&gt;0,"","NO")</f>
        <v>#VALUE!</v>
      </c>
      <c r="H132" t="e">
        <f>IF(COUNTIF([2]Sheet1!$K$2:$K$233,D132)&gt;0,"","NO")</f>
        <v>#VALUE!</v>
      </c>
    </row>
    <row r="133" spans="1:8" x14ac:dyDescent="0.25">
      <c r="A133">
        <v>40</v>
      </c>
      <c r="B133" t="s">
        <v>77</v>
      </c>
      <c r="C133" t="s">
        <v>218</v>
      </c>
      <c r="D133">
        <v>2298355</v>
      </c>
      <c r="E133">
        <v>1997</v>
      </c>
      <c r="F133" t="s">
        <v>466</v>
      </c>
      <c r="G133" t="e">
        <f>IF(COUNTIF([1]Index!$H$2:$H$187,D133)&gt;0,"","NO")</f>
        <v>#VALUE!</v>
      </c>
    </row>
    <row r="134" spans="1:8" x14ac:dyDescent="0.25">
      <c r="A134">
        <v>63</v>
      </c>
      <c r="B134" t="s">
        <v>120</v>
      </c>
      <c r="C134" t="s">
        <v>241</v>
      </c>
      <c r="D134">
        <v>6304702</v>
      </c>
      <c r="E134">
        <v>2012</v>
      </c>
      <c r="F134" t="s">
        <v>466</v>
      </c>
      <c r="G134" t="e">
        <f>IF(COUNTIF([1]Index!$H$2:$H$187,D134)&gt;0,"","NO")</f>
        <v>#VALUE!</v>
      </c>
      <c r="H134" t="e">
        <f>IF(COUNTIF([2]Sheet1!$K$2:$K$233,D134)&gt;0,"","NO")</f>
        <v>#VALUE!</v>
      </c>
    </row>
    <row r="135" spans="1:8" x14ac:dyDescent="0.25">
      <c r="A135">
        <v>37</v>
      </c>
      <c r="B135" t="s">
        <v>71</v>
      </c>
      <c r="C135" t="s">
        <v>215</v>
      </c>
      <c r="D135">
        <v>5677416</v>
      </c>
      <c r="E135">
        <v>2010</v>
      </c>
      <c r="F135" t="s">
        <v>466</v>
      </c>
      <c r="G135" t="e">
        <f>IF(COUNTIF([1]Index!$H$2:$H$187,D135)&gt;0,"","NO")</f>
        <v>#VALUE!</v>
      </c>
    </row>
    <row r="136" spans="1:8" x14ac:dyDescent="0.25">
      <c r="A136">
        <v>99</v>
      </c>
      <c r="B136" t="s">
        <v>456</v>
      </c>
      <c r="C136" t="s">
        <v>78</v>
      </c>
      <c r="D136">
        <v>4972837</v>
      </c>
      <c r="F136" t="s">
        <v>475</v>
      </c>
      <c r="G136" t="e">
        <f>IF(COUNTIF([1]Index!$H$2:$H$187,D136)&gt;0,"","NO")</f>
        <v>#VALUE!</v>
      </c>
      <c r="H136" t="e">
        <f>IF(COUNTIF([2]Sheet1!$K$2:$K$233,D136)&gt;0,"","NO")</f>
        <v>#VALUE!</v>
      </c>
    </row>
    <row r="137" spans="1:8" x14ac:dyDescent="0.25">
      <c r="A137">
        <v>10</v>
      </c>
      <c r="B137" t="s">
        <v>320</v>
      </c>
      <c r="C137" t="s">
        <v>41</v>
      </c>
      <c r="D137" s="2">
        <v>1585970</v>
      </c>
      <c r="F137" t="s">
        <v>465</v>
      </c>
      <c r="G137" t="e">
        <f>IF(COUNTIF([1]Index!$H$2:$H$187,D137)&gt;0,"","NO")</f>
        <v>#VALUE!</v>
      </c>
      <c r="H137" t="e">
        <f>IF(COUNTIF([2]Sheet1!$K$2:$K$233,D137)&gt;0,"","NO")</f>
        <v>#VALUE!</v>
      </c>
    </row>
    <row r="138" spans="1:8" x14ac:dyDescent="0.25">
      <c r="A138">
        <v>16</v>
      </c>
      <c r="B138" t="s">
        <v>30</v>
      </c>
      <c r="C138" t="s">
        <v>195</v>
      </c>
      <c r="D138">
        <v>7119315</v>
      </c>
      <c r="E138">
        <v>2018</v>
      </c>
      <c r="F138" t="s">
        <v>466</v>
      </c>
      <c r="G138" t="e">
        <f>IF(COUNTIF([1]Index!$H$2:$H$187,D138)&gt;0,"","NO")</f>
        <v>#VALUE!</v>
      </c>
      <c r="H138" t="e">
        <f>IF(COUNTIF([2]Sheet1!$K$2:$K$233,D138)&gt;0,"","NO")</f>
        <v>#VALUE!</v>
      </c>
    </row>
    <row r="139" spans="1:8" x14ac:dyDescent="0.25">
      <c r="A139">
        <v>35</v>
      </c>
      <c r="B139" t="s">
        <v>67</v>
      </c>
      <c r="C139" t="s">
        <v>213</v>
      </c>
      <c r="D139">
        <v>7089641</v>
      </c>
      <c r="E139">
        <v>2017</v>
      </c>
      <c r="F139" t="s">
        <v>466</v>
      </c>
      <c r="G139" t="e">
        <f>IF(COUNTIF([1]Index!$H$2:$H$187,D139)&gt;0,"","NO")</f>
        <v>#VALUE!</v>
      </c>
    </row>
    <row r="140" spans="1:8" x14ac:dyDescent="0.25">
      <c r="A140">
        <v>81</v>
      </c>
      <c r="B140" t="s">
        <v>148</v>
      </c>
      <c r="C140" t="s">
        <v>228</v>
      </c>
      <c r="D140">
        <v>426298</v>
      </c>
      <c r="E140">
        <v>1990</v>
      </c>
      <c r="F140" t="s">
        <v>466</v>
      </c>
      <c r="G140" t="e">
        <f>IF(COUNTIF([1]Index!$H$2:$H$187,D140)&gt;0,"","NO")</f>
        <v>#VALUE!</v>
      </c>
      <c r="H140" t="e">
        <f>IF(COUNTIF([2]Sheet1!$K$2:$K$233,D140)&gt;0,"","NO")</f>
        <v>#VALUE!</v>
      </c>
    </row>
    <row r="141" spans="1:8" x14ac:dyDescent="0.25">
      <c r="A141">
        <v>73</v>
      </c>
      <c r="B141" t="s">
        <v>137</v>
      </c>
      <c r="C141" t="s">
        <v>250</v>
      </c>
      <c r="D141">
        <v>7051507</v>
      </c>
      <c r="E141">
        <v>2015</v>
      </c>
      <c r="F141" t="s">
        <v>466</v>
      </c>
      <c r="G141" t="e">
        <f>IF(COUNTIF([1]Index!$H$2:$H$187,D141)&gt;0,"","NO")</f>
        <v>#VALUE!</v>
      </c>
    </row>
    <row r="142" spans="1:8" x14ac:dyDescent="0.25">
      <c r="A142">
        <v>54</v>
      </c>
      <c r="B142" t="s">
        <v>334</v>
      </c>
      <c r="C142" t="s">
        <v>25</v>
      </c>
      <c r="D142" s="2">
        <v>4108797</v>
      </c>
      <c r="F142" t="s">
        <v>465</v>
      </c>
      <c r="G142" t="e">
        <f>IF(COUNTIF([1]Index!$H$2:$H$187,D142)&gt;0,"","NO")</f>
        <v>#VALUE!</v>
      </c>
      <c r="H142" t="e">
        <f>IF(COUNTIF([2]Sheet1!$K$2:$K$233,D142)&gt;0,"","NO")</f>
        <v>#VALUE!</v>
      </c>
    </row>
    <row r="143" spans="1:8" x14ac:dyDescent="0.25">
      <c r="A143">
        <v>33</v>
      </c>
      <c r="B143" t="s">
        <v>63</v>
      </c>
      <c r="C143" t="s">
        <v>211</v>
      </c>
      <c r="D143">
        <v>4447960</v>
      </c>
      <c r="E143">
        <v>2004</v>
      </c>
      <c r="F143" t="s">
        <v>466</v>
      </c>
      <c r="G143" t="e">
        <f>IF(COUNTIF([1]Index!$H$2:$H$187,D143)&gt;0,"","NO")</f>
        <v>#VALUE!</v>
      </c>
    </row>
    <row r="144" spans="1:8" x14ac:dyDescent="0.25">
      <c r="A144">
        <v>63</v>
      </c>
      <c r="B144" t="s">
        <v>291</v>
      </c>
      <c r="C144" t="s">
        <v>292</v>
      </c>
      <c r="D144">
        <v>7133494</v>
      </c>
      <c r="F144" t="s">
        <v>464</v>
      </c>
      <c r="G144" t="e">
        <f>IF(COUNTIF([1]Index!$H$2:$H$187,D144)&gt;0,"","NO")</f>
        <v>#VALUE!</v>
      </c>
      <c r="H144" t="e">
        <f>IF(COUNTIF([2]Sheet1!$K$2:$K$233,D144)&gt;0,"","NO")</f>
        <v>#VALUE!</v>
      </c>
    </row>
    <row r="145" spans="1:8" x14ac:dyDescent="0.25">
      <c r="A145">
        <v>54</v>
      </c>
      <c r="B145" t="s">
        <v>104</v>
      </c>
      <c r="C145" t="s">
        <v>232</v>
      </c>
      <c r="D145">
        <v>7129060</v>
      </c>
      <c r="E145">
        <v>2019</v>
      </c>
      <c r="F145" t="s">
        <v>466</v>
      </c>
      <c r="G145" t="e">
        <f>IF(COUNTIF([1]Index!$H$2:$H$187,D145)&gt;0,"","NO")</f>
        <v>#VALUE!</v>
      </c>
      <c r="H145" t="e">
        <f>IF(COUNTIF([2]Sheet1!$K$2:$K$233,D145)&gt;0,"","NO")</f>
        <v>#VALUE!</v>
      </c>
    </row>
    <row r="146" spans="1:8" x14ac:dyDescent="0.25">
      <c r="A146">
        <v>56</v>
      </c>
      <c r="B146" t="s">
        <v>337</v>
      </c>
      <c r="C146" t="s">
        <v>332</v>
      </c>
      <c r="D146" s="2">
        <v>30426</v>
      </c>
      <c r="F146" t="s">
        <v>465</v>
      </c>
      <c r="G146" t="e">
        <f>IF(COUNTIF([1]Index!$H$2:$H$187,D146)&gt;0,"","NO")</f>
        <v>#VALUE!</v>
      </c>
      <c r="H146" t="e">
        <f>IF(COUNTIF([2]Sheet1!$K$2:$K$233,D146)&gt;0,"","NO")</f>
        <v>#VALUE!</v>
      </c>
    </row>
    <row r="147" spans="1:8" x14ac:dyDescent="0.25">
      <c r="A147">
        <v>56</v>
      </c>
      <c r="B147" t="s">
        <v>108</v>
      </c>
      <c r="C147" t="s">
        <v>234</v>
      </c>
      <c r="D147">
        <v>1406918</v>
      </c>
      <c r="E147">
        <v>1993</v>
      </c>
      <c r="F147" t="s">
        <v>466</v>
      </c>
      <c r="G147" t="e">
        <f>IF(COUNTIF([1]Index!$H$2:$H$187,D147)&gt;0,"","NO")</f>
        <v>#VALUE!</v>
      </c>
    </row>
    <row r="148" spans="1:8" x14ac:dyDescent="0.25">
      <c r="A148">
        <v>96</v>
      </c>
      <c r="B148" t="s">
        <v>314</v>
      </c>
      <c r="C148" t="s">
        <v>315</v>
      </c>
      <c r="D148">
        <v>7084123</v>
      </c>
      <c r="F148" t="s">
        <v>464</v>
      </c>
      <c r="G148" t="e">
        <f>IF(COUNTIF([1]Index!$H$2:$H$187,D148)&gt;0,"","NO")</f>
        <v>#VALUE!</v>
      </c>
    </row>
    <row r="149" spans="1:8" x14ac:dyDescent="0.25">
      <c r="A149">
        <v>97</v>
      </c>
      <c r="B149" t="s">
        <v>174</v>
      </c>
      <c r="C149" t="s">
        <v>192</v>
      </c>
      <c r="D149">
        <v>4615235</v>
      </c>
      <c r="E149">
        <v>2005</v>
      </c>
      <c r="F149" t="s">
        <v>466</v>
      </c>
      <c r="G149" t="e">
        <f>IF(COUNTIF([1]Index!$H$2:$H$187,D149)&gt;0,"","NO")</f>
        <v>#VALUE!</v>
      </c>
      <c r="H149" t="e">
        <f>IF(COUNTIF([2]Sheet1!$K$2:$K$233,D149)&gt;0,"","NO")</f>
        <v>#VALUE!</v>
      </c>
    </row>
    <row r="150" spans="1:8" x14ac:dyDescent="0.25">
      <c r="A150">
        <v>95</v>
      </c>
      <c r="B150" t="s">
        <v>373</v>
      </c>
      <c r="C150" t="s">
        <v>374</v>
      </c>
      <c r="D150" s="2">
        <v>6058450</v>
      </c>
      <c r="F150" t="s">
        <v>465</v>
      </c>
      <c r="G150" t="e">
        <f>IF(COUNTIF([1]Index!$H$2:$H$187,D150)&gt;0,"","NO")</f>
        <v>#VALUE!</v>
      </c>
      <c r="H150" t="e">
        <f>IF(COUNTIF([2]Sheet1!$K$2:$K$233,D150)&gt;0,"","NO")</f>
        <v>#VALUE!</v>
      </c>
    </row>
    <row r="151" spans="1:8" x14ac:dyDescent="0.25">
      <c r="A151">
        <v>39</v>
      </c>
      <c r="B151" t="s">
        <v>278</v>
      </c>
      <c r="C151" t="s">
        <v>279</v>
      </c>
      <c r="D151">
        <v>7107821</v>
      </c>
      <c r="F151" t="s">
        <v>464</v>
      </c>
      <c r="G151" t="e">
        <f>IF(COUNTIF([1]Index!$H$2:$H$187,D151)&gt;0,"","NO")</f>
        <v>#VALUE!</v>
      </c>
      <c r="H151" t="e">
        <f>IF(COUNTIF([2]Sheet1!$K$2:$K$233,D151)&gt;0,"","NO")</f>
        <v>#VALUE!</v>
      </c>
    </row>
    <row r="152" spans="1:8" x14ac:dyDescent="0.25">
      <c r="A152">
        <v>94</v>
      </c>
      <c r="B152" t="s">
        <v>449</v>
      </c>
      <c r="C152" t="s">
        <v>382</v>
      </c>
      <c r="D152">
        <v>5060810</v>
      </c>
      <c r="F152" t="s">
        <v>475</v>
      </c>
      <c r="G152" t="e">
        <f>IF(COUNTIF([1]Index!$H$2:$H$187,D152)&gt;0,"","NO")</f>
        <v>#VALUE!</v>
      </c>
    </row>
    <row r="153" spans="1:8" x14ac:dyDescent="0.25">
      <c r="A153">
        <v>79</v>
      </c>
      <c r="B153" t="s">
        <v>145</v>
      </c>
      <c r="C153" t="s">
        <v>255</v>
      </c>
      <c r="D153">
        <v>7098758</v>
      </c>
      <c r="E153">
        <v>2017</v>
      </c>
      <c r="F153" t="s">
        <v>466</v>
      </c>
      <c r="G153" t="e">
        <f>IF(COUNTIF([1]Index!$H$2:$H$187,D153)&gt;0,"","NO")</f>
        <v>#VALUE!</v>
      </c>
      <c r="H153" t="e">
        <f>IF(COUNTIF([2]Sheet1!$K$2:$K$233,D153)&gt;0,"","NO")</f>
        <v>#VALUE!</v>
      </c>
    </row>
    <row r="154" spans="1:8" x14ac:dyDescent="0.25">
      <c r="A154">
        <v>94</v>
      </c>
      <c r="B154" t="s">
        <v>371</v>
      </c>
      <c r="C154" t="s">
        <v>372</v>
      </c>
      <c r="D154" s="2">
        <v>2402653</v>
      </c>
      <c r="F154" t="s">
        <v>465</v>
      </c>
      <c r="G154" t="e">
        <f>IF(COUNTIF([1]Index!$H$2:$H$187,D154)&gt;0,"","NO")</f>
        <v>#VALUE!</v>
      </c>
      <c r="H154" t="e">
        <f>IF(COUNTIF([2]Sheet1!$K$2:$K$233,D154)&gt;0,"","NO")</f>
        <v>#VALUE!</v>
      </c>
    </row>
    <row r="155" spans="1:8" x14ac:dyDescent="0.25">
      <c r="A155">
        <v>20</v>
      </c>
      <c r="B155" t="s">
        <v>38</v>
      </c>
      <c r="C155" t="s">
        <v>199</v>
      </c>
      <c r="D155">
        <v>7147007</v>
      </c>
      <c r="E155">
        <v>2020</v>
      </c>
      <c r="F155" t="s">
        <v>466</v>
      </c>
      <c r="G155" t="e">
        <f>IF(COUNTIF([1]Index!$H$2:$H$187,D155)&gt;0,"","NO")</f>
        <v>#VALUE!</v>
      </c>
      <c r="H155" t="e">
        <f>IF(COUNTIF([2]Sheet1!$K$2:$K$233,D155)&gt;0,"","NO")</f>
        <v>#VALUE!</v>
      </c>
    </row>
    <row r="156" spans="1:8" x14ac:dyDescent="0.25">
      <c r="A156">
        <v>62</v>
      </c>
      <c r="B156" t="s">
        <v>118</v>
      </c>
      <c r="C156" t="s">
        <v>240</v>
      </c>
      <c r="D156">
        <v>2296522</v>
      </c>
      <c r="E156">
        <v>1999</v>
      </c>
      <c r="F156" t="s">
        <v>466</v>
      </c>
      <c r="G156" t="e">
        <f>IF(COUNTIF([1]Index!$H$2:$H$187,D156)&gt;0,"","NO")</f>
        <v>#VALUE!</v>
      </c>
    </row>
    <row r="157" spans="1:8" x14ac:dyDescent="0.25">
      <c r="A157">
        <v>26</v>
      </c>
      <c r="B157" t="s">
        <v>50</v>
      </c>
      <c r="C157" t="s">
        <v>205</v>
      </c>
      <c r="D157">
        <v>7038281</v>
      </c>
      <c r="E157">
        <v>2015</v>
      </c>
      <c r="F157" t="s">
        <v>466</v>
      </c>
      <c r="G157" t="e">
        <f>IF(COUNTIF([1]Index!$H$2:$H$187,D157)&gt;0,"","NO")</f>
        <v>#VALUE!</v>
      </c>
    </row>
    <row r="158" spans="1:8" x14ac:dyDescent="0.25">
      <c r="A158">
        <v>80</v>
      </c>
      <c r="B158" t="s">
        <v>147</v>
      </c>
      <c r="C158" t="s">
        <v>256</v>
      </c>
      <c r="D158">
        <v>7063694</v>
      </c>
      <c r="E158">
        <v>2016</v>
      </c>
      <c r="F158" t="s">
        <v>466</v>
      </c>
      <c r="G158" t="e">
        <f>IF(COUNTIF([1]Index!$H$2:$H$187,D158)&gt;0,"","NO")</f>
        <v>#VALUE!</v>
      </c>
    </row>
    <row r="159" spans="1:8" x14ac:dyDescent="0.25">
      <c r="A159">
        <v>71</v>
      </c>
      <c r="B159" t="s">
        <v>346</v>
      </c>
      <c r="C159" t="s">
        <v>25</v>
      </c>
      <c r="D159" s="2">
        <v>4490766</v>
      </c>
      <c r="F159" t="s">
        <v>465</v>
      </c>
      <c r="G159" t="e">
        <f>IF(COUNTIF([1]Index!$H$2:$H$187,D159)&gt;0,"","NO")</f>
        <v>#VALUE!</v>
      </c>
    </row>
    <row r="160" spans="1:8" x14ac:dyDescent="0.25">
      <c r="A160">
        <v>77</v>
      </c>
      <c r="B160" t="s">
        <v>354</v>
      </c>
      <c r="C160" t="s">
        <v>355</v>
      </c>
      <c r="D160" s="2">
        <v>917491</v>
      </c>
      <c r="F160" t="s">
        <v>465</v>
      </c>
      <c r="G160" t="e">
        <f>IF(COUNTIF([1]Index!$H$2:$H$187,D160)&gt;0,"","NO")</f>
        <v>#VALUE!</v>
      </c>
    </row>
    <row r="161" spans="1:8" x14ac:dyDescent="0.25">
      <c r="A161">
        <v>52</v>
      </c>
      <c r="B161" t="s">
        <v>331</v>
      </c>
      <c r="C161" t="s">
        <v>332</v>
      </c>
      <c r="D161" s="2">
        <v>78897</v>
      </c>
      <c r="F161" t="s">
        <v>465</v>
      </c>
      <c r="G161" t="e">
        <f>IF(COUNTIF([1]Index!$H$2:$H$187,D161)&gt;0,"","NO")</f>
        <v>#VALUE!</v>
      </c>
      <c r="H161" t="e">
        <f>IF(COUNTIF([2]Sheet1!$K$2:$K$233,D161)&gt;0,"","NO")</f>
        <v>#VALUE!</v>
      </c>
    </row>
    <row r="162" spans="1:8" x14ac:dyDescent="0.25">
      <c r="A162">
        <v>87</v>
      </c>
      <c r="B162" t="s">
        <v>157</v>
      </c>
      <c r="C162" t="s">
        <v>261</v>
      </c>
      <c r="D162">
        <v>4705248</v>
      </c>
      <c r="E162">
        <v>2005</v>
      </c>
      <c r="F162" t="s">
        <v>466</v>
      </c>
      <c r="G162" t="e">
        <f>IF(COUNTIF([1]Index!$H$2:$H$187,D162)&gt;0,"","NO")</f>
        <v>#VALUE!</v>
      </c>
    </row>
    <row r="163" spans="1:8" x14ac:dyDescent="0.25">
      <c r="A163">
        <v>95</v>
      </c>
      <c r="B163" t="s">
        <v>450</v>
      </c>
      <c r="C163" t="s">
        <v>76</v>
      </c>
      <c r="D163">
        <v>3148435</v>
      </c>
      <c r="F163" t="s">
        <v>475</v>
      </c>
      <c r="G163" t="e">
        <f>IF(COUNTIF([1]Index!$H$2:$H$187,D163)&gt;0,"","NO")</f>
        <v>#VALUE!</v>
      </c>
    </row>
    <row r="164" spans="1:8" x14ac:dyDescent="0.25">
      <c r="A164">
        <v>87</v>
      </c>
      <c r="B164" t="s">
        <v>361</v>
      </c>
      <c r="C164" t="s">
        <v>362</v>
      </c>
      <c r="D164" s="2">
        <v>3994672</v>
      </c>
      <c r="F164" t="s">
        <v>465</v>
      </c>
      <c r="G164" t="e">
        <f>IF(COUNTIF([1]Index!$H$2:$H$187,D164)&gt;0,"","NO")</f>
        <v>#VALUE!</v>
      </c>
      <c r="H164" t="e">
        <f>IF(COUNTIF([2]Sheet1!$K$2:$K$233,D164)&gt;0,"","NO")</f>
        <v>#VALUE!</v>
      </c>
    </row>
    <row r="165" spans="1:8" x14ac:dyDescent="0.25">
      <c r="A165">
        <v>49</v>
      </c>
      <c r="B165" t="s">
        <v>95</v>
      </c>
      <c r="C165" t="s">
        <v>227</v>
      </c>
      <c r="D165">
        <v>11483</v>
      </c>
      <c r="E165">
        <v>1982</v>
      </c>
      <c r="F165" t="s">
        <v>466</v>
      </c>
      <c r="G165" t="e">
        <f>IF(COUNTIF([1]Index!$H$2:$H$187,D165)&gt;0,"","NO")</f>
        <v>#VALUE!</v>
      </c>
    </row>
    <row r="166" spans="1:8" x14ac:dyDescent="0.25">
      <c r="A166">
        <v>90</v>
      </c>
      <c r="B166" t="s">
        <v>310</v>
      </c>
      <c r="C166" t="s">
        <v>311</v>
      </c>
      <c r="D166">
        <v>7141227</v>
      </c>
      <c r="F166" t="s">
        <v>464</v>
      </c>
      <c r="G166" t="e">
        <f>IF(COUNTIF([1]Index!$H$2:$H$187,D166)&gt;0,"","NO")</f>
        <v>#VALUE!</v>
      </c>
      <c r="H166" t="e">
        <f>IF(COUNTIF([2]Sheet1!$K$2:$K$233,D166)&gt;0,"","NO")</f>
        <v>#VALUE!</v>
      </c>
    </row>
    <row r="167" spans="1:8" x14ac:dyDescent="0.25">
      <c r="A167">
        <v>41</v>
      </c>
      <c r="B167" t="s">
        <v>79</v>
      </c>
      <c r="C167" t="s">
        <v>219</v>
      </c>
      <c r="D167">
        <v>7018338</v>
      </c>
      <c r="E167">
        <v>2014</v>
      </c>
      <c r="F167" t="s">
        <v>466</v>
      </c>
      <c r="G167" t="e">
        <f>IF(COUNTIF([1]Index!$H$2:$H$187,D167)&gt;0,"","NO")</f>
        <v>#VALUE!</v>
      </c>
      <c r="H167" t="e">
        <f>IF(COUNTIF([2]Sheet1!$K$2:$K$233,D167)&gt;0,"","NO")</f>
        <v>#VALUE!</v>
      </c>
    </row>
    <row r="168" spans="1:8" x14ac:dyDescent="0.25">
      <c r="A168">
        <v>92</v>
      </c>
      <c r="B168" t="s">
        <v>312</v>
      </c>
      <c r="C168" t="s">
        <v>313</v>
      </c>
      <c r="D168">
        <v>7123068</v>
      </c>
      <c r="F168" t="s">
        <v>464</v>
      </c>
      <c r="G168" t="e">
        <f>IF(COUNTIF([1]Index!$H$2:$H$187,D168)&gt;0,"","NO")</f>
        <v>#VALUE!</v>
      </c>
      <c r="H168" t="e">
        <f>IF(COUNTIF([2]Sheet1!$K$2:$K$233,D168)&gt;0,"","NO")</f>
        <v>#VALUE!</v>
      </c>
    </row>
    <row r="169" spans="1:8" x14ac:dyDescent="0.25">
      <c r="A169">
        <v>8</v>
      </c>
      <c r="B169" t="s">
        <v>14</v>
      </c>
      <c r="C169" t="s">
        <v>187</v>
      </c>
      <c r="D169">
        <v>6333821</v>
      </c>
      <c r="E169">
        <v>2012</v>
      </c>
      <c r="F169" t="s">
        <v>466</v>
      </c>
      <c r="G169" t="e">
        <f>IF(COUNTIF([1]Index!$H$2:$H$187,D169)&gt;0,"","NO")</f>
        <v>#VALUE!</v>
      </c>
    </row>
    <row r="170" spans="1:8" x14ac:dyDescent="0.25">
      <c r="A170">
        <v>64</v>
      </c>
      <c r="B170" t="s">
        <v>342</v>
      </c>
      <c r="C170" t="s">
        <v>343</v>
      </c>
      <c r="D170" s="2">
        <v>5060834</v>
      </c>
      <c r="F170" t="s">
        <v>465</v>
      </c>
      <c r="G170" t="e">
        <f>IF(COUNTIF([1]Index!$H$2:$H$187,D170)&gt;0,"","NO")</f>
        <v>#VALUE!</v>
      </c>
      <c r="H170" t="e">
        <f>IF(COUNTIF([2]Sheet1!$K$2:$K$233,D170)&gt;0,"","NO")</f>
        <v>#VALUE!</v>
      </c>
    </row>
    <row r="171" spans="1:8" x14ac:dyDescent="0.25">
      <c r="A171">
        <v>62</v>
      </c>
      <c r="B171" t="s">
        <v>423</v>
      </c>
      <c r="C171" t="s">
        <v>412</v>
      </c>
      <c r="D171">
        <v>5200924</v>
      </c>
      <c r="F171" t="s">
        <v>475</v>
      </c>
      <c r="G171" t="e">
        <f>IF(COUNTIF([1]Index!$H$2:$H$187,D171)&gt;0,"","NO")</f>
        <v>#VALUE!</v>
      </c>
      <c r="H171" t="e">
        <f>IF(COUNTIF([2]Sheet1!$K$2:$K$233,D171)&gt;0,"","NO")</f>
        <v>#VALUE!</v>
      </c>
    </row>
    <row r="172" spans="1:8" x14ac:dyDescent="0.25">
      <c r="A172">
        <v>98</v>
      </c>
      <c r="B172" t="s">
        <v>175</v>
      </c>
      <c r="C172" t="s">
        <v>271</v>
      </c>
      <c r="D172">
        <v>7065049</v>
      </c>
      <c r="E172">
        <v>2016</v>
      </c>
      <c r="F172" t="s">
        <v>466</v>
      </c>
      <c r="G172" t="e">
        <f>IF(COUNTIF([1]Index!$H$2:$H$187,D172)&gt;0,"","NO")</f>
        <v>#VALUE!</v>
      </c>
    </row>
    <row r="173" spans="1:8" x14ac:dyDescent="0.25">
      <c r="A173">
        <v>76</v>
      </c>
      <c r="B173" t="s">
        <v>298</v>
      </c>
      <c r="C173" t="s">
        <v>299</v>
      </c>
      <c r="D173">
        <v>7011436</v>
      </c>
      <c r="F173" t="s">
        <v>464</v>
      </c>
      <c r="G173" t="e">
        <f>IF(COUNTIF([1]Index!$H$2:$H$187,D173)&gt;0,"","NO")</f>
        <v>#VALUE!</v>
      </c>
      <c r="H173" t="e">
        <f>IF(COUNTIF([2]Sheet1!$K$2:$K$233,D173)&gt;0,"","NO")</f>
        <v>#VALUE!</v>
      </c>
    </row>
    <row r="174" spans="1:8" x14ac:dyDescent="0.25">
      <c r="A174">
        <v>80</v>
      </c>
      <c r="B174" t="s">
        <v>439</v>
      </c>
      <c r="C174" t="s">
        <v>109</v>
      </c>
      <c r="D174">
        <v>6454621</v>
      </c>
      <c r="F174" t="s">
        <v>475</v>
      </c>
      <c r="G174" t="e">
        <f>IF(COUNTIF([1]Index!$H$2:$H$187,D174)&gt;0,"","NO")</f>
        <v>#VALUE!</v>
      </c>
    </row>
    <row r="175" spans="1:8" x14ac:dyDescent="0.25">
      <c r="A175">
        <v>62</v>
      </c>
      <c r="B175" t="s">
        <v>289</v>
      </c>
      <c r="C175" t="s">
        <v>290</v>
      </c>
      <c r="D175">
        <v>1259</v>
      </c>
      <c r="F175" t="s">
        <v>464</v>
      </c>
      <c r="G175" t="e">
        <f>IF(COUNTIF([1]Index!$H$2:$H$187,D175)&gt;0,"","NO")</f>
        <v>#VALUE!</v>
      </c>
    </row>
    <row r="176" spans="1:8" x14ac:dyDescent="0.25">
      <c r="A176">
        <v>88</v>
      </c>
      <c r="B176" t="s">
        <v>363</v>
      </c>
      <c r="C176" t="s">
        <v>364</v>
      </c>
      <c r="D176" s="2">
        <v>5925663</v>
      </c>
      <c r="F176" t="s">
        <v>465</v>
      </c>
      <c r="G176" t="e">
        <f>IF(COUNTIF([1]Index!$H$2:$H$187,D176)&gt;0,"","NO")</f>
        <v>#VALUE!</v>
      </c>
      <c r="H176" t="e">
        <f>IF(COUNTIF([2]Sheet1!$K$2:$K$233,D176)&gt;0,"","NO")</f>
        <v>#VALUE!</v>
      </c>
    </row>
    <row r="177" spans="1:8" x14ac:dyDescent="0.25">
      <c r="A177">
        <v>1</v>
      </c>
      <c r="B177" t="s">
        <v>0</v>
      </c>
      <c r="C177" t="s">
        <v>180</v>
      </c>
      <c r="D177">
        <v>7115744</v>
      </c>
      <c r="E177">
        <v>2016</v>
      </c>
      <c r="F177" t="s">
        <v>466</v>
      </c>
      <c r="G177" t="e">
        <f>IF(COUNTIF([1]Index!$H$2:$H$187,D177)&gt;0,"","NO")</f>
        <v>#VALUE!</v>
      </c>
    </row>
    <row r="178" spans="1:8" x14ac:dyDescent="0.25">
      <c r="A178">
        <v>98</v>
      </c>
      <c r="B178" t="s">
        <v>316</v>
      </c>
      <c r="C178" t="s">
        <v>317</v>
      </c>
      <c r="D178">
        <v>6367165</v>
      </c>
      <c r="F178" t="s">
        <v>464</v>
      </c>
      <c r="G178" t="e">
        <f>IF(COUNTIF([1]Index!$H$2:$H$187,D178)&gt;0,"","NO")</f>
        <v>#VALUE!</v>
      </c>
    </row>
    <row r="179" spans="1:8" x14ac:dyDescent="0.25">
      <c r="A179">
        <v>58</v>
      </c>
      <c r="B179" t="s">
        <v>112</v>
      </c>
      <c r="C179" t="s">
        <v>236</v>
      </c>
      <c r="D179">
        <v>7130961</v>
      </c>
      <c r="E179">
        <v>2019</v>
      </c>
      <c r="F179" t="s">
        <v>466</v>
      </c>
      <c r="G179" t="e">
        <f>IF(COUNTIF([1]Index!$H$2:$H$187,D179)&gt;0,"","NO")</f>
        <v>#VALUE!</v>
      </c>
      <c r="H179" t="e">
        <f>IF(COUNTIF([2]Sheet1!$K$2:$K$233,D179)&gt;0,"","NO")</f>
        <v>#VALUE!</v>
      </c>
    </row>
    <row r="180" spans="1:8" x14ac:dyDescent="0.25">
      <c r="A180">
        <v>4</v>
      </c>
      <c r="B180" t="s">
        <v>6</v>
      </c>
      <c r="C180" t="s">
        <v>183</v>
      </c>
      <c r="D180">
        <v>7068424</v>
      </c>
      <c r="E180">
        <v>2016</v>
      </c>
      <c r="F180" t="s">
        <v>466</v>
      </c>
      <c r="G180" t="e">
        <f>IF(COUNTIF([1]Index!$H$2:$H$187,D180)&gt;0,"","NO")</f>
        <v>#VALUE!</v>
      </c>
    </row>
    <row r="181" spans="1:8" x14ac:dyDescent="0.25">
      <c r="A181">
        <v>6</v>
      </c>
      <c r="B181" t="s">
        <v>10</v>
      </c>
      <c r="C181" t="s">
        <v>185</v>
      </c>
      <c r="D181">
        <v>7102401</v>
      </c>
      <c r="E181">
        <v>2017</v>
      </c>
      <c r="F181" t="s">
        <v>466</v>
      </c>
      <c r="G181" t="e">
        <f>IF(COUNTIF([1]Index!$H$2:$H$187,D181)&gt;0,"","NO")</f>
        <v>#VALUE!</v>
      </c>
    </row>
    <row r="182" spans="1:8" x14ac:dyDescent="0.25">
      <c r="A182">
        <v>94</v>
      </c>
      <c r="B182" t="s">
        <v>405</v>
      </c>
      <c r="C182" t="s">
        <v>268</v>
      </c>
      <c r="D182">
        <v>6440288</v>
      </c>
      <c r="E182">
        <v>2012</v>
      </c>
      <c r="F182" t="s">
        <v>466</v>
      </c>
      <c r="G182" t="e">
        <f>IF(COUNTIF([1]Index!$H$2:$H$187,D182)&gt;0,"","NO")</f>
        <v>#VALUE!</v>
      </c>
    </row>
    <row r="183" spans="1:8" x14ac:dyDescent="0.25">
      <c r="A183">
        <v>70</v>
      </c>
      <c r="B183" t="s">
        <v>296</v>
      </c>
      <c r="C183" t="s">
        <v>297</v>
      </c>
      <c r="D183">
        <v>7111932</v>
      </c>
      <c r="F183" t="s">
        <v>464</v>
      </c>
      <c r="G183" t="e">
        <f>IF(COUNTIF([1]Index!$H$2:$H$187,D183)&gt;0,"","NO")</f>
        <v>#VALUE!</v>
      </c>
      <c r="H183" t="e">
        <f>IF(COUNTIF([2]Sheet1!$K$2:$K$233,D183)&gt;0,"","NO")</f>
        <v>#VALUE!</v>
      </c>
    </row>
    <row r="184" spans="1:8" x14ac:dyDescent="0.25">
      <c r="A184">
        <v>81</v>
      </c>
      <c r="B184" t="s">
        <v>440</v>
      </c>
      <c r="C184" t="s">
        <v>382</v>
      </c>
      <c r="D184">
        <v>3217555</v>
      </c>
      <c r="F184" t="s">
        <v>475</v>
      </c>
      <c r="G184" t="e">
        <f>IF(COUNTIF([1]Index!$H$2:$H$187,D184)&gt;0,"","NO")</f>
        <v>#VALUE!</v>
      </c>
      <c r="H184" t="e">
        <f>IF(COUNTIF([2]Sheet1!$K$2:$K$233,D184)&gt;0,"","NO")</f>
        <v>#VALUE!</v>
      </c>
    </row>
    <row r="185" spans="1:8" x14ac:dyDescent="0.25">
      <c r="A185">
        <v>74</v>
      </c>
      <c r="B185" t="s">
        <v>139</v>
      </c>
      <c r="C185" t="s">
        <v>251</v>
      </c>
      <c r="D185">
        <v>7048885</v>
      </c>
      <c r="E185">
        <v>2016</v>
      </c>
      <c r="F185" t="s">
        <v>466</v>
      </c>
      <c r="G185" t="e">
        <f>IF(COUNTIF([1]Index!$H$2:$H$187,D185)&gt;0,"","NO")</f>
        <v>#VALUE!</v>
      </c>
      <c r="H185" t="e">
        <f>IF(COUNTIF([2]Sheet1!$K$2:$K$233,D185)&gt;0,"","NO")</f>
        <v>#VALUE!</v>
      </c>
    </row>
    <row r="186" spans="1:8" x14ac:dyDescent="0.25">
      <c r="A186">
        <v>34</v>
      </c>
      <c r="B186" t="s">
        <v>65</v>
      </c>
      <c r="C186" t="s">
        <v>212</v>
      </c>
      <c r="D186">
        <v>7105442</v>
      </c>
      <c r="E186">
        <v>2018</v>
      </c>
      <c r="F186" t="s">
        <v>466</v>
      </c>
      <c r="G186" t="e">
        <f>IF(COUNTIF([1]Index!$H$2:$H$187,D186)&gt;0,"","NO")</f>
        <v>#VALUE!</v>
      </c>
      <c r="H186" t="e">
        <f>IF(COUNTIF([2]Sheet1!$K$2:$K$233,D186)&gt;0,"","NO")</f>
        <v>#VALUE!</v>
      </c>
    </row>
    <row r="187" spans="1:8" x14ac:dyDescent="0.25">
      <c r="A187">
        <v>30</v>
      </c>
      <c r="B187" t="s">
        <v>57</v>
      </c>
      <c r="C187" t="s">
        <v>208</v>
      </c>
      <c r="D187">
        <v>7121852</v>
      </c>
      <c r="E187">
        <v>2018</v>
      </c>
      <c r="F187" t="s">
        <v>466</v>
      </c>
      <c r="G187" t="e">
        <f>IF(COUNTIF([1]Index!$H$2:$H$187,D187)&gt;0,"","NO")</f>
        <v>#VALUE!</v>
      </c>
    </row>
    <row r="188" spans="1:8" x14ac:dyDescent="0.25">
      <c r="A188">
        <v>67</v>
      </c>
      <c r="B188" t="s">
        <v>344</v>
      </c>
      <c r="C188" t="s">
        <v>9</v>
      </c>
      <c r="D188" s="2">
        <v>5376377</v>
      </c>
      <c r="F188" t="s">
        <v>465</v>
      </c>
      <c r="G188" t="e">
        <f>IF(COUNTIF([1]Index!$H$2:$H$187,D188)&gt;0,"","NO")</f>
        <v>#VALUE!</v>
      </c>
      <c r="H188" t="e">
        <f>IF(COUNTIF([2]Sheet1!$K$2:$K$233,D188)&gt;0,"","NO")</f>
        <v>#VALUE!</v>
      </c>
    </row>
    <row r="189" spans="1:8" x14ac:dyDescent="0.25">
      <c r="A189">
        <v>33</v>
      </c>
      <c r="B189" t="s">
        <v>457</v>
      </c>
      <c r="C189" t="s">
        <v>403</v>
      </c>
      <c r="D189">
        <v>3383788</v>
      </c>
      <c r="F189" t="s">
        <v>475</v>
      </c>
      <c r="G189" t="e">
        <f>IF(COUNTIF([1]Index!$H$2:$H$187,D189)&gt;0,"","NO")</f>
        <v>#VALUE!</v>
      </c>
      <c r="H189" t="e">
        <f>IF(COUNTIF([2]Sheet1!$K$2:$K$233,D189)&gt;0,"","NO")</f>
        <v>#VALUE!</v>
      </c>
    </row>
    <row r="190" spans="1:8" x14ac:dyDescent="0.25">
      <c r="A190">
        <v>59</v>
      </c>
      <c r="B190" t="s">
        <v>114</v>
      </c>
      <c r="C190" t="s">
        <v>237</v>
      </c>
      <c r="D190">
        <v>825356</v>
      </c>
      <c r="E190">
        <v>1991</v>
      </c>
      <c r="F190" t="s">
        <v>466</v>
      </c>
      <c r="G190" t="e">
        <f>IF(COUNTIF([1]Index!$H$2:$H$187,D190)&gt;0,"","NO")</f>
        <v>#VALUE!</v>
      </c>
    </row>
    <row r="191" spans="1:8" x14ac:dyDescent="0.25">
      <c r="A191">
        <v>70</v>
      </c>
      <c r="B191" t="s">
        <v>132</v>
      </c>
      <c r="C191" t="s">
        <v>247</v>
      </c>
      <c r="D191">
        <v>2456623</v>
      </c>
      <c r="E191">
        <v>1996</v>
      </c>
      <c r="F191" t="s">
        <v>466</v>
      </c>
      <c r="G191" t="e">
        <f>IF(COUNTIF([1]Index!$H$2:$H$187,D191)&gt;0,"","NO")</f>
        <v>#VALUE!</v>
      </c>
    </row>
    <row r="192" spans="1:8" x14ac:dyDescent="0.25">
      <c r="A192">
        <v>96</v>
      </c>
      <c r="B192" t="s">
        <v>451</v>
      </c>
      <c r="C192" t="s">
        <v>381</v>
      </c>
      <c r="D192">
        <v>4674166</v>
      </c>
      <c r="F192" t="s">
        <v>475</v>
      </c>
      <c r="G192" t="e">
        <f>IF(COUNTIF([1]Index!$H$2:$H$187,D192)&gt;0,"","NO")</f>
        <v>#VALUE!</v>
      </c>
      <c r="H192" t="e">
        <f>IF(COUNTIF([2]Sheet1!$K$2:$K$233,D192)&gt;0,"","NO")</f>
        <v>#VALUE!</v>
      </c>
    </row>
    <row r="193" spans="1:8" x14ac:dyDescent="0.25">
      <c r="A193">
        <v>51</v>
      </c>
      <c r="B193" t="s">
        <v>99</v>
      </c>
      <c r="C193" t="s">
        <v>229</v>
      </c>
      <c r="D193">
        <v>4477026</v>
      </c>
      <c r="E193">
        <v>2003</v>
      </c>
      <c r="F193" t="s">
        <v>466</v>
      </c>
      <c r="G193" t="e">
        <f>IF(COUNTIF([1]Index!$H$2:$H$187,D193)&gt;0,"","NO")</f>
        <v>#VALUE!</v>
      </c>
    </row>
    <row r="194" spans="1:8" x14ac:dyDescent="0.25">
      <c r="A194">
        <v>26</v>
      </c>
      <c r="B194" t="s">
        <v>397</v>
      </c>
      <c r="C194" t="s">
        <v>398</v>
      </c>
      <c r="D194">
        <v>5393329</v>
      </c>
      <c r="F194" t="s">
        <v>475</v>
      </c>
      <c r="G194" t="e">
        <f>IF(COUNTIF([1]Index!$H$2:$H$187,D194)&gt;0,"","NO")</f>
        <v>#VALUE!</v>
      </c>
    </row>
    <row r="195" spans="1:8" x14ac:dyDescent="0.25">
      <c r="A195">
        <v>69</v>
      </c>
      <c r="B195" t="s">
        <v>130</v>
      </c>
      <c r="C195" t="s">
        <v>246</v>
      </c>
      <c r="D195">
        <v>7054720</v>
      </c>
      <c r="E195">
        <v>2016</v>
      </c>
      <c r="F195" t="s">
        <v>466</v>
      </c>
      <c r="G195" t="e">
        <f>IF(COUNTIF([1]Index!$H$2:$H$187,D195)&gt;0,"","NO")</f>
        <v>#VALUE!</v>
      </c>
      <c r="H195" t="e">
        <f>IF(COUNTIF([2]Sheet1!$K$2:$K$233,D195)&gt;0,"","NO")</f>
        <v>#VALUE!</v>
      </c>
    </row>
    <row r="196" spans="1:8" x14ac:dyDescent="0.25">
      <c r="A196">
        <v>77</v>
      </c>
      <c r="B196" t="s">
        <v>143</v>
      </c>
      <c r="C196" t="s">
        <v>253</v>
      </c>
      <c r="D196">
        <v>4611679</v>
      </c>
      <c r="E196">
        <v>2006</v>
      </c>
      <c r="F196" t="s">
        <v>466</v>
      </c>
      <c r="G196" t="e">
        <f>IF(COUNTIF([1]Index!$H$2:$H$187,D196)&gt;0,"","NO")</f>
        <v>#VALUE!</v>
      </c>
      <c r="H196" t="e">
        <f>IF(COUNTIF([2]Sheet1!$K$2:$K$233,D196)&gt;0,"","NO")</f>
        <v>#VALUE!</v>
      </c>
    </row>
  </sheetData>
  <autoFilter ref="A1:H196" xr:uid="{E42069AA-1290-41AB-804D-9F8818273A15}"/>
  <sortState xmlns:xlrd2="http://schemas.microsoft.com/office/spreadsheetml/2017/richdata2" ref="A2:F196">
    <sortCondition ref="B2:B1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6851-E0AB-4984-8D09-0F153403507A}">
  <dimension ref="A1:J102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2" max="2" width="39.7109375" bestFit="1" customWidth="1"/>
    <col min="3" max="3" width="14.42578125" customWidth="1"/>
  </cols>
  <sheetData>
    <row r="1" spans="1:10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460</v>
      </c>
      <c r="H1" s="1" t="s">
        <v>461</v>
      </c>
      <c r="I1" s="1" t="s">
        <v>467</v>
      </c>
      <c r="J1" s="1" t="s">
        <v>468</v>
      </c>
    </row>
    <row r="2" spans="1:10" x14ac:dyDescent="0.25">
      <c r="A2">
        <v>1</v>
      </c>
      <c r="B2" t="s">
        <v>0</v>
      </c>
      <c r="C2" t="s">
        <v>180</v>
      </c>
      <c r="D2">
        <v>7115744</v>
      </c>
      <c r="E2">
        <v>2016</v>
      </c>
      <c r="F2" t="s">
        <v>466</v>
      </c>
      <c r="G2" t="str">
        <f>IF(COUNTIF([2]Sheet1!$K$2:$K$229,D2)&gt;0,"","NO")</f>
        <v>NO</v>
      </c>
      <c r="H2" t="str">
        <f>IF(COUNTIF([1]Index!$H$2:$H$187,D2)&gt;0,"","NO")</f>
        <v/>
      </c>
      <c r="I2" t="str">
        <f>IF(COUNTIF(CcliTop100Usa!$D$2:$D$101,D2)&gt;0,"","NO")</f>
        <v/>
      </c>
      <c r="J2" t="str">
        <f>IF(COUNTIF(CcliTop100Uk!$D$2:$D$101,D2)&gt;0,"","NO")</f>
        <v/>
      </c>
    </row>
    <row r="3" spans="1:10" x14ac:dyDescent="0.25">
      <c r="A3">
        <v>2</v>
      </c>
      <c r="B3" t="s">
        <v>2</v>
      </c>
      <c r="C3" t="s">
        <v>181</v>
      </c>
      <c r="D3">
        <v>7106807</v>
      </c>
      <c r="E3">
        <v>2017</v>
      </c>
      <c r="F3" t="s">
        <v>466</v>
      </c>
      <c r="G3" t="str">
        <f>IF(COUNTIF([2]Sheet1!$K$2:$K$229,D3)&gt;0,"","NO")</f>
        <v/>
      </c>
      <c r="H3" t="str">
        <f>IF(COUNTIF([1]Index!$H$2:$H$187,D3)&gt;0,"","NO")</f>
        <v/>
      </c>
      <c r="I3" t="str">
        <f>IF(COUNTIF(CcliTop100Usa!$D$2:$D$101,D3)&gt;0,"","NO")</f>
        <v/>
      </c>
      <c r="J3" t="str">
        <f>IF(COUNTIF(CcliTop100Uk!$D$2:$D$101,D3)&gt;0,"","NO")</f>
        <v/>
      </c>
    </row>
    <row r="4" spans="1:10" x14ac:dyDescent="0.25">
      <c r="A4">
        <v>3</v>
      </c>
      <c r="B4" t="s">
        <v>4</v>
      </c>
      <c r="C4" t="s">
        <v>182</v>
      </c>
      <c r="D4">
        <v>7070345</v>
      </c>
      <c r="E4">
        <v>2016</v>
      </c>
      <c r="F4" t="s">
        <v>466</v>
      </c>
      <c r="G4" t="str">
        <f>IF(COUNTIF([2]Sheet1!$K$2:$K$229,D4)&gt;0,"","NO")</f>
        <v/>
      </c>
      <c r="H4" t="str">
        <f>IF(COUNTIF([1]Index!$H$2:$H$187,D4)&gt;0,"","NO")</f>
        <v/>
      </c>
      <c r="I4" t="str">
        <f>IF(COUNTIF(CcliTop100Usa!$D$2:$D$101,D4)&gt;0,"","NO")</f>
        <v/>
      </c>
      <c r="J4" t="str">
        <f>IF(COUNTIF(CcliTop100Uk!$D$2:$D$101,D4)&gt;0,"","NO")</f>
        <v/>
      </c>
    </row>
    <row r="5" spans="1:10" x14ac:dyDescent="0.25">
      <c r="A5">
        <v>4</v>
      </c>
      <c r="B5" t="s">
        <v>6</v>
      </c>
      <c r="C5" t="s">
        <v>183</v>
      </c>
      <c r="D5">
        <v>7068424</v>
      </c>
      <c r="E5">
        <v>2016</v>
      </c>
      <c r="F5" t="s">
        <v>466</v>
      </c>
      <c r="G5" t="str">
        <f>IF(COUNTIF([2]Sheet1!$K$2:$K$229,D5)&gt;0,"","NO")</f>
        <v/>
      </c>
      <c r="H5" t="str">
        <f>IF(COUNTIF([1]Index!$H$2:$H$187,D5)&gt;0,"","NO")</f>
        <v/>
      </c>
      <c r="I5" t="str">
        <f>IF(COUNTIF(CcliTop100Usa!$D$2:$D$101,D5)&gt;0,"","NO")</f>
        <v/>
      </c>
      <c r="J5" t="str">
        <f>IF(COUNTIF(CcliTop100Uk!$D$2:$D$101,D5)&gt;0,"","NO")</f>
        <v/>
      </c>
    </row>
    <row r="6" spans="1:10" x14ac:dyDescent="0.25">
      <c r="A6">
        <v>5</v>
      </c>
      <c r="B6" t="s">
        <v>8</v>
      </c>
      <c r="C6" t="s">
        <v>184</v>
      </c>
      <c r="D6">
        <v>6016351</v>
      </c>
      <c r="E6">
        <v>2011</v>
      </c>
      <c r="F6" t="s">
        <v>466</v>
      </c>
      <c r="G6" t="str">
        <f>IF(COUNTIF([2]Sheet1!$K$2:$K$229,D6)&gt;0,"","NO")</f>
        <v/>
      </c>
      <c r="H6" t="str">
        <f>IF(COUNTIF([1]Index!$H$2:$H$187,D6)&gt;0,"","NO")</f>
        <v/>
      </c>
      <c r="I6" t="str">
        <f>IF(COUNTIF(CcliTop100Usa!$D$2:$D$101,D6)&gt;0,"","NO")</f>
        <v/>
      </c>
      <c r="J6" t="str">
        <f>IF(COUNTIF(CcliTop100Uk!$D$2:$D$101,D6)&gt;0,"","NO")</f>
        <v/>
      </c>
    </row>
    <row r="7" spans="1:10" x14ac:dyDescent="0.25">
      <c r="A7">
        <v>6</v>
      </c>
      <c r="B7" t="s">
        <v>10</v>
      </c>
      <c r="C7" t="s">
        <v>185</v>
      </c>
      <c r="D7">
        <v>7102401</v>
      </c>
      <c r="E7">
        <v>2017</v>
      </c>
      <c r="F7" t="s">
        <v>466</v>
      </c>
      <c r="G7" t="str">
        <f>IF(COUNTIF([2]Sheet1!$K$2:$K$229,D7)&gt;0,"","NO")</f>
        <v/>
      </c>
      <c r="H7" t="str">
        <f>IF(COUNTIF([1]Index!$H$2:$H$187,D7)&gt;0,"","NO")</f>
        <v/>
      </c>
      <c r="I7" t="str">
        <f>IF(COUNTIF(CcliTop100Usa!$D$2:$D$101,D7)&gt;0,"","NO")</f>
        <v/>
      </c>
      <c r="J7" t="str">
        <f>IF(COUNTIF(CcliTop100Uk!$D$2:$D$101,D7)&gt;0,"","NO")</f>
        <v/>
      </c>
    </row>
    <row r="8" spans="1:10" x14ac:dyDescent="0.25">
      <c r="A8">
        <v>7</v>
      </c>
      <c r="B8" t="s">
        <v>12</v>
      </c>
      <c r="C8" t="s">
        <v>186</v>
      </c>
      <c r="D8">
        <v>6460220</v>
      </c>
      <c r="E8">
        <v>2012</v>
      </c>
      <c r="F8" t="s">
        <v>466</v>
      </c>
      <c r="G8" t="str">
        <f>IF(COUNTIF([2]Sheet1!$K$2:$K$229,D8)&gt;0,"","NO")</f>
        <v/>
      </c>
      <c r="H8" t="str">
        <f>IF(COUNTIF([1]Index!$H$2:$H$187,D8)&gt;0,"","NO")</f>
        <v/>
      </c>
      <c r="I8" t="str">
        <f>IF(COUNTIF(CcliTop100Usa!$D$2:$D$101,D8)&gt;0,"","NO")</f>
        <v/>
      </c>
      <c r="J8" t="str">
        <f>IF(COUNTIF(CcliTop100Uk!$D$2:$D$101,D8)&gt;0,"","NO")</f>
        <v/>
      </c>
    </row>
    <row r="9" spans="1:10" x14ac:dyDescent="0.25">
      <c r="A9">
        <v>8</v>
      </c>
      <c r="B9" t="s">
        <v>14</v>
      </c>
      <c r="C9" t="s">
        <v>187</v>
      </c>
      <c r="D9">
        <v>6333821</v>
      </c>
      <c r="E9">
        <v>2012</v>
      </c>
      <c r="F9" t="s">
        <v>466</v>
      </c>
      <c r="G9" t="str">
        <f>IF(COUNTIF([2]Sheet1!$K$2:$K$229,D9)&gt;0,"","NO")</f>
        <v/>
      </c>
      <c r="H9" t="str">
        <f>IF(COUNTIF([1]Index!$H$2:$H$187,D9)&gt;0,"","NO")</f>
        <v/>
      </c>
      <c r="I9" t="str">
        <f>IF(COUNTIF(CcliTop100Usa!$D$2:$D$101,D9)&gt;0,"","NO")</f>
        <v/>
      </c>
      <c r="J9" t="str">
        <f>IF(COUNTIF(CcliTop100Uk!$D$2:$D$101,D9)&gt;0,"","NO")</f>
        <v/>
      </c>
    </row>
    <row r="10" spans="1:10" x14ac:dyDescent="0.25">
      <c r="A10">
        <v>9</v>
      </c>
      <c r="B10" t="s">
        <v>16</v>
      </c>
      <c r="C10" t="s">
        <v>188</v>
      </c>
      <c r="D10">
        <v>5925687</v>
      </c>
      <c r="E10">
        <v>2011</v>
      </c>
      <c r="F10" t="s">
        <v>466</v>
      </c>
      <c r="G10" t="str">
        <f>IF(COUNTIF([2]Sheet1!$K$2:$K$229,D10)&gt;0,"","NO")</f>
        <v/>
      </c>
      <c r="H10" t="str">
        <f>IF(COUNTIF([1]Index!$H$2:$H$187,D10)&gt;0,"","NO")</f>
        <v/>
      </c>
      <c r="I10" t="str">
        <f>IF(COUNTIF(CcliTop100Usa!$D$2:$D$101,D10)&gt;0,"","NO")</f>
        <v/>
      </c>
      <c r="J10" t="str">
        <f>IF(COUNTIF(CcliTop100Uk!$D$2:$D$101,D10)&gt;0,"","NO")</f>
        <v>NO</v>
      </c>
    </row>
    <row r="11" spans="1:10" x14ac:dyDescent="0.25">
      <c r="A11">
        <v>10</v>
      </c>
      <c r="B11" t="s">
        <v>18</v>
      </c>
      <c r="C11" t="s">
        <v>189</v>
      </c>
      <c r="D11">
        <v>7117726</v>
      </c>
      <c r="E11">
        <v>2018</v>
      </c>
      <c r="F11" t="s">
        <v>466</v>
      </c>
      <c r="G11" t="str">
        <f>IF(COUNTIF([2]Sheet1!$K$2:$K$229,D11)&gt;0,"","NO")</f>
        <v/>
      </c>
      <c r="H11" t="str">
        <f>IF(COUNTIF([1]Index!$H$2:$H$187,D11)&gt;0,"","NO")</f>
        <v>NO</v>
      </c>
      <c r="I11" t="str">
        <f>IF(COUNTIF(CcliTop100Usa!$D$2:$D$101,D11)&gt;0,"","NO")</f>
        <v/>
      </c>
      <c r="J11" t="str">
        <f>IF(COUNTIF(CcliTop100Uk!$D$2:$D$101,D11)&gt;0,"","NO")</f>
        <v/>
      </c>
    </row>
    <row r="12" spans="1:10" x14ac:dyDescent="0.25">
      <c r="A12">
        <v>11</v>
      </c>
      <c r="B12" t="s">
        <v>20</v>
      </c>
      <c r="C12" t="s">
        <v>190</v>
      </c>
      <c r="D12">
        <v>6158927</v>
      </c>
      <c r="E12">
        <v>2011</v>
      </c>
      <c r="F12" t="s">
        <v>466</v>
      </c>
      <c r="G12" t="str">
        <f>IF(COUNTIF([2]Sheet1!$K$2:$K$229,D12)&gt;0,"","NO")</f>
        <v/>
      </c>
      <c r="H12" t="str">
        <f>IF(COUNTIF([1]Index!$H$2:$H$187,D12)&gt;0,"","NO")</f>
        <v/>
      </c>
      <c r="I12" t="str">
        <f>IF(COUNTIF(CcliTop100Usa!$D$2:$D$101,D12)&gt;0,"","NO")</f>
        <v/>
      </c>
      <c r="J12" t="str">
        <f>IF(COUNTIF(CcliTop100Uk!$D$2:$D$101,D12)&gt;0,"","NO")</f>
        <v/>
      </c>
    </row>
    <row r="13" spans="1:10" x14ac:dyDescent="0.25">
      <c r="A13">
        <v>12</v>
      </c>
      <c r="B13" t="s">
        <v>22</v>
      </c>
      <c r="C13" t="s">
        <v>191</v>
      </c>
      <c r="D13">
        <v>7036612</v>
      </c>
      <c r="E13">
        <v>2014</v>
      </c>
      <c r="F13" t="s">
        <v>466</v>
      </c>
      <c r="G13" t="str">
        <f>IF(COUNTIF([2]Sheet1!$K$2:$K$229,D13)&gt;0,"","NO")</f>
        <v/>
      </c>
      <c r="H13" t="str">
        <f>IF(COUNTIF([1]Index!$H$2:$H$187,D13)&gt;0,"","NO")</f>
        <v/>
      </c>
      <c r="I13" t="str">
        <f>IF(COUNTIF(CcliTop100Usa!$D$2:$D$101,D13)&gt;0,"","NO")</f>
        <v/>
      </c>
      <c r="J13" t="str">
        <f>IF(COUNTIF(CcliTop100Uk!$D$2:$D$101,D13)&gt;0,"","NO")</f>
        <v/>
      </c>
    </row>
    <row r="14" spans="1:10" x14ac:dyDescent="0.25">
      <c r="A14">
        <v>13</v>
      </c>
      <c r="B14" t="s">
        <v>24</v>
      </c>
      <c r="C14" t="s">
        <v>192</v>
      </c>
      <c r="D14">
        <v>3350395</v>
      </c>
      <c r="E14">
        <v>2001</v>
      </c>
      <c r="F14" t="s">
        <v>466</v>
      </c>
      <c r="G14" t="str">
        <f>IF(COUNTIF([2]Sheet1!$K$2:$K$229,D14)&gt;0,"","NO")</f>
        <v/>
      </c>
      <c r="H14" t="str">
        <f>IF(COUNTIF([1]Index!$H$2:$H$187,D14)&gt;0,"","NO")</f>
        <v/>
      </c>
      <c r="I14" t="str">
        <f>IF(COUNTIF(CcliTop100Usa!$D$2:$D$101,D14)&gt;0,"","NO")</f>
        <v/>
      </c>
      <c r="J14" t="str">
        <f>IF(COUNTIF(CcliTop100Uk!$D$2:$D$101,D14)&gt;0,"","NO")</f>
        <v/>
      </c>
    </row>
    <row r="15" spans="1:10" x14ac:dyDescent="0.25">
      <c r="A15">
        <v>14</v>
      </c>
      <c r="B15" t="s">
        <v>26</v>
      </c>
      <c r="C15" t="s">
        <v>193</v>
      </c>
      <c r="D15">
        <v>7127647</v>
      </c>
      <c r="E15">
        <v>2019</v>
      </c>
      <c r="F15" t="s">
        <v>466</v>
      </c>
      <c r="G15" t="str">
        <f>IF(COUNTIF([2]Sheet1!$K$2:$K$229,D15)&gt;0,"","NO")</f>
        <v/>
      </c>
      <c r="H15" t="str">
        <f>IF(COUNTIF([1]Index!$H$2:$H$187,D15)&gt;0,"","NO")</f>
        <v/>
      </c>
      <c r="I15" t="str">
        <f>IF(COUNTIF(CcliTop100Usa!$D$2:$D$101,D15)&gt;0,"","NO")</f>
        <v/>
      </c>
      <c r="J15" t="str">
        <f>IF(COUNTIF(CcliTop100Uk!$D$2:$D$101,D15)&gt;0,"","NO")</f>
        <v/>
      </c>
    </row>
    <row r="16" spans="1:10" x14ac:dyDescent="0.25">
      <c r="A16">
        <v>15</v>
      </c>
      <c r="B16" t="s">
        <v>28</v>
      </c>
      <c r="C16" t="s">
        <v>194</v>
      </c>
      <c r="D16">
        <v>4348399</v>
      </c>
      <c r="E16">
        <v>2004</v>
      </c>
      <c r="F16" t="s">
        <v>466</v>
      </c>
      <c r="G16" t="str">
        <f>IF(COUNTIF([2]Sheet1!$K$2:$K$229,D16)&gt;0,"","NO")</f>
        <v/>
      </c>
      <c r="H16" t="str">
        <f>IF(COUNTIF([1]Index!$H$2:$H$187,D16)&gt;0,"","NO")</f>
        <v/>
      </c>
      <c r="I16" t="str">
        <f>IF(COUNTIF(CcliTop100Usa!$D$2:$D$101,D16)&gt;0,"","NO")</f>
        <v/>
      </c>
      <c r="J16" t="str">
        <f>IF(COUNTIF(CcliTop100Uk!$D$2:$D$101,D16)&gt;0,"","NO")</f>
        <v/>
      </c>
    </row>
    <row r="17" spans="1:10" x14ac:dyDescent="0.25">
      <c r="A17">
        <v>16</v>
      </c>
      <c r="B17" t="s">
        <v>30</v>
      </c>
      <c r="C17" t="s">
        <v>195</v>
      </c>
      <c r="D17">
        <v>7119315</v>
      </c>
      <c r="E17">
        <v>2018</v>
      </c>
      <c r="F17" t="s">
        <v>466</v>
      </c>
      <c r="G17" t="str">
        <f>IF(COUNTIF([2]Sheet1!$K$2:$K$229,D17)&gt;0,"","NO")</f>
        <v>NO</v>
      </c>
      <c r="H17" t="str">
        <f>IF(COUNTIF([1]Index!$H$2:$H$187,D17)&gt;0,"","NO")</f>
        <v>NO</v>
      </c>
      <c r="I17" t="str">
        <f>IF(COUNTIF(CcliTop100Usa!$D$2:$D$101,D17)&gt;0,"","NO")</f>
        <v/>
      </c>
      <c r="J17" t="str">
        <f>IF(COUNTIF(CcliTop100Uk!$D$2:$D$101,D17)&gt;0,"","NO")</f>
        <v/>
      </c>
    </row>
    <row r="18" spans="1:10" x14ac:dyDescent="0.25">
      <c r="A18">
        <v>17</v>
      </c>
      <c r="B18" t="s">
        <v>32</v>
      </c>
      <c r="C18" t="s">
        <v>196</v>
      </c>
      <c r="D18">
        <v>4662491</v>
      </c>
      <c r="E18">
        <v>2006</v>
      </c>
      <c r="F18" t="s">
        <v>466</v>
      </c>
      <c r="G18" t="str">
        <f>IF(COUNTIF([2]Sheet1!$K$2:$K$229,D18)&gt;0,"","NO")</f>
        <v/>
      </c>
      <c r="H18" t="str">
        <f>IF(COUNTIF([1]Index!$H$2:$H$187,D18)&gt;0,"","NO")</f>
        <v/>
      </c>
      <c r="I18" t="str">
        <f>IF(COUNTIF(CcliTop100Usa!$D$2:$D$101,D18)&gt;0,"","NO")</f>
        <v/>
      </c>
      <c r="J18" t="str">
        <f>IF(COUNTIF(CcliTop100Uk!$D$2:$D$101,D18)&gt;0,"","NO")</f>
        <v/>
      </c>
    </row>
    <row r="19" spans="1:10" x14ac:dyDescent="0.25">
      <c r="A19">
        <v>18</v>
      </c>
      <c r="B19" t="s">
        <v>34</v>
      </c>
      <c r="C19" t="s">
        <v>197</v>
      </c>
      <c r="D19">
        <v>7037787</v>
      </c>
      <c r="E19">
        <v>2015</v>
      </c>
      <c r="F19" t="s">
        <v>466</v>
      </c>
      <c r="G19" t="str">
        <f>IF(COUNTIF([2]Sheet1!$K$2:$K$229,D19)&gt;0,"","NO")</f>
        <v/>
      </c>
      <c r="H19" t="str">
        <f>IF(COUNTIF([1]Index!$H$2:$H$187,D19)&gt;0,"","NO")</f>
        <v/>
      </c>
      <c r="I19" t="str">
        <f>IF(COUNTIF(CcliTop100Usa!$D$2:$D$101,D19)&gt;0,"","NO")</f>
        <v/>
      </c>
      <c r="J19" t="str">
        <f>IF(COUNTIF(CcliTop100Uk!$D$2:$D$101,D19)&gt;0,"","NO")</f>
        <v/>
      </c>
    </row>
    <row r="20" spans="1:10" x14ac:dyDescent="0.25">
      <c r="A20">
        <v>19</v>
      </c>
      <c r="B20" t="s">
        <v>36</v>
      </c>
      <c r="C20" t="s">
        <v>198</v>
      </c>
      <c r="D20">
        <v>3798438</v>
      </c>
      <c r="E20">
        <v>2002</v>
      </c>
      <c r="F20" t="s">
        <v>466</v>
      </c>
      <c r="G20" t="str">
        <f>IF(COUNTIF([2]Sheet1!$K$2:$K$229,D20)&gt;0,"","NO")</f>
        <v/>
      </c>
      <c r="H20" t="str">
        <f>IF(COUNTIF([1]Index!$H$2:$H$187,D20)&gt;0,"","NO")</f>
        <v/>
      </c>
      <c r="I20" t="str">
        <f>IF(COUNTIF(CcliTop100Usa!$D$2:$D$101,D20)&gt;0,"","NO")</f>
        <v/>
      </c>
      <c r="J20" t="str">
        <f>IF(COUNTIF(CcliTop100Uk!$D$2:$D$101,D20)&gt;0,"","NO")</f>
        <v/>
      </c>
    </row>
    <row r="21" spans="1:10" x14ac:dyDescent="0.25">
      <c r="A21">
        <v>20</v>
      </c>
      <c r="B21" t="s">
        <v>38</v>
      </c>
      <c r="C21" t="s">
        <v>199</v>
      </c>
      <c r="D21">
        <v>7147007</v>
      </c>
      <c r="E21">
        <v>2020</v>
      </c>
      <c r="F21" t="s">
        <v>466</v>
      </c>
      <c r="G21" t="str">
        <f>IF(COUNTIF([2]Sheet1!$K$2:$K$229,D21)&gt;0,"","NO")</f>
        <v/>
      </c>
      <c r="H21" t="str">
        <f>IF(COUNTIF([1]Index!$H$2:$H$187,D21)&gt;0,"","NO")</f>
        <v>NO</v>
      </c>
      <c r="I21" t="str">
        <f>IF(COUNTIF(CcliTop100Usa!$D$2:$D$101,D21)&gt;0,"","NO")</f>
        <v/>
      </c>
      <c r="J21" t="str">
        <f>IF(COUNTIF(CcliTop100Uk!$D$2:$D$101,D21)&gt;0,"","NO")</f>
        <v/>
      </c>
    </row>
    <row r="22" spans="1:10" x14ac:dyDescent="0.25">
      <c r="A22">
        <v>21</v>
      </c>
      <c r="B22" t="s">
        <v>40</v>
      </c>
      <c r="C22" t="s">
        <v>200</v>
      </c>
      <c r="D22">
        <v>1558110</v>
      </c>
      <c r="E22">
        <v>1995</v>
      </c>
      <c r="F22" t="s">
        <v>466</v>
      </c>
      <c r="G22" t="str">
        <f>IF(COUNTIF([2]Sheet1!$K$2:$K$229,D22)&gt;0,"","NO")</f>
        <v/>
      </c>
      <c r="H22" t="str">
        <f>IF(COUNTIF([1]Index!$H$2:$H$187,D22)&gt;0,"","NO")</f>
        <v/>
      </c>
      <c r="I22" t="str">
        <f>IF(COUNTIF(CcliTop100Usa!$D$2:$D$101,D22)&gt;0,"","NO")</f>
        <v/>
      </c>
      <c r="J22" t="str">
        <f>IF(COUNTIF(CcliTop100Uk!$D$2:$D$101,D22)&gt;0,"","NO")</f>
        <v/>
      </c>
    </row>
    <row r="23" spans="1:10" x14ac:dyDescent="0.25">
      <c r="A23">
        <v>22</v>
      </c>
      <c r="B23" t="s">
        <v>42</v>
      </c>
      <c r="C23" t="s">
        <v>201</v>
      </c>
      <c r="D23">
        <v>7030123</v>
      </c>
      <c r="E23">
        <v>2014</v>
      </c>
      <c r="F23" t="s">
        <v>466</v>
      </c>
      <c r="G23" t="str">
        <f>IF(COUNTIF([2]Sheet1!$K$2:$K$229,D23)&gt;0,"","NO")</f>
        <v/>
      </c>
      <c r="H23" t="str">
        <f>IF(COUNTIF([1]Index!$H$2:$H$187,D23)&gt;0,"","NO")</f>
        <v/>
      </c>
      <c r="I23" t="str">
        <f>IF(COUNTIF(CcliTop100Usa!$D$2:$D$101,D23)&gt;0,"","NO")</f>
        <v/>
      </c>
      <c r="J23" t="str">
        <f>IF(COUNTIF(CcliTop100Uk!$D$2:$D$101,D23)&gt;0,"","NO")</f>
        <v/>
      </c>
    </row>
    <row r="24" spans="1:10" x14ac:dyDescent="0.25">
      <c r="A24">
        <v>23</v>
      </c>
      <c r="B24" t="s">
        <v>44</v>
      </c>
      <c r="C24" t="s">
        <v>202</v>
      </c>
      <c r="D24">
        <v>7081388</v>
      </c>
      <c r="E24">
        <v>2017</v>
      </c>
      <c r="F24" t="s">
        <v>466</v>
      </c>
      <c r="G24" t="str">
        <f>IF(COUNTIF([2]Sheet1!$K$2:$K$229,D24)&gt;0,"","NO")</f>
        <v/>
      </c>
      <c r="H24" t="str">
        <f>IF(COUNTIF([1]Index!$H$2:$H$187,D24)&gt;0,"","NO")</f>
        <v/>
      </c>
      <c r="I24" t="str">
        <f>IF(COUNTIF(CcliTop100Usa!$D$2:$D$101,D24)&gt;0,"","NO")</f>
        <v/>
      </c>
      <c r="J24" t="str">
        <f>IF(COUNTIF(CcliTop100Uk!$D$2:$D$101,D24)&gt;0,"","NO")</f>
        <v>NO</v>
      </c>
    </row>
    <row r="25" spans="1:10" x14ac:dyDescent="0.25">
      <c r="A25">
        <v>24</v>
      </c>
      <c r="B25" t="s">
        <v>46</v>
      </c>
      <c r="C25" t="s">
        <v>203</v>
      </c>
      <c r="D25">
        <v>4768151</v>
      </c>
      <c r="E25">
        <v>2006</v>
      </c>
      <c r="F25" t="s">
        <v>466</v>
      </c>
      <c r="G25" t="str">
        <f>IF(COUNTIF([2]Sheet1!$K$2:$K$229,D25)&gt;0,"","NO")</f>
        <v/>
      </c>
      <c r="H25" t="str">
        <f>IF(COUNTIF([1]Index!$H$2:$H$187,D25)&gt;0,"","NO")</f>
        <v/>
      </c>
      <c r="I25" t="str">
        <f>IF(COUNTIF(CcliTop100Usa!$D$2:$D$101,D25)&gt;0,"","NO")</f>
        <v/>
      </c>
      <c r="J25" t="str">
        <f>IF(COUNTIF(CcliTop100Uk!$D$2:$D$101,D25)&gt;0,"","NO")</f>
        <v/>
      </c>
    </row>
    <row r="26" spans="1:10" x14ac:dyDescent="0.25">
      <c r="A26">
        <v>25</v>
      </c>
      <c r="B26" t="s">
        <v>48</v>
      </c>
      <c r="C26" t="s">
        <v>204</v>
      </c>
      <c r="D26">
        <v>6087919</v>
      </c>
      <c r="E26">
        <v>2011</v>
      </c>
      <c r="F26" t="s">
        <v>466</v>
      </c>
      <c r="G26" t="str">
        <f>IF(COUNTIF([2]Sheet1!$K$2:$K$229,D26)&gt;0,"","NO")</f>
        <v/>
      </c>
      <c r="H26" t="str">
        <f>IF(COUNTIF([1]Index!$H$2:$H$187,D26)&gt;0,"","NO")</f>
        <v>NO</v>
      </c>
      <c r="I26" t="str">
        <f>IF(COUNTIF(CcliTop100Usa!$D$2:$D$101,D26)&gt;0,"","NO")</f>
        <v/>
      </c>
      <c r="J26" t="str">
        <f>IF(COUNTIF(CcliTop100Uk!$D$2:$D$101,D26)&gt;0,"","NO")</f>
        <v/>
      </c>
    </row>
    <row r="27" spans="1:10" x14ac:dyDescent="0.25">
      <c r="A27">
        <v>26</v>
      </c>
      <c r="B27" t="s">
        <v>50</v>
      </c>
      <c r="C27" t="s">
        <v>205</v>
      </c>
      <c r="D27">
        <v>7038281</v>
      </c>
      <c r="E27">
        <v>2015</v>
      </c>
      <c r="F27" t="s">
        <v>466</v>
      </c>
      <c r="G27" t="str">
        <f>IF(COUNTIF([2]Sheet1!$K$2:$K$229,D27)&gt;0,"","NO")</f>
        <v/>
      </c>
      <c r="H27" t="str">
        <f>IF(COUNTIF([1]Index!$H$2:$H$187,D27)&gt;0,"","NO")</f>
        <v/>
      </c>
      <c r="I27" t="str">
        <f>IF(COUNTIF(CcliTop100Usa!$D$2:$D$101,D27)&gt;0,"","NO")</f>
        <v/>
      </c>
      <c r="J27" t="str">
        <f>IF(COUNTIF(CcliTop100Uk!$D$2:$D$101,D27)&gt;0,"","NO")</f>
        <v/>
      </c>
    </row>
    <row r="28" spans="1:10" x14ac:dyDescent="0.25">
      <c r="A28">
        <v>27</v>
      </c>
      <c r="B28" t="s">
        <v>52</v>
      </c>
      <c r="C28" t="s">
        <v>185</v>
      </c>
      <c r="D28">
        <v>4591782</v>
      </c>
      <c r="E28">
        <v>2006</v>
      </c>
      <c r="F28" t="s">
        <v>466</v>
      </c>
      <c r="G28" t="str">
        <f>IF(COUNTIF([2]Sheet1!$K$2:$K$229,D28)&gt;0,"","NO")</f>
        <v/>
      </c>
      <c r="H28" t="str">
        <f>IF(COUNTIF([1]Index!$H$2:$H$187,D28)&gt;0,"","NO")</f>
        <v/>
      </c>
      <c r="I28" t="str">
        <f>IF(COUNTIF(CcliTop100Usa!$D$2:$D$101,D28)&gt;0,"","NO")</f>
        <v/>
      </c>
      <c r="J28" t="str">
        <f>IF(COUNTIF(CcliTop100Uk!$D$2:$D$101,D28)&gt;0,"","NO")</f>
        <v/>
      </c>
    </row>
    <row r="29" spans="1:10" x14ac:dyDescent="0.25">
      <c r="A29">
        <v>28</v>
      </c>
      <c r="B29" t="s">
        <v>53</v>
      </c>
      <c r="C29" t="s">
        <v>206</v>
      </c>
      <c r="D29">
        <v>7111321</v>
      </c>
      <c r="E29">
        <v>2018</v>
      </c>
      <c r="F29" t="s">
        <v>466</v>
      </c>
      <c r="G29" t="str">
        <f>IF(COUNTIF([2]Sheet1!$K$2:$K$229,D29)&gt;0,"","NO")</f>
        <v>NO</v>
      </c>
      <c r="H29" t="str">
        <f>IF(COUNTIF([1]Index!$H$2:$H$187,D29)&gt;0,"","NO")</f>
        <v>NO</v>
      </c>
      <c r="I29" t="str">
        <f>IF(COUNTIF(CcliTop100Usa!$D$2:$D$101,D29)&gt;0,"","NO")</f>
        <v/>
      </c>
      <c r="J29" t="str">
        <f>IF(COUNTIF(CcliTop100Uk!$D$2:$D$101,D29)&gt;0,"","NO")</f>
        <v/>
      </c>
    </row>
    <row r="30" spans="1:10" x14ac:dyDescent="0.25">
      <c r="A30">
        <v>29</v>
      </c>
      <c r="B30" t="s">
        <v>55</v>
      </c>
      <c r="C30" t="s">
        <v>207</v>
      </c>
      <c r="D30">
        <v>7046145</v>
      </c>
      <c r="E30">
        <v>2015</v>
      </c>
      <c r="F30" t="s">
        <v>466</v>
      </c>
      <c r="G30" t="str">
        <f>IF(COUNTIF([2]Sheet1!$K$2:$K$229,D30)&gt;0,"","NO")</f>
        <v/>
      </c>
      <c r="H30" t="str">
        <f>IF(COUNTIF([1]Index!$H$2:$H$187,D30)&gt;0,"","NO")</f>
        <v/>
      </c>
      <c r="I30" t="str">
        <f>IF(COUNTIF(CcliTop100Usa!$D$2:$D$101,D30)&gt;0,"","NO")</f>
        <v/>
      </c>
      <c r="J30" t="str">
        <f>IF(COUNTIF(CcliTop100Uk!$D$2:$D$101,D30)&gt;0,"","NO")</f>
        <v/>
      </c>
    </row>
    <row r="31" spans="1:10" x14ac:dyDescent="0.25">
      <c r="A31">
        <v>30</v>
      </c>
      <c r="B31" t="s">
        <v>57</v>
      </c>
      <c r="C31" t="s">
        <v>208</v>
      </c>
      <c r="D31">
        <v>7121852</v>
      </c>
      <c r="E31">
        <v>2018</v>
      </c>
      <c r="F31" t="s">
        <v>466</v>
      </c>
      <c r="G31" t="str">
        <f>IF(COUNTIF([2]Sheet1!$K$2:$K$229,D31)&gt;0,"","NO")</f>
        <v/>
      </c>
      <c r="H31" t="str">
        <f>IF(COUNTIF([1]Index!$H$2:$H$187,D31)&gt;0,"","NO")</f>
        <v/>
      </c>
      <c r="I31" t="str">
        <f>IF(COUNTIF(CcliTop100Usa!$D$2:$D$101,D31)&gt;0,"","NO")</f>
        <v/>
      </c>
      <c r="J31" t="str">
        <f>IF(COUNTIF(CcliTop100Uk!$D$2:$D$101,D31)&gt;0,"","NO")</f>
        <v/>
      </c>
    </row>
    <row r="32" spans="1:10" x14ac:dyDescent="0.25">
      <c r="A32">
        <v>31</v>
      </c>
      <c r="B32" t="s">
        <v>59</v>
      </c>
      <c r="C32" t="s">
        <v>209</v>
      </c>
      <c r="D32">
        <v>7051511</v>
      </c>
      <c r="E32">
        <v>2015</v>
      </c>
      <c r="F32" t="s">
        <v>466</v>
      </c>
      <c r="G32" t="str">
        <f>IF(COUNTIF([2]Sheet1!$K$2:$K$229,D32)&gt;0,"","NO")</f>
        <v/>
      </c>
      <c r="H32" t="str">
        <f>IF(COUNTIF([1]Index!$H$2:$H$187,D32)&gt;0,"","NO")</f>
        <v/>
      </c>
      <c r="I32" t="str">
        <f>IF(COUNTIF(CcliTop100Usa!$D$2:$D$101,D32)&gt;0,"","NO")</f>
        <v/>
      </c>
      <c r="J32" t="str">
        <f>IF(COUNTIF(CcliTop100Uk!$D$2:$D$101,D32)&gt;0,"","NO")</f>
        <v/>
      </c>
    </row>
    <row r="33" spans="1:10" x14ac:dyDescent="0.25">
      <c r="A33">
        <v>32</v>
      </c>
      <c r="B33" t="s">
        <v>61</v>
      </c>
      <c r="C33" t="s">
        <v>210</v>
      </c>
      <c r="D33">
        <v>3266032</v>
      </c>
      <c r="E33">
        <v>2000</v>
      </c>
      <c r="F33" t="s">
        <v>466</v>
      </c>
      <c r="G33" t="str">
        <f>IF(COUNTIF([2]Sheet1!$K$2:$K$229,D33)&gt;0,"","NO")</f>
        <v/>
      </c>
      <c r="H33" t="str">
        <f>IF(COUNTIF([1]Index!$H$2:$H$187,D33)&gt;0,"","NO")</f>
        <v/>
      </c>
      <c r="I33" t="str">
        <f>IF(COUNTIF(CcliTop100Usa!$D$2:$D$101,D33)&gt;0,"","NO")</f>
        <v/>
      </c>
      <c r="J33" t="str">
        <f>IF(COUNTIF(CcliTop100Uk!$D$2:$D$101,D33)&gt;0,"","NO")</f>
        <v/>
      </c>
    </row>
    <row r="34" spans="1:10" x14ac:dyDescent="0.25">
      <c r="A34">
        <v>33</v>
      </c>
      <c r="B34" t="s">
        <v>63</v>
      </c>
      <c r="C34" t="s">
        <v>211</v>
      </c>
      <c r="D34">
        <v>4447960</v>
      </c>
      <c r="E34">
        <v>2004</v>
      </c>
      <c r="F34" t="s">
        <v>466</v>
      </c>
      <c r="G34" t="str">
        <f>IF(COUNTIF([2]Sheet1!$K$2:$K$229,D34)&gt;0,"","NO")</f>
        <v/>
      </c>
      <c r="H34" t="str">
        <f>IF(COUNTIF([1]Index!$H$2:$H$187,D34)&gt;0,"","NO")</f>
        <v/>
      </c>
      <c r="I34" t="str">
        <f>IF(COUNTIF(CcliTop100Usa!$D$2:$D$101,D34)&gt;0,"","NO")</f>
        <v/>
      </c>
      <c r="J34" t="str">
        <f>IF(COUNTIF(CcliTop100Uk!$D$2:$D$101,D34)&gt;0,"","NO")</f>
        <v>NO</v>
      </c>
    </row>
    <row r="35" spans="1:10" x14ac:dyDescent="0.25">
      <c r="A35">
        <v>34</v>
      </c>
      <c r="B35" t="s">
        <v>65</v>
      </c>
      <c r="C35" t="s">
        <v>212</v>
      </c>
      <c r="D35">
        <v>7105442</v>
      </c>
      <c r="E35">
        <v>2018</v>
      </c>
      <c r="F35" t="s">
        <v>466</v>
      </c>
      <c r="G35" t="str">
        <f>IF(COUNTIF([2]Sheet1!$K$2:$K$229,D35)&gt;0,"","NO")</f>
        <v/>
      </c>
      <c r="H35" t="str">
        <f>IF(COUNTIF([1]Index!$H$2:$H$187,D35)&gt;0,"","NO")</f>
        <v>NO</v>
      </c>
      <c r="I35" t="str">
        <f>IF(COUNTIF(CcliTop100Usa!$D$2:$D$101,D35)&gt;0,"","NO")</f>
        <v/>
      </c>
      <c r="J35" t="str">
        <f>IF(COUNTIF(CcliTop100Uk!$D$2:$D$101,D35)&gt;0,"","NO")</f>
        <v>NO</v>
      </c>
    </row>
    <row r="36" spans="1:10" x14ac:dyDescent="0.25">
      <c r="A36">
        <v>35</v>
      </c>
      <c r="B36" t="s">
        <v>67</v>
      </c>
      <c r="C36" t="s">
        <v>213</v>
      </c>
      <c r="D36">
        <v>7089641</v>
      </c>
      <c r="E36">
        <v>2017</v>
      </c>
      <c r="F36" t="s">
        <v>466</v>
      </c>
      <c r="G36" t="str">
        <f>IF(COUNTIF([2]Sheet1!$K$2:$K$229,D36)&gt;0,"","NO")</f>
        <v/>
      </c>
      <c r="H36" t="str">
        <f>IF(COUNTIF([1]Index!$H$2:$H$187,D36)&gt;0,"","NO")</f>
        <v/>
      </c>
      <c r="I36" t="str">
        <f>IF(COUNTIF(CcliTop100Usa!$D$2:$D$101,D36)&gt;0,"","NO")</f>
        <v/>
      </c>
      <c r="J36" t="str">
        <f>IF(COUNTIF(CcliTop100Uk!$D$2:$D$101,D36)&gt;0,"","NO")</f>
        <v/>
      </c>
    </row>
    <row r="37" spans="1:10" x14ac:dyDescent="0.25">
      <c r="A37">
        <v>36</v>
      </c>
      <c r="B37" t="s">
        <v>69</v>
      </c>
      <c r="C37" t="s">
        <v>214</v>
      </c>
      <c r="D37">
        <v>14181</v>
      </c>
      <c r="E37">
        <v>1953</v>
      </c>
      <c r="F37" t="s">
        <v>466</v>
      </c>
      <c r="G37" t="str">
        <f>IF(COUNTIF([2]Sheet1!$K$2:$K$229,D37)&gt;0,"","NO")</f>
        <v>NO</v>
      </c>
      <c r="H37" t="str">
        <f>IF(COUNTIF([1]Index!$H$2:$H$187,D37)&gt;0,"","NO")</f>
        <v/>
      </c>
      <c r="I37" t="str">
        <f>IF(COUNTIF(CcliTop100Usa!$D$2:$D$101,D37)&gt;0,"","NO")</f>
        <v/>
      </c>
      <c r="J37" t="str">
        <f>IF(COUNTIF(CcliTop100Uk!$D$2:$D$101,D37)&gt;0,"","NO")</f>
        <v/>
      </c>
    </row>
    <row r="38" spans="1:10" x14ac:dyDescent="0.25">
      <c r="A38">
        <v>37</v>
      </c>
      <c r="B38" t="s">
        <v>71</v>
      </c>
      <c r="C38" t="s">
        <v>215</v>
      </c>
      <c r="D38">
        <v>5677416</v>
      </c>
      <c r="E38">
        <v>2010</v>
      </c>
      <c r="F38" t="s">
        <v>466</v>
      </c>
      <c r="G38" t="str">
        <f>IF(COUNTIF([2]Sheet1!$K$2:$K$229,D38)&gt;0,"","NO")</f>
        <v/>
      </c>
      <c r="H38" t="str">
        <f>IF(COUNTIF([1]Index!$H$2:$H$187,D38)&gt;0,"","NO")</f>
        <v/>
      </c>
      <c r="I38" t="str">
        <f>IF(COUNTIF(CcliTop100Usa!$D$2:$D$101,D38)&gt;0,"","NO")</f>
        <v/>
      </c>
      <c r="J38" t="str">
        <f>IF(COUNTIF(CcliTop100Uk!$D$2:$D$101,D38)&gt;0,"","NO")</f>
        <v/>
      </c>
    </row>
    <row r="39" spans="1:10" x14ac:dyDescent="0.25">
      <c r="A39">
        <v>38</v>
      </c>
      <c r="B39" t="s">
        <v>73</v>
      </c>
      <c r="C39" t="s">
        <v>216</v>
      </c>
      <c r="D39">
        <v>4556538</v>
      </c>
      <c r="E39">
        <v>2005</v>
      </c>
      <c r="F39" t="s">
        <v>466</v>
      </c>
      <c r="G39" t="str">
        <f>IF(COUNTIF([2]Sheet1!$K$2:$K$229,D39)&gt;0,"","NO")</f>
        <v/>
      </c>
      <c r="H39" t="str">
        <f>IF(COUNTIF([1]Index!$H$2:$H$187,D39)&gt;0,"","NO")</f>
        <v/>
      </c>
      <c r="I39" t="str">
        <f>IF(COUNTIF(CcliTop100Usa!$D$2:$D$101,D39)&gt;0,"","NO")</f>
        <v/>
      </c>
      <c r="J39" t="str">
        <f>IF(COUNTIF(CcliTop100Uk!$D$2:$D$101,D39)&gt;0,"","NO")</f>
        <v/>
      </c>
    </row>
    <row r="40" spans="1:10" x14ac:dyDescent="0.25">
      <c r="A40">
        <v>39</v>
      </c>
      <c r="B40" t="s">
        <v>75</v>
      </c>
      <c r="C40" t="s">
        <v>217</v>
      </c>
      <c r="D40">
        <v>3148428</v>
      </c>
      <c r="E40">
        <v>2001</v>
      </c>
      <c r="F40" t="s">
        <v>466</v>
      </c>
      <c r="G40" t="str">
        <f>IF(COUNTIF([2]Sheet1!$K$2:$K$229,D40)&gt;0,"","NO")</f>
        <v/>
      </c>
      <c r="H40" t="str">
        <f>IF(COUNTIF([1]Index!$H$2:$H$187,D40)&gt;0,"","NO")</f>
        <v/>
      </c>
      <c r="I40" t="str">
        <f>IF(COUNTIF(CcliTop100Usa!$D$2:$D$101,D40)&gt;0,"","NO")</f>
        <v/>
      </c>
      <c r="J40" t="str">
        <f>IF(COUNTIF(CcliTop100Uk!$D$2:$D$101,D40)&gt;0,"","NO")</f>
        <v/>
      </c>
    </row>
    <row r="41" spans="1:10" x14ac:dyDescent="0.25">
      <c r="A41">
        <v>40</v>
      </c>
      <c r="B41" t="s">
        <v>77</v>
      </c>
      <c r="C41" t="s">
        <v>218</v>
      </c>
      <c r="D41">
        <v>2298355</v>
      </c>
      <c r="E41">
        <v>1997</v>
      </c>
      <c r="F41" t="s">
        <v>466</v>
      </c>
      <c r="G41" t="str">
        <f>IF(COUNTIF([2]Sheet1!$K$2:$K$229,D41)&gt;0,"","NO")</f>
        <v/>
      </c>
      <c r="H41" t="str">
        <f>IF(COUNTIF([1]Index!$H$2:$H$187,D41)&gt;0,"","NO")</f>
        <v/>
      </c>
      <c r="I41" t="str">
        <f>IF(COUNTIF(CcliTop100Usa!$D$2:$D$101,D41)&gt;0,"","NO")</f>
        <v/>
      </c>
      <c r="J41" t="str">
        <f>IF(COUNTIF(CcliTop100Uk!$D$2:$D$101,D41)&gt;0,"","NO")</f>
        <v/>
      </c>
    </row>
    <row r="42" spans="1:10" x14ac:dyDescent="0.25">
      <c r="A42">
        <v>41</v>
      </c>
      <c r="B42" t="s">
        <v>79</v>
      </c>
      <c r="C42" t="s">
        <v>219</v>
      </c>
      <c r="D42">
        <v>7018338</v>
      </c>
      <c r="E42">
        <v>2014</v>
      </c>
      <c r="F42" t="s">
        <v>466</v>
      </c>
      <c r="G42" t="str">
        <f>IF(COUNTIF([2]Sheet1!$K$2:$K$229,D42)&gt;0,"","NO")</f>
        <v/>
      </c>
      <c r="H42" t="str">
        <f>IF(COUNTIF([1]Index!$H$2:$H$187,D42)&gt;0,"","NO")</f>
        <v>NO</v>
      </c>
      <c r="I42" t="str">
        <f>IF(COUNTIF(CcliTop100Usa!$D$2:$D$101,D42)&gt;0,"","NO")</f>
        <v/>
      </c>
      <c r="J42" t="str">
        <f>IF(COUNTIF(CcliTop100Uk!$D$2:$D$101,D42)&gt;0,"","NO")</f>
        <v/>
      </c>
    </row>
    <row r="43" spans="1:10" x14ac:dyDescent="0.25">
      <c r="A43">
        <v>42</v>
      </c>
      <c r="B43" t="s">
        <v>81</v>
      </c>
      <c r="C43" t="s">
        <v>220</v>
      </c>
      <c r="D43">
        <v>5183443</v>
      </c>
      <c r="E43">
        <v>2008</v>
      </c>
      <c r="F43" t="s">
        <v>466</v>
      </c>
      <c r="G43" t="str">
        <f>IF(COUNTIF([2]Sheet1!$K$2:$K$229,D43)&gt;0,"","NO")</f>
        <v/>
      </c>
      <c r="H43" t="str">
        <f>IF(COUNTIF([1]Index!$H$2:$H$187,D43)&gt;0,"","NO")</f>
        <v/>
      </c>
      <c r="I43" t="str">
        <f>IF(COUNTIF(CcliTop100Usa!$D$2:$D$101,D43)&gt;0,"","NO")</f>
        <v/>
      </c>
      <c r="J43" t="str">
        <f>IF(COUNTIF(CcliTop100Uk!$D$2:$D$101,D43)&gt;0,"","NO")</f>
        <v>NO</v>
      </c>
    </row>
    <row r="44" spans="1:10" x14ac:dyDescent="0.25">
      <c r="A44">
        <v>43</v>
      </c>
      <c r="B44" t="s">
        <v>83</v>
      </c>
      <c r="C44" t="s">
        <v>221</v>
      </c>
      <c r="D44">
        <v>7065053</v>
      </c>
      <c r="E44">
        <v>2016</v>
      </c>
      <c r="F44" t="s">
        <v>466</v>
      </c>
      <c r="G44" t="str">
        <f>IF(COUNTIF([2]Sheet1!$K$2:$K$229,D44)&gt;0,"","NO")</f>
        <v>NO</v>
      </c>
      <c r="H44" t="str">
        <f>IF(COUNTIF([1]Index!$H$2:$H$187,D44)&gt;0,"","NO")</f>
        <v>NO</v>
      </c>
      <c r="I44" t="str">
        <f>IF(COUNTIF(CcliTop100Usa!$D$2:$D$101,D44)&gt;0,"","NO")</f>
        <v/>
      </c>
      <c r="J44" t="str">
        <f>IF(COUNTIF(CcliTop100Uk!$D$2:$D$101,D44)&gt;0,"","NO")</f>
        <v/>
      </c>
    </row>
    <row r="45" spans="1:10" x14ac:dyDescent="0.25">
      <c r="A45">
        <v>44</v>
      </c>
      <c r="B45" t="s">
        <v>85</v>
      </c>
      <c r="C45" t="s">
        <v>222</v>
      </c>
      <c r="D45">
        <v>16880</v>
      </c>
      <c r="E45">
        <v>1971</v>
      </c>
      <c r="F45" t="s">
        <v>466</v>
      </c>
      <c r="G45" t="str">
        <f>IF(COUNTIF([2]Sheet1!$K$2:$K$229,D45)&gt;0,"","NO")</f>
        <v/>
      </c>
      <c r="H45" t="str">
        <f>IF(COUNTIF([1]Index!$H$2:$H$187,D45)&gt;0,"","NO")</f>
        <v/>
      </c>
      <c r="I45" t="str">
        <f>IF(COUNTIF(CcliTop100Usa!$D$2:$D$101,D45)&gt;0,"","NO")</f>
        <v/>
      </c>
      <c r="J45" t="str">
        <f>IF(COUNTIF(CcliTop100Uk!$D$2:$D$101,D45)&gt;0,"","NO")</f>
        <v>NO</v>
      </c>
    </row>
    <row r="46" spans="1:10" x14ac:dyDescent="0.25">
      <c r="A46">
        <v>45</v>
      </c>
      <c r="B46" t="s">
        <v>87</v>
      </c>
      <c r="C46" t="s">
        <v>223</v>
      </c>
      <c r="D46">
        <v>7002032</v>
      </c>
      <c r="E46">
        <v>2013</v>
      </c>
      <c r="F46" t="s">
        <v>466</v>
      </c>
      <c r="G46" t="str">
        <f>IF(COUNTIF([2]Sheet1!$K$2:$K$229,D46)&gt;0,"","NO")</f>
        <v>NO</v>
      </c>
      <c r="H46" t="str">
        <f>IF(COUNTIF([1]Index!$H$2:$H$187,D46)&gt;0,"","NO")</f>
        <v/>
      </c>
      <c r="I46" t="str">
        <f>IF(COUNTIF(CcliTop100Usa!$D$2:$D$101,D46)&gt;0,"","NO")</f>
        <v>NO</v>
      </c>
      <c r="J46" t="str">
        <f>IF(COUNTIF(CcliTop100Uk!$D$2:$D$101,D46)&gt;0,"","NO")</f>
        <v/>
      </c>
    </row>
    <row r="47" spans="1:10" x14ac:dyDescent="0.25">
      <c r="A47">
        <v>46</v>
      </c>
      <c r="B47" t="s">
        <v>89</v>
      </c>
      <c r="C47" t="s">
        <v>224</v>
      </c>
      <c r="D47">
        <v>6186078</v>
      </c>
      <c r="E47">
        <v>2011</v>
      </c>
      <c r="F47" t="s">
        <v>466</v>
      </c>
      <c r="G47" t="str">
        <f>IF(COUNTIF([2]Sheet1!$K$2:$K$229,D47)&gt;0,"","NO")</f>
        <v>NO</v>
      </c>
      <c r="H47" t="str">
        <f>IF(COUNTIF([1]Index!$H$2:$H$187,D47)&gt;0,"","NO")</f>
        <v/>
      </c>
      <c r="I47" t="str">
        <f>IF(COUNTIF(CcliTop100Usa!$D$2:$D$101,D47)&gt;0,"","NO")</f>
        <v/>
      </c>
      <c r="J47" t="str">
        <f>IF(COUNTIF(CcliTop100Uk!$D$2:$D$101,D47)&gt;0,"","NO")</f>
        <v/>
      </c>
    </row>
    <row r="48" spans="1:10" x14ac:dyDescent="0.25">
      <c r="A48">
        <v>47</v>
      </c>
      <c r="B48" t="s">
        <v>91</v>
      </c>
      <c r="C48" t="s">
        <v>225</v>
      </c>
      <c r="D48">
        <v>7067555</v>
      </c>
      <c r="E48">
        <v>2016</v>
      </c>
      <c r="F48" t="s">
        <v>466</v>
      </c>
      <c r="G48" t="str">
        <f>IF(COUNTIF([2]Sheet1!$K$2:$K$229,D48)&gt;0,"","NO")</f>
        <v/>
      </c>
      <c r="H48" t="str">
        <f>IF(COUNTIF([1]Index!$H$2:$H$187,D48)&gt;0,"","NO")</f>
        <v/>
      </c>
      <c r="I48" t="str">
        <f>IF(COUNTIF(CcliTop100Usa!$D$2:$D$101,D48)&gt;0,"","NO")</f>
        <v/>
      </c>
      <c r="J48" t="str">
        <f>IF(COUNTIF(CcliTop100Uk!$D$2:$D$101,D48)&gt;0,"","NO")</f>
        <v>NO</v>
      </c>
    </row>
    <row r="49" spans="1:10" x14ac:dyDescent="0.25">
      <c r="A49">
        <v>48</v>
      </c>
      <c r="B49" t="s">
        <v>93</v>
      </c>
      <c r="C49" t="s">
        <v>226</v>
      </c>
      <c r="D49">
        <v>7138219</v>
      </c>
      <c r="E49">
        <v>2019</v>
      </c>
      <c r="F49" t="s">
        <v>466</v>
      </c>
      <c r="G49" t="str">
        <f>IF(COUNTIF([2]Sheet1!$K$2:$K$229,D49)&gt;0,"","NO")</f>
        <v/>
      </c>
      <c r="H49" t="str">
        <f>IF(COUNTIF([1]Index!$H$2:$H$187,D49)&gt;0,"","NO")</f>
        <v>NO</v>
      </c>
      <c r="I49" t="str">
        <f>IF(COUNTIF(CcliTop100Usa!$D$2:$D$101,D49)&gt;0,"","NO")</f>
        <v/>
      </c>
      <c r="J49" t="str">
        <f>IF(COUNTIF(CcliTop100Uk!$D$2:$D$101,D49)&gt;0,"","NO")</f>
        <v>NO</v>
      </c>
    </row>
    <row r="50" spans="1:10" x14ac:dyDescent="0.25">
      <c r="A50">
        <v>49</v>
      </c>
      <c r="B50" t="s">
        <v>95</v>
      </c>
      <c r="C50" t="s">
        <v>227</v>
      </c>
      <c r="D50">
        <v>11483</v>
      </c>
      <c r="E50">
        <v>1982</v>
      </c>
      <c r="F50" t="s">
        <v>466</v>
      </c>
      <c r="G50" t="str">
        <f>IF(COUNTIF([2]Sheet1!$K$2:$K$229,D50)&gt;0,"","NO")</f>
        <v>NO</v>
      </c>
      <c r="H50" t="str">
        <f>IF(COUNTIF([1]Index!$H$2:$H$187,D50)&gt;0,"","NO")</f>
        <v/>
      </c>
      <c r="I50" t="str">
        <f>IF(COUNTIF(CcliTop100Usa!$D$2:$D$101,D50)&gt;0,"","NO")</f>
        <v>NO</v>
      </c>
      <c r="J50" t="str">
        <f>IF(COUNTIF(CcliTop100Uk!$D$2:$D$101,D50)&gt;0,"","NO")</f>
        <v/>
      </c>
    </row>
    <row r="51" spans="1:10" x14ac:dyDescent="0.25">
      <c r="A51">
        <v>50</v>
      </c>
      <c r="B51" t="s">
        <v>97</v>
      </c>
      <c r="C51" t="s">
        <v>228</v>
      </c>
      <c r="D51">
        <v>2430948</v>
      </c>
      <c r="E51">
        <v>1998</v>
      </c>
      <c r="F51" t="s">
        <v>466</v>
      </c>
      <c r="G51" t="str">
        <f>IF(COUNTIF([2]Sheet1!$K$2:$K$229,D51)&gt;0,"","NO")</f>
        <v>NO</v>
      </c>
      <c r="H51" t="str">
        <f>IF(COUNTIF([1]Index!$H$2:$H$187,D51)&gt;0,"","NO")</f>
        <v/>
      </c>
      <c r="I51" t="str">
        <f>IF(COUNTIF(CcliTop100Usa!$D$2:$D$101,D51)&gt;0,"","NO")</f>
        <v/>
      </c>
      <c r="J51" t="str">
        <f>IF(COUNTIF(CcliTop100Uk!$D$2:$D$101,D51)&gt;0,"","NO")</f>
        <v/>
      </c>
    </row>
    <row r="52" spans="1:10" x14ac:dyDescent="0.25">
      <c r="A52">
        <v>51</v>
      </c>
      <c r="B52" t="s">
        <v>99</v>
      </c>
      <c r="C52" t="s">
        <v>229</v>
      </c>
      <c r="D52">
        <v>4477026</v>
      </c>
      <c r="E52">
        <v>2003</v>
      </c>
      <c r="F52" t="s">
        <v>466</v>
      </c>
      <c r="G52" t="str">
        <f>IF(COUNTIF([2]Sheet1!$K$2:$K$229,D52)&gt;0,"","NO")</f>
        <v/>
      </c>
      <c r="H52" t="str">
        <f>IF(COUNTIF([1]Index!$H$2:$H$187,D52)&gt;0,"","NO")</f>
        <v/>
      </c>
      <c r="I52" t="str">
        <f>IF(COUNTIF(CcliTop100Usa!$D$2:$D$101,D52)&gt;0,"","NO")</f>
        <v/>
      </c>
      <c r="J52" t="str">
        <f>IF(COUNTIF(CcliTop100Uk!$D$2:$D$101,D52)&gt;0,"","NO")</f>
        <v>NO</v>
      </c>
    </row>
    <row r="53" spans="1:10" x14ac:dyDescent="0.25">
      <c r="A53">
        <v>52</v>
      </c>
      <c r="B53" t="s">
        <v>101</v>
      </c>
      <c r="C53" t="s">
        <v>230</v>
      </c>
      <c r="D53">
        <v>6514035</v>
      </c>
      <c r="E53">
        <v>2012</v>
      </c>
      <c r="F53" t="s">
        <v>466</v>
      </c>
      <c r="G53" t="str">
        <f>IF(COUNTIF([2]Sheet1!$K$2:$K$229,D53)&gt;0,"","NO")</f>
        <v/>
      </c>
      <c r="H53" t="str">
        <f>IF(COUNTIF([1]Index!$H$2:$H$187,D53)&gt;0,"","NO")</f>
        <v/>
      </c>
      <c r="I53" t="str">
        <f>IF(COUNTIF(CcliTop100Usa!$D$2:$D$101,D53)&gt;0,"","NO")</f>
        <v>NO</v>
      </c>
      <c r="J53" t="str">
        <f>IF(COUNTIF(CcliTop100Uk!$D$2:$D$101,D53)&gt;0,"","NO")</f>
        <v>NO</v>
      </c>
    </row>
    <row r="54" spans="1:10" x14ac:dyDescent="0.25">
      <c r="A54">
        <v>53</v>
      </c>
      <c r="B54" t="s">
        <v>102</v>
      </c>
      <c r="C54" t="s">
        <v>231</v>
      </c>
      <c r="D54">
        <v>6428767</v>
      </c>
      <c r="E54">
        <v>2012</v>
      </c>
      <c r="F54" t="s">
        <v>466</v>
      </c>
      <c r="G54" t="str">
        <f>IF(COUNTIF([2]Sheet1!$K$2:$K$229,D54)&gt;0,"","NO")</f>
        <v/>
      </c>
      <c r="H54" t="str">
        <f>IF(COUNTIF([1]Index!$H$2:$H$187,D54)&gt;0,"","NO")</f>
        <v/>
      </c>
      <c r="I54" t="str">
        <f>IF(COUNTIF(CcliTop100Usa!$D$2:$D$101,D54)&gt;0,"","NO")</f>
        <v/>
      </c>
      <c r="J54" t="str">
        <f>IF(COUNTIF(CcliTop100Uk!$D$2:$D$101,D54)&gt;0,"","NO")</f>
        <v/>
      </c>
    </row>
    <row r="55" spans="1:10" x14ac:dyDescent="0.25">
      <c r="A55">
        <v>54</v>
      </c>
      <c r="B55" t="s">
        <v>104</v>
      </c>
      <c r="C55" t="s">
        <v>232</v>
      </c>
      <c r="D55">
        <v>7129060</v>
      </c>
      <c r="E55">
        <v>2019</v>
      </c>
      <c r="F55" t="s">
        <v>466</v>
      </c>
      <c r="G55" t="str">
        <f>IF(COUNTIF([2]Sheet1!$K$2:$K$229,D55)&gt;0,"","NO")</f>
        <v>NO</v>
      </c>
      <c r="H55" t="str">
        <f>IF(COUNTIF([1]Index!$H$2:$H$187,D55)&gt;0,"","NO")</f>
        <v>NO</v>
      </c>
      <c r="I55" t="str">
        <f>IF(COUNTIF(CcliTop100Usa!$D$2:$D$101,D55)&gt;0,"","NO")</f>
        <v/>
      </c>
      <c r="J55" t="str">
        <f>IF(COUNTIF(CcliTop100Uk!$D$2:$D$101,D55)&gt;0,"","NO")</f>
        <v>NO</v>
      </c>
    </row>
    <row r="56" spans="1:10" x14ac:dyDescent="0.25">
      <c r="A56">
        <v>55</v>
      </c>
      <c r="B56" t="s">
        <v>106</v>
      </c>
      <c r="C56" t="s">
        <v>233</v>
      </c>
      <c r="D56">
        <v>7108951</v>
      </c>
      <c r="E56">
        <v>2018</v>
      </c>
      <c r="F56" t="s">
        <v>466</v>
      </c>
      <c r="G56" t="str">
        <f>IF(COUNTIF([2]Sheet1!$K$2:$K$229,D56)&gt;0,"","NO")</f>
        <v>NO</v>
      </c>
      <c r="H56" t="str">
        <f>IF(COUNTIF([1]Index!$H$2:$H$187,D56)&gt;0,"","NO")</f>
        <v>NO</v>
      </c>
      <c r="I56" t="str">
        <f>IF(COUNTIF(CcliTop100Usa!$D$2:$D$101,D56)&gt;0,"","NO")</f>
        <v/>
      </c>
      <c r="J56" t="str">
        <f>IF(COUNTIF(CcliTop100Uk!$D$2:$D$101,D56)&gt;0,"","NO")</f>
        <v>NO</v>
      </c>
    </row>
    <row r="57" spans="1:10" x14ac:dyDescent="0.25">
      <c r="A57">
        <v>56</v>
      </c>
      <c r="B57" t="s">
        <v>108</v>
      </c>
      <c r="C57" t="s">
        <v>234</v>
      </c>
      <c r="D57">
        <v>1406918</v>
      </c>
      <c r="E57">
        <v>1993</v>
      </c>
      <c r="F57" t="s">
        <v>466</v>
      </c>
      <c r="G57" t="str">
        <f>IF(COUNTIF([2]Sheet1!$K$2:$K$229,D57)&gt;0,"","NO")</f>
        <v/>
      </c>
      <c r="H57" t="str">
        <f>IF(COUNTIF([1]Index!$H$2:$H$187,D57)&gt;0,"","NO")</f>
        <v/>
      </c>
      <c r="I57" t="str">
        <f>IF(COUNTIF(CcliTop100Usa!$D$2:$D$101,D57)&gt;0,"","NO")</f>
        <v/>
      </c>
      <c r="J57" t="str">
        <f>IF(COUNTIF(CcliTop100Uk!$D$2:$D$101,D57)&gt;0,"","NO")</f>
        <v/>
      </c>
    </row>
    <row r="58" spans="1:10" x14ac:dyDescent="0.25">
      <c r="A58">
        <v>57</v>
      </c>
      <c r="B58" t="s">
        <v>110</v>
      </c>
      <c r="C58" t="s">
        <v>235</v>
      </c>
      <c r="D58">
        <v>4785835</v>
      </c>
      <c r="E58">
        <v>2006</v>
      </c>
      <c r="F58" t="s">
        <v>466</v>
      </c>
      <c r="G58" t="str">
        <f>IF(COUNTIF([2]Sheet1!$K$2:$K$229,D58)&gt;0,"","NO")</f>
        <v/>
      </c>
      <c r="H58" t="str">
        <f>IF(COUNTIF([1]Index!$H$2:$H$187,D58)&gt;0,"","NO")</f>
        <v/>
      </c>
      <c r="I58" t="str">
        <f>IF(COUNTIF(CcliTop100Usa!$D$2:$D$101,D58)&gt;0,"","NO")</f>
        <v/>
      </c>
      <c r="J58" t="str">
        <f>IF(COUNTIF(CcliTop100Uk!$D$2:$D$101,D58)&gt;0,"","NO")</f>
        <v/>
      </c>
    </row>
    <row r="59" spans="1:10" x14ac:dyDescent="0.25">
      <c r="A59">
        <v>58</v>
      </c>
      <c r="B59" t="s">
        <v>112</v>
      </c>
      <c r="C59" t="s">
        <v>236</v>
      </c>
      <c r="D59">
        <v>7130961</v>
      </c>
      <c r="E59">
        <v>2019</v>
      </c>
      <c r="F59" t="s">
        <v>466</v>
      </c>
      <c r="G59" t="str">
        <f>IF(COUNTIF([2]Sheet1!$K$2:$K$229,D59)&gt;0,"","NO")</f>
        <v>NO</v>
      </c>
      <c r="H59" t="str">
        <f>IF(COUNTIF([1]Index!$H$2:$H$187,D59)&gt;0,"","NO")</f>
        <v>NO</v>
      </c>
      <c r="I59" t="str">
        <f>IF(COUNTIF(CcliTop100Usa!$D$2:$D$101,D59)&gt;0,"","NO")</f>
        <v/>
      </c>
      <c r="J59" t="str">
        <f>IF(COUNTIF(CcliTop100Uk!$D$2:$D$101,D59)&gt;0,"","NO")</f>
        <v>NO</v>
      </c>
    </row>
    <row r="60" spans="1:10" x14ac:dyDescent="0.25">
      <c r="A60">
        <v>59</v>
      </c>
      <c r="B60" t="s">
        <v>114</v>
      </c>
      <c r="C60" t="s">
        <v>237</v>
      </c>
      <c r="D60">
        <v>825356</v>
      </c>
      <c r="E60">
        <v>1991</v>
      </c>
      <c r="F60" t="s">
        <v>466</v>
      </c>
      <c r="G60" t="str">
        <f>IF(COUNTIF([2]Sheet1!$K$2:$K$229,D60)&gt;0,"","NO")</f>
        <v/>
      </c>
      <c r="H60" t="str">
        <f>IF(COUNTIF([1]Index!$H$2:$H$187,D60)&gt;0,"","NO")</f>
        <v/>
      </c>
      <c r="I60" t="str">
        <f>IF(COUNTIF(CcliTop100Usa!$D$2:$D$101,D60)&gt;0,"","NO")</f>
        <v>NO</v>
      </c>
      <c r="J60" t="str">
        <f>IF(COUNTIF(CcliTop100Uk!$D$2:$D$101,D60)&gt;0,"","NO")</f>
        <v>NO</v>
      </c>
    </row>
    <row r="61" spans="1:10" x14ac:dyDescent="0.25">
      <c r="A61">
        <v>60</v>
      </c>
      <c r="B61" t="s">
        <v>115</v>
      </c>
      <c r="C61" t="s">
        <v>238</v>
      </c>
      <c r="D61">
        <v>7046448</v>
      </c>
      <c r="E61">
        <v>2015</v>
      </c>
      <c r="F61" t="s">
        <v>466</v>
      </c>
      <c r="G61" t="str">
        <f>IF(COUNTIF([2]Sheet1!$K$2:$K$229,D61)&gt;0,"","NO")</f>
        <v/>
      </c>
      <c r="H61" t="str">
        <f>IF(COUNTIF([1]Index!$H$2:$H$187,D61)&gt;0,"","NO")</f>
        <v/>
      </c>
      <c r="I61" t="str">
        <f>IF(COUNTIF(CcliTop100Usa!$D$2:$D$101,D61)&gt;0,"","NO")</f>
        <v/>
      </c>
      <c r="J61" t="str">
        <f>IF(COUNTIF(CcliTop100Uk!$D$2:$D$101,D61)&gt;0,"","NO")</f>
        <v>NO</v>
      </c>
    </row>
    <row r="62" spans="1:10" x14ac:dyDescent="0.25">
      <c r="A62">
        <v>61</v>
      </c>
      <c r="B62" t="s">
        <v>117</v>
      </c>
      <c r="C62" t="s">
        <v>239</v>
      </c>
      <c r="D62">
        <v>7073332</v>
      </c>
      <c r="E62">
        <v>2016</v>
      </c>
      <c r="F62" t="s">
        <v>466</v>
      </c>
      <c r="G62" t="str">
        <f>IF(COUNTIF([2]Sheet1!$K$2:$K$229,D62)&gt;0,"","NO")</f>
        <v/>
      </c>
      <c r="H62" t="str">
        <f>IF(COUNTIF([1]Index!$H$2:$H$187,D62)&gt;0,"","NO")</f>
        <v>NO</v>
      </c>
      <c r="I62" t="str">
        <f>IF(COUNTIF(CcliTop100Usa!$D$2:$D$101,D62)&gt;0,"","NO")</f>
        <v>NO</v>
      </c>
      <c r="J62" t="str">
        <f>IF(COUNTIF(CcliTop100Uk!$D$2:$D$101,D62)&gt;0,"","NO")</f>
        <v>NO</v>
      </c>
    </row>
    <row r="63" spans="1:10" x14ac:dyDescent="0.25">
      <c r="A63">
        <v>62</v>
      </c>
      <c r="B63" t="s">
        <v>118</v>
      </c>
      <c r="C63" t="s">
        <v>240</v>
      </c>
      <c r="D63">
        <v>2296522</v>
      </c>
      <c r="E63">
        <v>1999</v>
      </c>
      <c r="F63" t="s">
        <v>466</v>
      </c>
      <c r="G63" t="str">
        <f>IF(COUNTIF([2]Sheet1!$K$2:$K$229,D63)&gt;0,"","NO")</f>
        <v/>
      </c>
      <c r="H63" t="str">
        <f>IF(COUNTIF([1]Index!$H$2:$H$187,D63)&gt;0,"","NO")</f>
        <v/>
      </c>
      <c r="I63" t="str">
        <f>IF(COUNTIF(CcliTop100Usa!$D$2:$D$101,D63)&gt;0,"","NO")</f>
        <v/>
      </c>
      <c r="J63" t="str">
        <f>IF(COUNTIF(CcliTop100Uk!$D$2:$D$101,D63)&gt;0,"","NO")</f>
        <v/>
      </c>
    </row>
    <row r="64" spans="1:10" x14ac:dyDescent="0.25">
      <c r="A64">
        <v>63</v>
      </c>
      <c r="B64" t="s">
        <v>120</v>
      </c>
      <c r="C64" t="s">
        <v>241</v>
      </c>
      <c r="D64">
        <v>6304702</v>
      </c>
      <c r="E64">
        <v>2012</v>
      </c>
      <c r="F64" t="s">
        <v>466</v>
      </c>
      <c r="G64" t="str">
        <f>IF(COUNTIF([2]Sheet1!$K$2:$K$229,D64)&gt;0,"","NO")</f>
        <v/>
      </c>
      <c r="H64" t="str">
        <f>IF(COUNTIF([1]Index!$H$2:$H$187,D64)&gt;0,"","NO")</f>
        <v>NO</v>
      </c>
      <c r="I64" t="str">
        <f>IF(COUNTIF(CcliTop100Usa!$D$2:$D$101,D64)&gt;0,"","NO")</f>
        <v/>
      </c>
      <c r="J64" t="str">
        <f>IF(COUNTIF(CcliTop100Uk!$D$2:$D$101,D64)&gt;0,"","NO")</f>
        <v>NO</v>
      </c>
    </row>
    <row r="65" spans="1:10" x14ac:dyDescent="0.25">
      <c r="A65">
        <v>64</v>
      </c>
      <c r="B65" t="s">
        <v>122</v>
      </c>
      <c r="C65" t="s">
        <v>242</v>
      </c>
      <c r="D65">
        <v>5997804</v>
      </c>
      <c r="E65">
        <v>2010</v>
      </c>
      <c r="F65" t="s">
        <v>466</v>
      </c>
      <c r="G65" t="str">
        <f>IF(COUNTIF([2]Sheet1!$K$2:$K$229,D65)&gt;0,"","NO")</f>
        <v>NO</v>
      </c>
      <c r="H65" t="str">
        <f>IF(COUNTIF([1]Index!$H$2:$H$187,D65)&gt;0,"","NO")</f>
        <v>NO</v>
      </c>
      <c r="I65" t="str">
        <f>IF(COUNTIF(CcliTop100Usa!$D$2:$D$101,D65)&gt;0,"","NO")</f>
        <v>NO</v>
      </c>
      <c r="J65" t="str">
        <f>IF(COUNTIF(CcliTop100Uk!$D$2:$D$101,D65)&gt;0,"","NO")</f>
        <v>NO</v>
      </c>
    </row>
    <row r="66" spans="1:10" x14ac:dyDescent="0.25">
      <c r="A66">
        <v>65</v>
      </c>
      <c r="B66" t="s">
        <v>123</v>
      </c>
      <c r="C66" t="s">
        <v>243</v>
      </c>
      <c r="D66">
        <v>6476063</v>
      </c>
      <c r="E66">
        <v>2012</v>
      </c>
      <c r="F66" t="s">
        <v>466</v>
      </c>
      <c r="G66" t="str">
        <f>IF(COUNTIF([2]Sheet1!$K$2:$K$229,D66)&gt;0,"","NO")</f>
        <v/>
      </c>
      <c r="H66" t="str">
        <f>IF(COUNTIF([1]Index!$H$2:$H$187,D66)&gt;0,"","NO")</f>
        <v/>
      </c>
      <c r="I66" t="str">
        <f>IF(COUNTIF(CcliTop100Usa!$D$2:$D$101,D66)&gt;0,"","NO")</f>
        <v/>
      </c>
      <c r="J66" t="str">
        <f>IF(COUNTIF(CcliTop100Uk!$D$2:$D$101,D66)&gt;0,"","NO")</f>
        <v/>
      </c>
    </row>
    <row r="67" spans="1:10" x14ac:dyDescent="0.25">
      <c r="A67">
        <v>66</v>
      </c>
      <c r="B67" t="s">
        <v>125</v>
      </c>
      <c r="C67" t="s">
        <v>244</v>
      </c>
      <c r="D67">
        <v>5858163</v>
      </c>
      <c r="E67">
        <v>2010</v>
      </c>
      <c r="F67" t="s">
        <v>466</v>
      </c>
      <c r="G67" t="str">
        <f>IF(COUNTIF([2]Sheet1!$K$2:$K$229,D67)&gt;0,"","NO")</f>
        <v/>
      </c>
      <c r="H67" t="str">
        <f>IF(COUNTIF([1]Index!$H$2:$H$187,D67)&gt;0,"","NO")</f>
        <v>NO</v>
      </c>
      <c r="I67" t="str">
        <f>IF(COUNTIF(CcliTop100Usa!$D$2:$D$101,D67)&gt;0,"","NO")</f>
        <v>NO</v>
      </c>
      <c r="J67" t="str">
        <f>IF(COUNTIF(CcliTop100Uk!$D$2:$D$101,D67)&gt;0,"","NO")</f>
        <v/>
      </c>
    </row>
    <row r="68" spans="1:10" x14ac:dyDescent="0.25">
      <c r="A68">
        <v>67</v>
      </c>
      <c r="B68" t="s">
        <v>127</v>
      </c>
      <c r="C68" t="s">
        <v>245</v>
      </c>
      <c r="D68">
        <v>7105729</v>
      </c>
      <c r="E68">
        <v>2018</v>
      </c>
      <c r="F68" t="s">
        <v>466</v>
      </c>
      <c r="G68" t="str">
        <f>IF(COUNTIF([2]Sheet1!$K$2:$K$229,D68)&gt;0,"","NO")</f>
        <v>NO</v>
      </c>
      <c r="H68" t="str">
        <f>IF(COUNTIF([1]Index!$H$2:$H$187,D68)&gt;0,"","NO")</f>
        <v>NO</v>
      </c>
      <c r="I68" t="str">
        <f>IF(COUNTIF(CcliTop100Usa!$D$2:$D$101,D68)&gt;0,"","NO")</f>
        <v/>
      </c>
      <c r="J68" t="str">
        <f>IF(COUNTIF(CcliTop100Uk!$D$2:$D$101,D68)&gt;0,"","NO")</f>
        <v>NO</v>
      </c>
    </row>
    <row r="69" spans="1:10" x14ac:dyDescent="0.25">
      <c r="A69">
        <v>68</v>
      </c>
      <c r="B69" t="s">
        <v>129</v>
      </c>
      <c r="C69" t="s">
        <v>228</v>
      </c>
      <c r="D69">
        <v>465840</v>
      </c>
      <c r="E69">
        <v>1989</v>
      </c>
      <c r="F69" t="s">
        <v>466</v>
      </c>
      <c r="G69" t="str">
        <f>IF(COUNTIF([2]Sheet1!$K$2:$K$229,D69)&gt;0,"","NO")</f>
        <v>NO</v>
      </c>
      <c r="H69" t="str">
        <f>IF(COUNTIF([1]Index!$H$2:$H$187,D69)&gt;0,"","NO")</f>
        <v>NO</v>
      </c>
      <c r="I69" t="str">
        <f>IF(COUNTIF(CcliTop100Usa!$D$2:$D$101,D69)&gt;0,"","NO")</f>
        <v>NO</v>
      </c>
      <c r="J69" t="str">
        <f>IF(COUNTIF(CcliTop100Uk!$D$2:$D$101,D69)&gt;0,"","NO")</f>
        <v/>
      </c>
    </row>
    <row r="70" spans="1:10" x14ac:dyDescent="0.25">
      <c r="A70">
        <v>69</v>
      </c>
      <c r="B70" t="s">
        <v>130</v>
      </c>
      <c r="C70" t="s">
        <v>246</v>
      </c>
      <c r="D70">
        <v>7054720</v>
      </c>
      <c r="E70">
        <v>2016</v>
      </c>
      <c r="F70" t="s">
        <v>466</v>
      </c>
      <c r="G70" t="str">
        <f>IF(COUNTIF([2]Sheet1!$K$2:$K$229,D70)&gt;0,"","NO")</f>
        <v/>
      </c>
      <c r="H70" t="str">
        <f>IF(COUNTIF([1]Index!$H$2:$H$187,D70)&gt;0,"","NO")</f>
        <v>NO</v>
      </c>
      <c r="I70" t="str">
        <f>IF(COUNTIF(CcliTop100Usa!$D$2:$D$101,D70)&gt;0,"","NO")</f>
        <v/>
      </c>
      <c r="J70" t="str">
        <f>IF(COUNTIF(CcliTop100Uk!$D$2:$D$101,D70)&gt;0,"","NO")</f>
        <v>NO</v>
      </c>
    </row>
    <row r="71" spans="1:10" x14ac:dyDescent="0.25">
      <c r="A71">
        <v>70</v>
      </c>
      <c r="B71" t="s">
        <v>132</v>
      </c>
      <c r="C71" t="s">
        <v>247</v>
      </c>
      <c r="D71">
        <v>2456623</v>
      </c>
      <c r="E71">
        <v>1996</v>
      </c>
      <c r="F71" t="s">
        <v>466</v>
      </c>
      <c r="G71" t="str">
        <f>IF(COUNTIF([2]Sheet1!$K$2:$K$229,D71)&gt;0,"","NO")</f>
        <v/>
      </c>
      <c r="H71" t="str">
        <f>IF(COUNTIF([1]Index!$H$2:$H$187,D71)&gt;0,"","NO")</f>
        <v/>
      </c>
      <c r="I71" t="str">
        <f>IF(COUNTIF(CcliTop100Usa!$D$2:$D$101,D71)&gt;0,"","NO")</f>
        <v/>
      </c>
      <c r="J71" t="str">
        <f>IF(COUNTIF(CcliTop100Uk!$D$2:$D$101,D71)&gt;0,"","NO")</f>
        <v>NO</v>
      </c>
    </row>
    <row r="72" spans="1:10" x14ac:dyDescent="0.25">
      <c r="A72">
        <v>71</v>
      </c>
      <c r="B72" t="s">
        <v>134</v>
      </c>
      <c r="C72" t="s">
        <v>248</v>
      </c>
      <c r="D72">
        <v>1537904</v>
      </c>
      <c r="E72">
        <v>1996</v>
      </c>
      <c r="F72" t="s">
        <v>466</v>
      </c>
      <c r="G72" t="str">
        <f>IF(COUNTIF([2]Sheet1!$K$2:$K$229,D72)&gt;0,"","NO")</f>
        <v>NO</v>
      </c>
      <c r="H72" t="str">
        <f>IF(COUNTIF([1]Index!$H$2:$H$187,D72)&gt;0,"","NO")</f>
        <v/>
      </c>
      <c r="I72" t="str">
        <f>IF(COUNTIF(CcliTop100Usa!$D$2:$D$101,D72)&gt;0,"","NO")</f>
        <v/>
      </c>
      <c r="J72" t="str">
        <f>IF(COUNTIF(CcliTop100Uk!$D$2:$D$101,D72)&gt;0,"","NO")</f>
        <v>NO</v>
      </c>
    </row>
    <row r="73" spans="1:10" x14ac:dyDescent="0.25">
      <c r="A73">
        <v>72</v>
      </c>
      <c r="B73" t="s">
        <v>136</v>
      </c>
      <c r="C73" t="s">
        <v>249</v>
      </c>
      <c r="D73">
        <v>7030068</v>
      </c>
      <c r="E73">
        <v>2014</v>
      </c>
      <c r="F73" t="s">
        <v>466</v>
      </c>
      <c r="G73" t="str">
        <f>IF(COUNTIF([2]Sheet1!$K$2:$K$229,D73)&gt;0,"","NO")</f>
        <v/>
      </c>
      <c r="H73" t="str">
        <f>IF(COUNTIF([1]Index!$H$2:$H$187,D73)&gt;0,"","NO")</f>
        <v>NO</v>
      </c>
      <c r="I73" t="str">
        <f>IF(COUNTIF(CcliTop100Usa!$D$2:$D$101,D73)&gt;0,"","NO")</f>
        <v>NO</v>
      </c>
      <c r="J73" t="str">
        <f>IF(COUNTIF(CcliTop100Uk!$D$2:$D$101,D73)&gt;0,"","NO")</f>
        <v>NO</v>
      </c>
    </row>
    <row r="74" spans="1:10" x14ac:dyDescent="0.25">
      <c r="A74">
        <v>73</v>
      </c>
      <c r="B74" t="s">
        <v>137</v>
      </c>
      <c r="C74" t="s">
        <v>250</v>
      </c>
      <c r="D74">
        <v>7051507</v>
      </c>
      <c r="E74">
        <v>2015</v>
      </c>
      <c r="F74" t="s">
        <v>466</v>
      </c>
      <c r="G74" t="str">
        <f>IF(COUNTIF([2]Sheet1!$K$2:$K$229,D74)&gt;0,"","NO")</f>
        <v/>
      </c>
      <c r="H74" t="str">
        <f>IF(COUNTIF([1]Index!$H$2:$H$187,D74)&gt;0,"","NO")</f>
        <v/>
      </c>
      <c r="I74" t="str">
        <f>IF(COUNTIF(CcliTop100Usa!$D$2:$D$101,D74)&gt;0,"","NO")</f>
        <v/>
      </c>
      <c r="J74" t="str">
        <f>IF(COUNTIF(CcliTop100Uk!$D$2:$D$101,D74)&gt;0,"","NO")</f>
        <v>NO</v>
      </c>
    </row>
    <row r="75" spans="1:10" x14ac:dyDescent="0.25">
      <c r="A75">
        <v>74</v>
      </c>
      <c r="B75" t="s">
        <v>139</v>
      </c>
      <c r="C75" t="s">
        <v>251</v>
      </c>
      <c r="D75">
        <v>7048885</v>
      </c>
      <c r="E75">
        <v>2016</v>
      </c>
      <c r="F75" t="s">
        <v>466</v>
      </c>
      <c r="G75" t="str">
        <f>IF(COUNTIF([2]Sheet1!$K$2:$K$229,D75)&gt;0,"","NO")</f>
        <v/>
      </c>
      <c r="H75" t="str">
        <f>IF(COUNTIF([1]Index!$H$2:$H$187,D75)&gt;0,"","NO")</f>
        <v>NO</v>
      </c>
      <c r="I75" t="str">
        <f>IF(COUNTIF(CcliTop100Usa!$D$2:$D$101,D75)&gt;0,"","NO")</f>
        <v/>
      </c>
      <c r="J75" t="str">
        <f>IF(COUNTIF(CcliTop100Uk!$D$2:$D$101,D75)&gt;0,"","NO")</f>
        <v/>
      </c>
    </row>
    <row r="76" spans="1:10" x14ac:dyDescent="0.25">
      <c r="A76">
        <v>75</v>
      </c>
      <c r="B76" t="s">
        <v>48</v>
      </c>
      <c r="C76" t="s">
        <v>192</v>
      </c>
      <c r="D76">
        <v>4779872</v>
      </c>
      <c r="E76">
        <v>2006</v>
      </c>
      <c r="F76" t="s">
        <v>466</v>
      </c>
      <c r="G76" t="str">
        <f>IF(COUNTIF([2]Sheet1!$K$2:$K$229,D76)&gt;0,"","NO")</f>
        <v>NO</v>
      </c>
      <c r="H76" t="str">
        <f>IF(COUNTIF([1]Index!$H$2:$H$187,D76)&gt;0,"","NO")</f>
        <v>NO</v>
      </c>
      <c r="I76" t="str">
        <f>IF(COUNTIF(CcliTop100Usa!$D$2:$D$101,D76)&gt;0,"","NO")</f>
        <v>NO</v>
      </c>
      <c r="J76" t="str">
        <f>IF(COUNTIF(CcliTop100Uk!$D$2:$D$101,D76)&gt;0,"","NO")</f>
        <v/>
      </c>
    </row>
    <row r="77" spans="1:10" x14ac:dyDescent="0.25">
      <c r="A77">
        <v>76</v>
      </c>
      <c r="B77" t="s">
        <v>141</v>
      </c>
      <c r="C77" t="s">
        <v>252</v>
      </c>
      <c r="D77">
        <v>7001228</v>
      </c>
      <c r="E77">
        <v>2013</v>
      </c>
      <c r="F77" t="s">
        <v>466</v>
      </c>
      <c r="G77" t="str">
        <f>IF(COUNTIF([2]Sheet1!$K$2:$K$229,D77)&gt;0,"","NO")</f>
        <v/>
      </c>
      <c r="H77" t="str">
        <f>IF(COUNTIF([1]Index!$H$2:$H$187,D77)&gt;0,"","NO")</f>
        <v/>
      </c>
      <c r="I77" t="str">
        <f>IF(COUNTIF(CcliTop100Usa!$D$2:$D$101,D77)&gt;0,"","NO")</f>
        <v/>
      </c>
      <c r="J77" t="str">
        <f>IF(COUNTIF(CcliTop100Uk!$D$2:$D$101,D77)&gt;0,"","NO")</f>
        <v/>
      </c>
    </row>
    <row r="78" spans="1:10" x14ac:dyDescent="0.25">
      <c r="A78">
        <v>77</v>
      </c>
      <c r="B78" t="s">
        <v>143</v>
      </c>
      <c r="C78" t="s">
        <v>253</v>
      </c>
      <c r="D78">
        <v>4611679</v>
      </c>
      <c r="E78">
        <v>2006</v>
      </c>
      <c r="F78" t="s">
        <v>466</v>
      </c>
      <c r="G78" t="str">
        <f>IF(COUNTIF([2]Sheet1!$K$2:$K$229,D78)&gt;0,"","NO")</f>
        <v/>
      </c>
      <c r="H78" t="str">
        <f>IF(COUNTIF([1]Index!$H$2:$H$187,D78)&gt;0,"","NO")</f>
        <v>NO</v>
      </c>
      <c r="I78" t="str">
        <f>IF(COUNTIF(CcliTop100Usa!$D$2:$D$101,D78)&gt;0,"","NO")</f>
        <v>NO</v>
      </c>
      <c r="J78" t="str">
        <f>IF(COUNTIF(CcliTop100Uk!$D$2:$D$101,D78)&gt;0,"","NO")</f>
        <v>NO</v>
      </c>
    </row>
    <row r="79" spans="1:10" x14ac:dyDescent="0.25">
      <c r="A79">
        <v>78</v>
      </c>
      <c r="B79" t="s">
        <v>144</v>
      </c>
      <c r="C79" t="s">
        <v>254</v>
      </c>
      <c r="D79">
        <v>626713</v>
      </c>
      <c r="E79">
        <v>1990</v>
      </c>
      <c r="F79" t="s">
        <v>466</v>
      </c>
      <c r="G79" t="str">
        <f>IF(COUNTIF([2]Sheet1!$K$2:$K$229,D79)&gt;0,"","NO")</f>
        <v>NO</v>
      </c>
      <c r="H79" t="str">
        <f>IF(COUNTIF([1]Index!$H$2:$H$187,D79)&gt;0,"","NO")</f>
        <v>NO</v>
      </c>
      <c r="I79" t="str">
        <f>IF(COUNTIF(CcliTop100Usa!$D$2:$D$101,D79)&gt;0,"","NO")</f>
        <v>NO</v>
      </c>
      <c r="J79" t="str">
        <f>IF(COUNTIF(CcliTop100Uk!$D$2:$D$101,D79)&gt;0,"","NO")</f>
        <v>NO</v>
      </c>
    </row>
    <row r="80" spans="1:10" x14ac:dyDescent="0.25">
      <c r="A80">
        <v>79</v>
      </c>
      <c r="B80" t="s">
        <v>145</v>
      </c>
      <c r="C80" t="s">
        <v>255</v>
      </c>
      <c r="D80">
        <v>7098758</v>
      </c>
      <c r="E80">
        <v>2017</v>
      </c>
      <c r="F80" t="s">
        <v>466</v>
      </c>
      <c r="G80" t="str">
        <f>IF(COUNTIF([2]Sheet1!$K$2:$K$229,D80)&gt;0,"","NO")</f>
        <v>NO</v>
      </c>
      <c r="H80" t="str">
        <f>IF(COUNTIF([1]Index!$H$2:$H$187,D80)&gt;0,"","NO")</f>
        <v>NO</v>
      </c>
      <c r="I80" t="str">
        <f>IF(COUNTIF(CcliTop100Usa!$D$2:$D$101,D80)&gt;0,"","NO")</f>
        <v/>
      </c>
      <c r="J80" t="str">
        <f>IF(COUNTIF(CcliTop100Uk!$D$2:$D$101,D80)&gt;0,"","NO")</f>
        <v>NO</v>
      </c>
    </row>
    <row r="81" spans="1:10" x14ac:dyDescent="0.25">
      <c r="A81">
        <v>80</v>
      </c>
      <c r="B81" t="s">
        <v>147</v>
      </c>
      <c r="C81" t="s">
        <v>256</v>
      </c>
      <c r="D81">
        <v>7063694</v>
      </c>
      <c r="E81">
        <v>2016</v>
      </c>
      <c r="F81" t="s">
        <v>466</v>
      </c>
      <c r="G81" t="str">
        <f>IF(COUNTIF([2]Sheet1!$K$2:$K$229,D81)&gt;0,"","NO")</f>
        <v>NO</v>
      </c>
      <c r="H81" t="str">
        <f>IF(COUNTIF([1]Index!$H$2:$H$187,D81)&gt;0,"","NO")</f>
        <v/>
      </c>
      <c r="I81" t="str">
        <f>IF(COUNTIF(CcliTop100Usa!$D$2:$D$101,D81)&gt;0,"","NO")</f>
        <v>NO</v>
      </c>
      <c r="J81" t="str">
        <f>IF(COUNTIF(CcliTop100Uk!$D$2:$D$101,D81)&gt;0,"","NO")</f>
        <v>NO</v>
      </c>
    </row>
    <row r="82" spans="1:10" x14ac:dyDescent="0.25">
      <c r="A82">
        <v>81</v>
      </c>
      <c r="B82" t="s">
        <v>148</v>
      </c>
      <c r="C82" t="s">
        <v>228</v>
      </c>
      <c r="D82">
        <v>426298</v>
      </c>
      <c r="E82">
        <v>1990</v>
      </c>
      <c r="F82" t="s">
        <v>466</v>
      </c>
      <c r="G82" t="str">
        <f>IF(COUNTIF([2]Sheet1!$K$2:$K$229,D82)&gt;0,"","NO")</f>
        <v>NO</v>
      </c>
      <c r="H82" t="str">
        <f>IF(COUNTIF([1]Index!$H$2:$H$187,D82)&gt;0,"","NO")</f>
        <v>NO</v>
      </c>
      <c r="I82" t="str">
        <f>IF(COUNTIF(CcliTop100Usa!$D$2:$D$101,D82)&gt;0,"","NO")</f>
        <v>NO</v>
      </c>
      <c r="J82" t="str">
        <f>IF(COUNTIF(CcliTop100Uk!$D$2:$D$101,D82)&gt;0,"","NO")</f>
        <v/>
      </c>
    </row>
    <row r="83" spans="1:10" x14ac:dyDescent="0.25">
      <c r="A83">
        <v>82</v>
      </c>
      <c r="B83" t="s">
        <v>149</v>
      </c>
      <c r="C83" t="s">
        <v>257</v>
      </c>
      <c r="D83">
        <v>117947</v>
      </c>
      <c r="E83">
        <v>1989</v>
      </c>
      <c r="F83" t="s">
        <v>466</v>
      </c>
      <c r="G83" t="str">
        <f>IF(COUNTIF([2]Sheet1!$K$2:$K$229,D83)&gt;0,"","NO")</f>
        <v>NO</v>
      </c>
      <c r="H83" t="str">
        <f>IF(COUNTIF([1]Index!$H$2:$H$187,D83)&gt;0,"","NO")</f>
        <v/>
      </c>
      <c r="I83" t="str">
        <f>IF(COUNTIF(CcliTop100Usa!$D$2:$D$101,D83)&gt;0,"","NO")</f>
        <v/>
      </c>
      <c r="J83" t="str">
        <f>IF(COUNTIF(CcliTop100Uk!$D$2:$D$101,D83)&gt;0,"","NO")</f>
        <v/>
      </c>
    </row>
    <row r="84" spans="1:10" x14ac:dyDescent="0.25">
      <c r="A84">
        <v>83</v>
      </c>
      <c r="B84" t="s">
        <v>151</v>
      </c>
      <c r="C84" t="s">
        <v>228</v>
      </c>
      <c r="D84">
        <v>3540703</v>
      </c>
      <c r="E84">
        <v>2002</v>
      </c>
      <c r="F84" t="s">
        <v>466</v>
      </c>
      <c r="G84" t="str">
        <f>IF(COUNTIF([2]Sheet1!$K$2:$K$229,D84)&gt;0,"","NO")</f>
        <v>NO</v>
      </c>
      <c r="H84" t="str">
        <f>IF(COUNTIF([1]Index!$H$2:$H$187,D84)&gt;0,"","NO")</f>
        <v>NO</v>
      </c>
      <c r="I84" t="str">
        <f>IF(COUNTIF(CcliTop100Usa!$D$2:$D$101,D84)&gt;0,"","NO")</f>
        <v>NO</v>
      </c>
      <c r="J84" t="str">
        <f>IF(COUNTIF(CcliTop100Uk!$D$2:$D$101,D84)&gt;0,"","NO")</f>
        <v>NO</v>
      </c>
    </row>
    <row r="85" spans="1:10" x14ac:dyDescent="0.25">
      <c r="A85">
        <v>84</v>
      </c>
      <c r="B85" t="s">
        <v>152</v>
      </c>
      <c r="C85" t="s">
        <v>258</v>
      </c>
      <c r="D85">
        <v>7017790</v>
      </c>
      <c r="E85">
        <v>2014</v>
      </c>
      <c r="F85" t="s">
        <v>466</v>
      </c>
      <c r="G85" t="str">
        <f>IF(COUNTIF([2]Sheet1!$K$2:$K$229,D85)&gt;0,"","NO")</f>
        <v/>
      </c>
      <c r="H85" t="str">
        <f>IF(COUNTIF([1]Index!$H$2:$H$187,D85)&gt;0,"","NO")</f>
        <v>NO</v>
      </c>
      <c r="I85" t="str">
        <f>IF(COUNTIF(CcliTop100Usa!$D$2:$D$101,D85)&gt;0,"","NO")</f>
        <v>NO</v>
      </c>
      <c r="J85" t="str">
        <f>IF(COUNTIF(CcliTop100Uk!$D$2:$D$101,D85)&gt;0,"","NO")</f>
        <v>NO</v>
      </c>
    </row>
    <row r="86" spans="1:10" x14ac:dyDescent="0.25">
      <c r="A86">
        <v>85</v>
      </c>
      <c r="B86" t="s">
        <v>153</v>
      </c>
      <c r="C86" t="s">
        <v>259</v>
      </c>
      <c r="D86">
        <v>7016161</v>
      </c>
      <c r="E86">
        <v>2013</v>
      </c>
      <c r="F86" t="s">
        <v>466</v>
      </c>
      <c r="G86" t="str">
        <f>IF(COUNTIF([2]Sheet1!$K$2:$K$229,D86)&gt;0,"","NO")</f>
        <v>NO</v>
      </c>
      <c r="H86" t="str">
        <f>IF(COUNTIF([1]Index!$H$2:$H$187,D86)&gt;0,"","NO")</f>
        <v>NO</v>
      </c>
      <c r="I86" t="str">
        <f>IF(COUNTIF(CcliTop100Usa!$D$2:$D$101,D86)&gt;0,"","NO")</f>
        <v/>
      </c>
      <c r="J86" t="str">
        <f>IF(COUNTIF(CcliTop100Uk!$D$2:$D$101,D86)&gt;0,"","NO")</f>
        <v/>
      </c>
    </row>
    <row r="87" spans="1:10" x14ac:dyDescent="0.25">
      <c r="A87">
        <v>86</v>
      </c>
      <c r="B87" t="s">
        <v>155</v>
      </c>
      <c r="C87" t="s">
        <v>260</v>
      </c>
      <c r="D87">
        <v>5508444</v>
      </c>
      <c r="E87">
        <v>2010</v>
      </c>
      <c r="F87" t="s">
        <v>466</v>
      </c>
      <c r="G87" t="str">
        <f>IF(COUNTIF([2]Sheet1!$K$2:$K$229,D87)&gt;0,"","NO")</f>
        <v/>
      </c>
      <c r="H87" t="str">
        <f>IF(COUNTIF([1]Index!$H$2:$H$187,D87)&gt;0,"","NO")</f>
        <v/>
      </c>
      <c r="I87" t="str">
        <f>IF(COUNTIF(CcliTop100Usa!$D$2:$D$101,D87)&gt;0,"","NO")</f>
        <v/>
      </c>
      <c r="J87" t="str">
        <f>IF(COUNTIF(CcliTop100Uk!$D$2:$D$101,D87)&gt;0,"","NO")</f>
        <v/>
      </c>
    </row>
    <row r="88" spans="1:10" x14ac:dyDescent="0.25">
      <c r="A88">
        <v>87</v>
      </c>
      <c r="B88" t="s">
        <v>157</v>
      </c>
      <c r="C88" t="s">
        <v>261</v>
      </c>
      <c r="D88">
        <v>4705248</v>
      </c>
      <c r="E88">
        <v>2005</v>
      </c>
      <c r="F88" t="s">
        <v>466</v>
      </c>
      <c r="G88" t="str">
        <f>IF(COUNTIF([2]Sheet1!$K$2:$K$229,D88)&gt;0,"","NO")</f>
        <v/>
      </c>
      <c r="H88" t="str">
        <f>IF(COUNTIF([1]Index!$H$2:$H$187,D88)&gt;0,"","NO")</f>
        <v/>
      </c>
      <c r="I88" t="str">
        <f>IF(COUNTIF(CcliTop100Usa!$D$2:$D$101,D88)&gt;0,"","NO")</f>
        <v/>
      </c>
      <c r="J88" t="str">
        <f>IF(COUNTIF(CcliTop100Uk!$D$2:$D$101,D88)&gt;0,"","NO")</f>
        <v>NO</v>
      </c>
    </row>
    <row r="89" spans="1:10" x14ac:dyDescent="0.25">
      <c r="A89">
        <v>88</v>
      </c>
      <c r="B89" t="s">
        <v>159</v>
      </c>
      <c r="C89" t="s">
        <v>262</v>
      </c>
      <c r="D89">
        <v>7021972</v>
      </c>
      <c r="E89">
        <v>2013</v>
      </c>
      <c r="F89" t="s">
        <v>466</v>
      </c>
      <c r="G89" t="str">
        <f>IF(COUNTIF([2]Sheet1!$K$2:$K$229,D89)&gt;0,"","NO")</f>
        <v/>
      </c>
      <c r="H89" t="str">
        <f>IF(COUNTIF([1]Index!$H$2:$H$187,D89)&gt;0,"","NO")</f>
        <v/>
      </c>
      <c r="I89" t="str">
        <f>IF(COUNTIF(CcliTop100Usa!$D$2:$D$101,D89)&gt;0,"","NO")</f>
        <v/>
      </c>
      <c r="J89" t="str">
        <f>IF(COUNTIF(CcliTop100Uk!$D$2:$D$101,D89)&gt;0,"","NO")</f>
        <v>NO</v>
      </c>
    </row>
    <row r="90" spans="1:10" x14ac:dyDescent="0.25">
      <c r="A90">
        <v>89</v>
      </c>
      <c r="B90" t="s">
        <v>161</v>
      </c>
      <c r="C90" t="s">
        <v>263</v>
      </c>
      <c r="D90">
        <v>7017786</v>
      </c>
      <c r="E90">
        <v>2014</v>
      </c>
      <c r="F90" t="s">
        <v>466</v>
      </c>
      <c r="G90" t="str">
        <f>IF(COUNTIF([2]Sheet1!$K$2:$K$229,D90)&gt;0,"","NO")</f>
        <v/>
      </c>
      <c r="H90" t="str">
        <f>IF(COUNTIF([1]Index!$H$2:$H$187,D90)&gt;0,"","NO")</f>
        <v/>
      </c>
      <c r="I90" t="str">
        <f>IF(COUNTIF(CcliTop100Usa!$D$2:$D$101,D90)&gt;0,"","NO")</f>
        <v/>
      </c>
      <c r="J90" t="str">
        <f>IF(COUNTIF(CcliTop100Uk!$D$2:$D$101,D90)&gt;0,"","NO")</f>
        <v>NO</v>
      </c>
    </row>
    <row r="91" spans="1:10" x14ac:dyDescent="0.25">
      <c r="A91">
        <v>90</v>
      </c>
      <c r="B91" t="s">
        <v>163</v>
      </c>
      <c r="C91" t="s">
        <v>264</v>
      </c>
      <c r="D91">
        <v>2177476</v>
      </c>
      <c r="E91">
        <v>1998</v>
      </c>
      <c r="F91" t="s">
        <v>466</v>
      </c>
      <c r="G91" t="str">
        <f>IF(COUNTIF([2]Sheet1!$K$2:$K$229,D91)&gt;0,"","NO")</f>
        <v>NO</v>
      </c>
      <c r="H91" t="str">
        <f>IF(COUNTIF([1]Index!$H$2:$H$187,D91)&gt;0,"","NO")</f>
        <v>NO</v>
      </c>
      <c r="I91" t="str">
        <f>IF(COUNTIF(CcliTop100Usa!$D$2:$D$101,D91)&gt;0,"","NO")</f>
        <v>NO</v>
      </c>
      <c r="J91" t="str">
        <f>IF(COUNTIF(CcliTop100Uk!$D$2:$D$101,D91)&gt;0,"","NO")</f>
        <v>NO</v>
      </c>
    </row>
    <row r="92" spans="1:10" x14ac:dyDescent="0.25">
      <c r="A92">
        <v>91</v>
      </c>
      <c r="B92" t="s">
        <v>164</v>
      </c>
      <c r="C92" t="s">
        <v>265</v>
      </c>
      <c r="D92">
        <v>2306412</v>
      </c>
      <c r="E92">
        <v>1997</v>
      </c>
      <c r="F92" t="s">
        <v>466</v>
      </c>
      <c r="G92" t="str">
        <f>IF(COUNTIF([2]Sheet1!$K$2:$K$229,D92)&gt;0,"","NO")</f>
        <v/>
      </c>
      <c r="H92" t="str">
        <f>IF(COUNTIF([1]Index!$H$2:$H$187,D92)&gt;0,"","NO")</f>
        <v/>
      </c>
      <c r="I92" t="str">
        <f>IF(COUNTIF(CcliTop100Usa!$D$2:$D$101,D92)&gt;0,"","NO")</f>
        <v/>
      </c>
      <c r="J92" t="str">
        <f>IF(COUNTIF(CcliTop100Uk!$D$2:$D$101,D92)&gt;0,"","NO")</f>
        <v/>
      </c>
    </row>
    <row r="93" spans="1:10" x14ac:dyDescent="0.25">
      <c r="A93">
        <v>92</v>
      </c>
      <c r="B93" t="s">
        <v>166</v>
      </c>
      <c r="C93" t="s">
        <v>266</v>
      </c>
      <c r="D93">
        <v>5638022</v>
      </c>
      <c r="E93">
        <v>2009</v>
      </c>
      <c r="F93" t="s">
        <v>466</v>
      </c>
      <c r="G93" t="str">
        <f>IF(COUNTIF([2]Sheet1!$K$2:$K$229,D93)&gt;0,"","NO")</f>
        <v/>
      </c>
      <c r="H93" t="str">
        <f>IF(COUNTIF([1]Index!$H$2:$H$187,D93)&gt;0,"","NO")</f>
        <v/>
      </c>
      <c r="I93" t="str">
        <f>IF(COUNTIF(CcliTop100Usa!$D$2:$D$101,D93)&gt;0,"","NO")</f>
        <v/>
      </c>
      <c r="J93" t="str">
        <f>IF(COUNTIF(CcliTop100Uk!$D$2:$D$101,D93)&gt;0,"","NO")</f>
        <v>NO</v>
      </c>
    </row>
    <row r="94" spans="1:10" x14ac:dyDescent="0.25">
      <c r="A94">
        <v>93</v>
      </c>
      <c r="B94" t="s">
        <v>168</v>
      </c>
      <c r="C94" t="s">
        <v>267</v>
      </c>
      <c r="D94">
        <v>5925649</v>
      </c>
      <c r="E94">
        <v>2011</v>
      </c>
      <c r="F94" t="s">
        <v>466</v>
      </c>
      <c r="G94" t="str">
        <f>IF(COUNTIF([2]Sheet1!$K$2:$K$229,D94)&gt;0,"","NO")</f>
        <v/>
      </c>
      <c r="H94" t="str">
        <f>IF(COUNTIF([1]Index!$H$2:$H$187,D94)&gt;0,"","NO")</f>
        <v/>
      </c>
      <c r="I94" t="str">
        <f>IF(COUNTIF(CcliTop100Usa!$D$2:$D$101,D94)&gt;0,"","NO")</f>
        <v>NO</v>
      </c>
      <c r="J94" t="str">
        <f>IF(COUNTIF(CcliTop100Uk!$D$2:$D$101,D94)&gt;0,"","NO")</f>
        <v/>
      </c>
    </row>
    <row r="95" spans="1:10" x14ac:dyDescent="0.25">
      <c r="A95">
        <v>94</v>
      </c>
      <c r="B95" t="s">
        <v>170</v>
      </c>
      <c r="C95" t="s">
        <v>268</v>
      </c>
      <c r="D95">
        <v>6440288</v>
      </c>
      <c r="E95">
        <v>2012</v>
      </c>
      <c r="F95" t="s">
        <v>466</v>
      </c>
      <c r="G95" t="str">
        <f>IF(COUNTIF([2]Sheet1!$K$2:$K$229,D95)&gt;0,"","NO")</f>
        <v/>
      </c>
      <c r="H95" t="str">
        <f>IF(COUNTIF([1]Index!$H$2:$H$187,D95)&gt;0,"","NO")</f>
        <v/>
      </c>
      <c r="I95" t="str">
        <f>IF(COUNTIF(CcliTop100Usa!$D$2:$D$101,D95)&gt;0,"","NO")</f>
        <v>NO</v>
      </c>
      <c r="J95" t="str">
        <f>IF(COUNTIF(CcliTop100Uk!$D$2:$D$101,D95)&gt;0,"","NO")</f>
        <v>NO</v>
      </c>
    </row>
    <row r="96" spans="1:10" x14ac:dyDescent="0.25">
      <c r="A96">
        <v>95</v>
      </c>
      <c r="B96" t="s">
        <v>171</v>
      </c>
      <c r="C96" t="s">
        <v>269</v>
      </c>
      <c r="D96">
        <v>2489542</v>
      </c>
      <c r="E96">
        <v>1998</v>
      </c>
      <c r="F96" t="s">
        <v>466</v>
      </c>
      <c r="G96" t="str">
        <f>IF(COUNTIF([2]Sheet1!$K$2:$K$229,D96)&gt;0,"","NO")</f>
        <v>NO</v>
      </c>
      <c r="H96" t="str">
        <f>IF(COUNTIF([1]Index!$H$2:$H$187,D96)&gt;0,"","NO")</f>
        <v>NO</v>
      </c>
      <c r="I96" t="str">
        <f>IF(COUNTIF(CcliTop100Usa!$D$2:$D$101,D96)&gt;0,"","NO")</f>
        <v>NO</v>
      </c>
      <c r="J96" t="str">
        <f>IF(COUNTIF(CcliTop100Uk!$D$2:$D$101,D96)&gt;0,"","NO")</f>
        <v>NO</v>
      </c>
    </row>
    <row r="97" spans="1:10" x14ac:dyDescent="0.25">
      <c r="A97">
        <v>96</v>
      </c>
      <c r="B97" t="s">
        <v>172</v>
      </c>
      <c r="C97" t="s">
        <v>270</v>
      </c>
      <c r="D97">
        <v>4674207</v>
      </c>
      <c r="E97">
        <v>2006</v>
      </c>
      <c r="F97" t="s">
        <v>466</v>
      </c>
      <c r="G97" t="str">
        <f>IF(COUNTIF([2]Sheet1!$K$2:$K$229,D97)&gt;0,"","NO")</f>
        <v>NO</v>
      </c>
      <c r="H97" t="str">
        <f>IF(COUNTIF([1]Index!$H$2:$H$187,D97)&gt;0,"","NO")</f>
        <v>NO</v>
      </c>
      <c r="I97" t="str">
        <f>IF(COUNTIF(CcliTop100Usa!$D$2:$D$101,D97)&gt;0,"","NO")</f>
        <v>NO</v>
      </c>
      <c r="J97" t="str">
        <f>IF(COUNTIF(CcliTop100Uk!$D$2:$D$101,D97)&gt;0,"","NO")</f>
        <v/>
      </c>
    </row>
    <row r="98" spans="1:10" x14ac:dyDescent="0.25">
      <c r="A98">
        <v>97</v>
      </c>
      <c r="B98" t="s">
        <v>174</v>
      </c>
      <c r="C98" t="s">
        <v>192</v>
      </c>
      <c r="D98">
        <v>4615235</v>
      </c>
      <c r="E98">
        <v>2005</v>
      </c>
      <c r="F98" t="s">
        <v>466</v>
      </c>
      <c r="G98" t="str">
        <f>IF(COUNTIF([2]Sheet1!$K$2:$K$229,D98)&gt;0,"","NO")</f>
        <v>NO</v>
      </c>
      <c r="H98" t="str">
        <f>IF(COUNTIF([1]Index!$H$2:$H$187,D98)&gt;0,"","NO")</f>
        <v>NO</v>
      </c>
      <c r="I98" t="str">
        <f>IF(COUNTIF(CcliTop100Usa!$D$2:$D$101,D98)&gt;0,"","NO")</f>
        <v>NO</v>
      </c>
      <c r="J98" t="str">
        <f>IF(COUNTIF(CcliTop100Uk!$D$2:$D$101,D98)&gt;0,"","NO")</f>
        <v/>
      </c>
    </row>
    <row r="99" spans="1:10" x14ac:dyDescent="0.25">
      <c r="A99">
        <v>98</v>
      </c>
      <c r="B99" t="s">
        <v>175</v>
      </c>
      <c r="C99" t="s">
        <v>271</v>
      </c>
      <c r="D99">
        <v>7065049</v>
      </c>
      <c r="E99">
        <v>2016</v>
      </c>
      <c r="F99" t="s">
        <v>466</v>
      </c>
      <c r="G99" t="str">
        <f>IF(COUNTIF([2]Sheet1!$K$2:$K$229,D99)&gt;0,"","NO")</f>
        <v/>
      </c>
      <c r="H99" t="str">
        <f>IF(COUNTIF([1]Index!$H$2:$H$187,D99)&gt;0,"","NO")</f>
        <v/>
      </c>
      <c r="I99" t="str">
        <f>IF(COUNTIF(CcliTop100Usa!$D$2:$D$101,D99)&gt;0,"","NO")</f>
        <v/>
      </c>
      <c r="J99" t="str">
        <f>IF(COUNTIF(CcliTop100Uk!$D$2:$D$101,D99)&gt;0,"","NO")</f>
        <v/>
      </c>
    </row>
    <row r="100" spans="1:10" x14ac:dyDescent="0.25">
      <c r="A100">
        <v>99</v>
      </c>
      <c r="B100" t="s">
        <v>177</v>
      </c>
      <c r="C100" t="s">
        <v>272</v>
      </c>
      <c r="D100">
        <v>7111925</v>
      </c>
      <c r="E100">
        <v>2018</v>
      </c>
      <c r="F100" t="s">
        <v>466</v>
      </c>
      <c r="G100" t="str">
        <f>IF(COUNTIF([2]Sheet1!$K$2:$K$229,D100)&gt;0,"","NO")</f>
        <v>NO</v>
      </c>
      <c r="H100" t="str">
        <f>IF(COUNTIF([1]Index!$H$2:$H$187,D100)&gt;0,"","NO")</f>
        <v/>
      </c>
      <c r="I100" t="str">
        <f>IF(COUNTIF(CcliTop100Usa!$D$2:$D$101,D100)&gt;0,"","NO")</f>
        <v/>
      </c>
      <c r="J100" t="str">
        <f>IF(COUNTIF(CcliTop100Uk!$D$2:$D$101,D100)&gt;0,"","NO")</f>
        <v>NO</v>
      </c>
    </row>
    <row r="101" spans="1:10" x14ac:dyDescent="0.25">
      <c r="A101">
        <v>100</v>
      </c>
      <c r="B101" t="s">
        <v>179</v>
      </c>
      <c r="C101" t="s">
        <v>273</v>
      </c>
      <c r="D101">
        <v>7100964</v>
      </c>
      <c r="E101">
        <v>2017</v>
      </c>
      <c r="F101" t="s">
        <v>466</v>
      </c>
      <c r="G101" t="str">
        <f>IF(COUNTIF([2]Sheet1!$K$2:$K$229,D101)&gt;0,"","NO")</f>
        <v>NO</v>
      </c>
      <c r="H101" t="str">
        <f>IF(COUNTIF([1]Index!$H$2:$H$187,D101)&gt;0,"","NO")</f>
        <v>NO</v>
      </c>
      <c r="I101" t="str">
        <f>IF(COUNTIF(CcliTop100Usa!$D$2:$D$101,D101)&gt;0,"","NO")</f>
        <v>NO</v>
      </c>
      <c r="J101" t="str">
        <f>IF(COUNTIF(CcliTop100Uk!$D$2:$D$101,D101)&gt;0,"","NO")</f>
        <v>NO</v>
      </c>
    </row>
    <row r="102" spans="1:10" x14ac:dyDescent="0.25">
      <c r="E102">
        <f>COUNTBLANK(E2:E101)</f>
        <v>0</v>
      </c>
      <c r="G102">
        <f>COUNTIF(G2:G101, "NO")</f>
        <v>30</v>
      </c>
      <c r="H102">
        <f>COUNTIF(H2:H101, "NO")</f>
        <v>34</v>
      </c>
      <c r="I102">
        <f>COUNTIF(I2:I101, "NO")</f>
        <v>23</v>
      </c>
      <c r="J102">
        <f>COUNTIF(J2:J101, "NO")</f>
        <v>39</v>
      </c>
    </row>
  </sheetData>
  <autoFilter ref="A1:J102" xr:uid="{27B6BDA8-37A9-4E56-966E-D265C1CD5C7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3717-A08F-4A56-9F66-6EE309A0CEF2}">
  <sheetPr filterMode="1"/>
  <dimension ref="A1:G103"/>
  <sheetViews>
    <sheetView workbookViewId="0">
      <pane ySplit="39" topLeftCell="A40" activePane="bottomLeft" state="frozen"/>
      <selection pane="bottomLeft"/>
    </sheetView>
  </sheetViews>
  <sheetFormatPr defaultRowHeight="15" x14ac:dyDescent="0.25"/>
  <cols>
    <col min="2" max="2" width="39.7109375" bestFit="1" customWidth="1"/>
    <col min="3" max="3" width="13.28515625" customWidth="1"/>
  </cols>
  <sheetData>
    <row r="1" spans="1:7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</row>
    <row r="2" spans="1:7" hidden="1" x14ac:dyDescent="0.25">
      <c r="A2">
        <v>1</v>
      </c>
      <c r="B2" t="s">
        <v>0</v>
      </c>
      <c r="C2" t="s">
        <v>1</v>
      </c>
      <c r="D2" s="2">
        <v>7115744</v>
      </c>
      <c r="F2" t="s">
        <v>464</v>
      </c>
      <c r="G2" t="str">
        <f>IF(COUNTIF(CcliTop100Canada!$D$2:$D$101,D2)&gt;0,"","NO")</f>
        <v/>
      </c>
    </row>
    <row r="3" spans="1:7" hidden="1" x14ac:dyDescent="0.25">
      <c r="A3">
        <v>2</v>
      </c>
      <c r="B3" t="s">
        <v>4</v>
      </c>
      <c r="C3" t="s">
        <v>5</v>
      </c>
      <c r="D3">
        <v>7070345</v>
      </c>
      <c r="F3" t="s">
        <v>464</v>
      </c>
      <c r="G3" t="str">
        <f>IF(COUNTIF(CcliTop100Canada!$D$2:$D$101,D3)&gt;0,"","NO")</f>
        <v/>
      </c>
    </row>
    <row r="4" spans="1:7" hidden="1" x14ac:dyDescent="0.25">
      <c r="A4">
        <v>3</v>
      </c>
      <c r="B4" t="s">
        <v>2</v>
      </c>
      <c r="C4" t="s">
        <v>3</v>
      </c>
      <c r="D4">
        <v>7106807</v>
      </c>
      <c r="F4" t="s">
        <v>464</v>
      </c>
      <c r="G4" t="str">
        <f>IF(COUNTIF(CcliTop100Canada!$D$2:$D$101,D4)&gt;0,"","NO")</f>
        <v/>
      </c>
    </row>
    <row r="5" spans="1:7" hidden="1" x14ac:dyDescent="0.25">
      <c r="A5">
        <v>4</v>
      </c>
      <c r="B5" t="s">
        <v>10</v>
      </c>
      <c r="C5" t="s">
        <v>11</v>
      </c>
      <c r="D5">
        <v>7102401</v>
      </c>
      <c r="F5" t="s">
        <v>464</v>
      </c>
      <c r="G5" t="str">
        <f>IF(COUNTIF(CcliTop100Canada!$D$2:$D$101,D5)&gt;0,"","NO")</f>
        <v/>
      </c>
    </row>
    <row r="6" spans="1:7" hidden="1" x14ac:dyDescent="0.25">
      <c r="A6">
        <v>5</v>
      </c>
      <c r="B6" t="s">
        <v>6</v>
      </c>
      <c r="C6" t="s">
        <v>7</v>
      </c>
      <c r="D6">
        <v>7068424</v>
      </c>
      <c r="F6" t="s">
        <v>464</v>
      </c>
      <c r="G6" t="str">
        <f>IF(COUNTIF(CcliTop100Canada!$D$2:$D$101,D6)&gt;0,"","NO")</f>
        <v/>
      </c>
    </row>
    <row r="7" spans="1:7" hidden="1" x14ac:dyDescent="0.25">
      <c r="A7">
        <v>6</v>
      </c>
      <c r="B7" t="s">
        <v>30</v>
      </c>
      <c r="C7" t="s">
        <v>31</v>
      </c>
      <c r="D7">
        <v>7119315</v>
      </c>
      <c r="F7" t="s">
        <v>464</v>
      </c>
      <c r="G7" t="str">
        <f>IF(COUNTIF(CcliTop100Canada!$D$2:$D$101,D7)&gt;0,"","NO")</f>
        <v/>
      </c>
    </row>
    <row r="8" spans="1:7" hidden="1" x14ac:dyDescent="0.25">
      <c r="A8">
        <v>7</v>
      </c>
      <c r="B8" t="s">
        <v>12</v>
      </c>
      <c r="C8" t="s">
        <v>13</v>
      </c>
      <c r="D8">
        <v>6460220</v>
      </c>
      <c r="F8" t="s">
        <v>464</v>
      </c>
      <c r="G8" t="str">
        <f>IF(COUNTIF(CcliTop100Canada!$D$2:$D$101,D8)&gt;0,"","NO")</f>
        <v/>
      </c>
    </row>
    <row r="9" spans="1:7" hidden="1" x14ac:dyDescent="0.25">
      <c r="A9">
        <v>8</v>
      </c>
      <c r="B9" t="s">
        <v>18</v>
      </c>
      <c r="C9" t="s">
        <v>19</v>
      </c>
      <c r="D9">
        <v>7117726</v>
      </c>
      <c r="F9" t="s">
        <v>464</v>
      </c>
      <c r="G9" t="str">
        <f>IF(COUNTIF(CcliTop100Canada!$D$2:$D$101,D9)&gt;0,"","NO")</f>
        <v/>
      </c>
    </row>
    <row r="10" spans="1:7" hidden="1" x14ac:dyDescent="0.25">
      <c r="A10">
        <v>9</v>
      </c>
      <c r="B10" t="s">
        <v>14</v>
      </c>
      <c r="C10" t="s">
        <v>15</v>
      </c>
      <c r="D10">
        <v>6333821</v>
      </c>
      <c r="F10" t="s">
        <v>464</v>
      </c>
      <c r="G10" t="str">
        <f>IF(COUNTIF(CcliTop100Canada!$D$2:$D$101,D10)&gt;0,"","NO")</f>
        <v/>
      </c>
    </row>
    <row r="11" spans="1:7" hidden="1" x14ac:dyDescent="0.25">
      <c r="A11">
        <v>10</v>
      </c>
      <c r="B11" t="s">
        <v>8</v>
      </c>
      <c r="C11" t="s">
        <v>9</v>
      </c>
      <c r="D11">
        <v>6016351</v>
      </c>
      <c r="F11" t="s">
        <v>464</v>
      </c>
      <c r="G11" t="str">
        <f>IF(COUNTIF(CcliTop100Canada!$D$2:$D$101,D11)&gt;0,"","NO")</f>
        <v/>
      </c>
    </row>
    <row r="12" spans="1:7" hidden="1" x14ac:dyDescent="0.25">
      <c r="A12">
        <v>11</v>
      </c>
      <c r="B12" t="s">
        <v>38</v>
      </c>
      <c r="C12" t="s">
        <v>39</v>
      </c>
      <c r="D12">
        <v>7147007</v>
      </c>
      <c r="F12" t="s">
        <v>464</v>
      </c>
      <c r="G12" t="str">
        <f>IF(COUNTIF(CcliTop100Canada!$D$2:$D$101,D12)&gt;0,"","NO")</f>
        <v/>
      </c>
    </row>
    <row r="13" spans="1:7" hidden="1" x14ac:dyDescent="0.25">
      <c r="A13">
        <v>12</v>
      </c>
      <c r="B13" t="s">
        <v>44</v>
      </c>
      <c r="C13" t="s">
        <v>45</v>
      </c>
      <c r="D13">
        <v>7081388</v>
      </c>
      <c r="F13" t="s">
        <v>464</v>
      </c>
      <c r="G13" t="str">
        <f>IF(COUNTIF(CcliTop100Canada!$D$2:$D$101,D13)&gt;0,"","NO")</f>
        <v/>
      </c>
    </row>
    <row r="14" spans="1:7" hidden="1" x14ac:dyDescent="0.25">
      <c r="A14">
        <v>13</v>
      </c>
      <c r="B14" t="s">
        <v>93</v>
      </c>
      <c r="C14" t="s">
        <v>94</v>
      </c>
      <c r="D14">
        <v>7138219</v>
      </c>
      <c r="F14" t="s">
        <v>464</v>
      </c>
      <c r="G14" t="str">
        <f>IF(COUNTIF(CcliTop100Canada!$D$2:$D$101,D14)&gt;0,"","NO")</f>
        <v/>
      </c>
    </row>
    <row r="15" spans="1:7" hidden="1" x14ac:dyDescent="0.25">
      <c r="A15">
        <v>14</v>
      </c>
      <c r="B15" t="s">
        <v>26</v>
      </c>
      <c r="C15" t="s">
        <v>27</v>
      </c>
      <c r="D15">
        <v>7127647</v>
      </c>
      <c r="F15" t="s">
        <v>464</v>
      </c>
      <c r="G15" t="str">
        <f>IF(COUNTIF(CcliTop100Canada!$D$2:$D$101,D15)&gt;0,"","NO")</f>
        <v/>
      </c>
    </row>
    <row r="16" spans="1:7" hidden="1" x14ac:dyDescent="0.25">
      <c r="A16">
        <v>15</v>
      </c>
      <c r="B16" t="s">
        <v>24</v>
      </c>
      <c r="C16" t="s">
        <v>25</v>
      </c>
      <c r="D16">
        <v>3350395</v>
      </c>
      <c r="F16" t="s">
        <v>464</v>
      </c>
      <c r="G16" t="str">
        <f>IF(COUNTIF(CcliTop100Canada!$D$2:$D$101,D16)&gt;0,"","NO")</f>
        <v/>
      </c>
    </row>
    <row r="17" spans="1:7" hidden="1" x14ac:dyDescent="0.25">
      <c r="A17">
        <v>16</v>
      </c>
      <c r="B17" t="s">
        <v>16</v>
      </c>
      <c r="C17" t="s">
        <v>17</v>
      </c>
      <c r="D17">
        <v>5925687</v>
      </c>
      <c r="F17" t="s">
        <v>464</v>
      </c>
      <c r="G17" t="str">
        <f>IF(COUNTIF(CcliTop100Canada!$D$2:$D$101,D17)&gt;0,"","NO")</f>
        <v/>
      </c>
    </row>
    <row r="18" spans="1:7" hidden="1" x14ac:dyDescent="0.25">
      <c r="A18">
        <v>17</v>
      </c>
      <c r="B18" t="s">
        <v>67</v>
      </c>
      <c r="C18" t="s">
        <v>68</v>
      </c>
      <c r="D18">
        <v>7089641</v>
      </c>
      <c r="F18" t="s">
        <v>464</v>
      </c>
      <c r="G18" t="str">
        <f>IF(COUNTIF(CcliTop100Canada!$D$2:$D$101,D18)&gt;0,"","NO")</f>
        <v/>
      </c>
    </row>
    <row r="19" spans="1:7" hidden="1" x14ac:dyDescent="0.25">
      <c r="A19">
        <v>18</v>
      </c>
      <c r="B19" t="s">
        <v>28</v>
      </c>
      <c r="C19" t="s">
        <v>29</v>
      </c>
      <c r="D19">
        <v>4348399</v>
      </c>
      <c r="F19" t="s">
        <v>464</v>
      </c>
      <c r="G19" t="str">
        <f>IF(COUNTIF(CcliTop100Canada!$D$2:$D$101,D19)&gt;0,"","NO")</f>
        <v/>
      </c>
    </row>
    <row r="20" spans="1:7" hidden="1" x14ac:dyDescent="0.25">
      <c r="A20">
        <v>19</v>
      </c>
      <c r="B20" t="s">
        <v>20</v>
      </c>
      <c r="C20" t="s">
        <v>21</v>
      </c>
      <c r="D20">
        <v>6158927</v>
      </c>
      <c r="F20" t="s">
        <v>464</v>
      </c>
      <c r="G20" t="str">
        <f>IF(COUNTIF(CcliTop100Canada!$D$2:$D$101,D20)&gt;0,"","NO")</f>
        <v/>
      </c>
    </row>
    <row r="21" spans="1:7" hidden="1" x14ac:dyDescent="0.25">
      <c r="A21">
        <v>20</v>
      </c>
      <c r="B21" t="s">
        <v>22</v>
      </c>
      <c r="C21" t="s">
        <v>23</v>
      </c>
      <c r="D21">
        <v>7036612</v>
      </c>
      <c r="F21" t="s">
        <v>464</v>
      </c>
      <c r="G21" t="str">
        <f>IF(COUNTIF(CcliTop100Canada!$D$2:$D$101,D21)&gt;0,"","NO")</f>
        <v/>
      </c>
    </row>
    <row r="22" spans="1:7" hidden="1" x14ac:dyDescent="0.25">
      <c r="A22">
        <v>21</v>
      </c>
      <c r="B22" t="s">
        <v>53</v>
      </c>
      <c r="C22" t="s">
        <v>54</v>
      </c>
      <c r="D22">
        <v>7111321</v>
      </c>
      <c r="F22" t="s">
        <v>464</v>
      </c>
      <c r="G22" t="str">
        <f>IF(COUNTIF(CcliTop100Canada!$D$2:$D$101,D22)&gt;0,"","NO")</f>
        <v/>
      </c>
    </row>
    <row r="23" spans="1:7" hidden="1" x14ac:dyDescent="0.25">
      <c r="A23">
        <v>22</v>
      </c>
      <c r="B23" t="s">
        <v>50</v>
      </c>
      <c r="C23" t="s">
        <v>51</v>
      </c>
      <c r="D23">
        <v>7038281</v>
      </c>
      <c r="F23" t="s">
        <v>464</v>
      </c>
      <c r="G23" t="str">
        <f>IF(COUNTIF(CcliTop100Canada!$D$2:$D$101,D23)&gt;0,"","NO")</f>
        <v/>
      </c>
    </row>
    <row r="24" spans="1:7" hidden="1" x14ac:dyDescent="0.25">
      <c r="A24">
        <v>23</v>
      </c>
      <c r="B24" t="s">
        <v>34</v>
      </c>
      <c r="C24" t="s">
        <v>35</v>
      </c>
      <c r="D24">
        <v>7037787</v>
      </c>
      <c r="F24" t="s">
        <v>464</v>
      </c>
      <c r="G24" t="str">
        <f>IF(COUNTIF(CcliTop100Canada!$D$2:$D$101,D24)&gt;0,"","NO")</f>
        <v/>
      </c>
    </row>
    <row r="25" spans="1:7" hidden="1" x14ac:dyDescent="0.25">
      <c r="A25">
        <v>24</v>
      </c>
      <c r="B25" t="s">
        <v>104</v>
      </c>
      <c r="C25" t="s">
        <v>105</v>
      </c>
      <c r="D25">
        <v>7129060</v>
      </c>
      <c r="F25" t="s">
        <v>464</v>
      </c>
      <c r="G25" t="str">
        <f>IF(COUNTIF(CcliTop100Canada!$D$2:$D$101,D25)&gt;0,"","NO")</f>
        <v/>
      </c>
    </row>
    <row r="26" spans="1:7" hidden="1" x14ac:dyDescent="0.25">
      <c r="A26">
        <v>25</v>
      </c>
      <c r="B26" t="s">
        <v>59</v>
      </c>
      <c r="C26" t="s">
        <v>60</v>
      </c>
      <c r="D26">
        <v>7051511</v>
      </c>
      <c r="F26" t="s">
        <v>464</v>
      </c>
      <c r="G26" t="str">
        <f>IF(COUNTIF(CcliTop100Canada!$D$2:$D$101,D26)&gt;0,"","NO")</f>
        <v/>
      </c>
    </row>
    <row r="27" spans="1:7" hidden="1" x14ac:dyDescent="0.25">
      <c r="A27">
        <v>26</v>
      </c>
      <c r="B27" t="s">
        <v>48</v>
      </c>
      <c r="C27" t="s">
        <v>49</v>
      </c>
      <c r="D27">
        <v>6087919</v>
      </c>
      <c r="F27" t="s">
        <v>464</v>
      </c>
      <c r="G27" t="str">
        <f>IF(COUNTIF(CcliTop100Canada!$D$2:$D$101,D27)&gt;0,"","NO")</f>
        <v/>
      </c>
    </row>
    <row r="28" spans="1:7" hidden="1" x14ac:dyDescent="0.25">
      <c r="A28">
        <v>27</v>
      </c>
      <c r="B28" t="s">
        <v>55</v>
      </c>
      <c r="C28" t="s">
        <v>56</v>
      </c>
      <c r="D28">
        <v>7046145</v>
      </c>
      <c r="F28" t="s">
        <v>464</v>
      </c>
      <c r="G28" t="str">
        <f>IF(COUNTIF(CcliTop100Canada!$D$2:$D$101,D28)&gt;0,"","NO")</f>
        <v/>
      </c>
    </row>
    <row r="29" spans="1:7" hidden="1" x14ac:dyDescent="0.25">
      <c r="A29">
        <v>28</v>
      </c>
      <c r="B29" t="s">
        <v>46</v>
      </c>
      <c r="C29" t="s">
        <v>47</v>
      </c>
      <c r="D29">
        <v>4768151</v>
      </c>
      <c r="F29" t="s">
        <v>464</v>
      </c>
      <c r="G29" t="str">
        <f>IF(COUNTIF(CcliTop100Canada!$D$2:$D$101,D29)&gt;0,"","NO")</f>
        <v/>
      </c>
    </row>
    <row r="30" spans="1:7" hidden="1" x14ac:dyDescent="0.25">
      <c r="A30">
        <v>29</v>
      </c>
      <c r="B30" t="s">
        <v>65</v>
      </c>
      <c r="C30" t="s">
        <v>66</v>
      </c>
      <c r="D30">
        <v>7105442</v>
      </c>
      <c r="F30" t="s">
        <v>464</v>
      </c>
      <c r="G30" t="str">
        <f>IF(COUNTIF(CcliTop100Canada!$D$2:$D$101,D30)&gt;0,"","NO")</f>
        <v/>
      </c>
    </row>
    <row r="31" spans="1:7" hidden="1" x14ac:dyDescent="0.25">
      <c r="A31">
        <v>30</v>
      </c>
      <c r="B31" t="s">
        <v>91</v>
      </c>
      <c r="C31" t="s">
        <v>92</v>
      </c>
      <c r="D31">
        <v>7067555</v>
      </c>
      <c r="F31" t="s">
        <v>464</v>
      </c>
      <c r="G31" t="str">
        <f>IF(COUNTIF(CcliTop100Canada!$D$2:$D$101,D31)&gt;0,"","NO")</f>
        <v/>
      </c>
    </row>
    <row r="32" spans="1:7" hidden="1" x14ac:dyDescent="0.25">
      <c r="A32">
        <v>31</v>
      </c>
      <c r="B32" t="s">
        <v>42</v>
      </c>
      <c r="C32" t="s">
        <v>43</v>
      </c>
      <c r="D32">
        <v>7030123</v>
      </c>
      <c r="F32" t="s">
        <v>464</v>
      </c>
      <c r="G32" t="str">
        <f>IF(COUNTIF(CcliTop100Canada!$D$2:$D$101,D32)&gt;0,"","NO")</f>
        <v/>
      </c>
    </row>
    <row r="33" spans="1:7" hidden="1" x14ac:dyDescent="0.25">
      <c r="A33">
        <v>32</v>
      </c>
      <c r="B33" t="s">
        <v>69</v>
      </c>
      <c r="C33" t="s">
        <v>70</v>
      </c>
      <c r="D33">
        <v>14181</v>
      </c>
      <c r="F33" t="s">
        <v>464</v>
      </c>
      <c r="G33" t="str">
        <f>IF(COUNTIF(CcliTop100Canada!$D$2:$D$101,D33)&gt;0,"","NO")</f>
        <v/>
      </c>
    </row>
    <row r="34" spans="1:7" hidden="1" x14ac:dyDescent="0.25">
      <c r="A34">
        <v>33</v>
      </c>
      <c r="B34" t="s">
        <v>63</v>
      </c>
      <c r="C34" t="s">
        <v>64</v>
      </c>
      <c r="D34">
        <v>4447960</v>
      </c>
      <c r="F34" t="s">
        <v>464</v>
      </c>
      <c r="G34" t="str">
        <f>IF(COUNTIF(CcliTop100Canada!$D$2:$D$101,D34)&gt;0,"","NO")</f>
        <v/>
      </c>
    </row>
    <row r="35" spans="1:7" hidden="1" x14ac:dyDescent="0.25">
      <c r="A35">
        <v>34</v>
      </c>
      <c r="B35" t="s">
        <v>36</v>
      </c>
      <c r="C35" t="s">
        <v>37</v>
      </c>
      <c r="D35">
        <v>3798438</v>
      </c>
      <c r="F35" t="s">
        <v>464</v>
      </c>
      <c r="G35" t="str">
        <f>IF(COUNTIF(CcliTop100Canada!$D$2:$D$101,D35)&gt;0,"","NO")</f>
        <v/>
      </c>
    </row>
    <row r="36" spans="1:7" hidden="1" x14ac:dyDescent="0.25">
      <c r="A36">
        <v>35</v>
      </c>
      <c r="B36" t="s">
        <v>40</v>
      </c>
      <c r="C36" t="s">
        <v>41</v>
      </c>
      <c r="D36">
        <v>1558110</v>
      </c>
      <c r="F36" t="s">
        <v>464</v>
      </c>
      <c r="G36" t="str">
        <f>IF(COUNTIF(CcliTop100Canada!$D$2:$D$101,D36)&gt;0,"","NO")</f>
        <v/>
      </c>
    </row>
    <row r="37" spans="1:7" hidden="1" x14ac:dyDescent="0.25">
      <c r="A37">
        <v>36</v>
      </c>
      <c r="B37" t="s">
        <v>115</v>
      </c>
      <c r="C37" t="s">
        <v>116</v>
      </c>
      <c r="D37">
        <v>7046448</v>
      </c>
      <c r="F37" t="s">
        <v>464</v>
      </c>
      <c r="G37" t="str">
        <f>IF(COUNTIF(CcliTop100Canada!$D$2:$D$101,D37)&gt;0,"","NO")</f>
        <v/>
      </c>
    </row>
    <row r="38" spans="1:7" hidden="1" x14ac:dyDescent="0.25">
      <c r="A38">
        <v>37</v>
      </c>
      <c r="B38" t="s">
        <v>52</v>
      </c>
      <c r="C38" t="s">
        <v>11</v>
      </c>
      <c r="D38">
        <v>4591782</v>
      </c>
      <c r="F38" t="s">
        <v>464</v>
      </c>
      <c r="G38" t="str">
        <f>IF(COUNTIF(CcliTop100Canada!$D$2:$D$101,D38)&gt;0,"","NO")</f>
        <v/>
      </c>
    </row>
    <row r="39" spans="1:7" hidden="1" x14ac:dyDescent="0.25">
      <c r="A39">
        <v>38</v>
      </c>
      <c r="B39" t="s">
        <v>175</v>
      </c>
      <c r="C39" t="s">
        <v>176</v>
      </c>
      <c r="D39">
        <v>7065049</v>
      </c>
      <c r="F39" t="s">
        <v>464</v>
      </c>
      <c r="G39" t="str">
        <f>IF(COUNTIF(CcliTop100Canada!$D$2:$D$101,D39)&gt;0,"","NO")</f>
        <v/>
      </c>
    </row>
    <row r="40" spans="1:7" x14ac:dyDescent="0.25">
      <c r="A40">
        <v>39</v>
      </c>
      <c r="B40" t="s">
        <v>278</v>
      </c>
      <c r="C40" t="s">
        <v>279</v>
      </c>
      <c r="D40">
        <v>7107821</v>
      </c>
      <c r="F40" t="s">
        <v>464</v>
      </c>
      <c r="G40" t="str">
        <f>IF(COUNTIF(CcliTop100Canada!$D$2:$D$101,D40)&gt;0,"","NO")</f>
        <v>NO</v>
      </c>
    </row>
    <row r="41" spans="1:7" hidden="1" x14ac:dyDescent="0.25">
      <c r="A41">
        <v>40</v>
      </c>
      <c r="B41" t="s">
        <v>120</v>
      </c>
      <c r="C41" t="s">
        <v>121</v>
      </c>
      <c r="D41">
        <v>6304702</v>
      </c>
      <c r="F41" t="s">
        <v>464</v>
      </c>
      <c r="G41" t="str">
        <f>IF(COUNTIF(CcliTop100Canada!$D$2:$D$101,D41)&gt;0,"","NO")</f>
        <v/>
      </c>
    </row>
    <row r="42" spans="1:7" hidden="1" x14ac:dyDescent="0.25">
      <c r="A42">
        <v>41</v>
      </c>
      <c r="B42" t="s">
        <v>83</v>
      </c>
      <c r="C42" t="s">
        <v>84</v>
      </c>
      <c r="D42">
        <v>7065053</v>
      </c>
      <c r="F42" t="s">
        <v>464</v>
      </c>
      <c r="G42" t="str">
        <f>IF(COUNTIF(CcliTop100Canada!$D$2:$D$101,D42)&gt;0,"","NO")</f>
        <v/>
      </c>
    </row>
    <row r="43" spans="1:7" hidden="1" x14ac:dyDescent="0.25">
      <c r="A43">
        <v>42</v>
      </c>
      <c r="B43" t="s">
        <v>61</v>
      </c>
      <c r="C43" t="s">
        <v>62</v>
      </c>
      <c r="D43">
        <v>3266032</v>
      </c>
      <c r="F43" t="s">
        <v>464</v>
      </c>
      <c r="G43" t="str">
        <f>IF(COUNTIF(CcliTop100Canada!$D$2:$D$101,D43)&gt;0,"","NO")</f>
        <v/>
      </c>
    </row>
    <row r="44" spans="1:7" hidden="1" x14ac:dyDescent="0.25">
      <c r="A44">
        <v>43</v>
      </c>
      <c r="B44" t="s">
        <v>71</v>
      </c>
      <c r="C44" t="s">
        <v>72</v>
      </c>
      <c r="D44">
        <v>5677416</v>
      </c>
      <c r="F44" t="s">
        <v>464</v>
      </c>
      <c r="G44" t="str">
        <f>IF(COUNTIF(CcliTop100Canada!$D$2:$D$101,D44)&gt;0,"","NO")</f>
        <v/>
      </c>
    </row>
    <row r="45" spans="1:7" hidden="1" x14ac:dyDescent="0.25">
      <c r="A45">
        <v>44</v>
      </c>
      <c r="B45" t="s">
        <v>81</v>
      </c>
      <c r="C45" t="s">
        <v>82</v>
      </c>
      <c r="D45">
        <v>5183443</v>
      </c>
      <c r="F45" t="s">
        <v>464</v>
      </c>
      <c r="G45" t="str">
        <f>IF(COUNTIF(CcliTop100Canada!$D$2:$D$101,D45)&gt;0,"","NO")</f>
        <v/>
      </c>
    </row>
    <row r="46" spans="1:7" hidden="1" x14ac:dyDescent="0.25">
      <c r="A46">
        <v>45</v>
      </c>
      <c r="B46" t="s">
        <v>85</v>
      </c>
      <c r="C46" t="s">
        <v>86</v>
      </c>
      <c r="D46">
        <v>16880</v>
      </c>
      <c r="F46" t="s">
        <v>464</v>
      </c>
      <c r="G46" t="str">
        <f>IF(COUNTIF(CcliTop100Canada!$D$2:$D$101,D46)&gt;0,"","NO")</f>
        <v/>
      </c>
    </row>
    <row r="47" spans="1:7" hidden="1" x14ac:dyDescent="0.25">
      <c r="A47">
        <v>46</v>
      </c>
      <c r="B47" t="s">
        <v>106</v>
      </c>
      <c r="C47" t="s">
        <v>107</v>
      </c>
      <c r="D47">
        <v>7108951</v>
      </c>
      <c r="F47" t="s">
        <v>464</v>
      </c>
      <c r="G47" t="str">
        <f>IF(COUNTIF(CcliTop100Canada!$D$2:$D$101,D47)&gt;0,"","NO")</f>
        <v/>
      </c>
    </row>
    <row r="48" spans="1:7" hidden="1" x14ac:dyDescent="0.25">
      <c r="A48">
        <v>47</v>
      </c>
      <c r="B48" t="s">
        <v>102</v>
      </c>
      <c r="C48" t="s">
        <v>103</v>
      </c>
      <c r="D48">
        <v>6428767</v>
      </c>
      <c r="F48" t="s">
        <v>464</v>
      </c>
      <c r="G48" t="str">
        <f>IF(COUNTIF(CcliTop100Canada!$D$2:$D$101,D48)&gt;0,"","NO")</f>
        <v/>
      </c>
    </row>
    <row r="49" spans="1:7" hidden="1" x14ac:dyDescent="0.25">
      <c r="A49">
        <v>48</v>
      </c>
      <c r="B49" t="s">
        <v>145</v>
      </c>
      <c r="C49" t="s">
        <v>146</v>
      </c>
      <c r="D49">
        <v>7098758</v>
      </c>
      <c r="F49" t="s">
        <v>464</v>
      </c>
      <c r="G49" t="str">
        <f>IF(COUNTIF(CcliTop100Canada!$D$2:$D$101,D49)&gt;0,"","NO")</f>
        <v/>
      </c>
    </row>
    <row r="50" spans="1:7" x14ac:dyDescent="0.25">
      <c r="A50">
        <v>49</v>
      </c>
      <c r="B50" t="s">
        <v>280</v>
      </c>
      <c r="C50" t="s">
        <v>281</v>
      </c>
      <c r="D50">
        <v>7124907</v>
      </c>
      <c r="F50" t="s">
        <v>464</v>
      </c>
      <c r="G50" t="str">
        <f>IF(COUNTIF(CcliTop100Canada!$D$2:$D$101,D50)&gt;0,"","NO")</f>
        <v>NO</v>
      </c>
    </row>
    <row r="51" spans="1:7" hidden="1" x14ac:dyDescent="0.25">
      <c r="A51">
        <v>50</v>
      </c>
      <c r="B51" t="s">
        <v>77</v>
      </c>
      <c r="C51" t="s">
        <v>78</v>
      </c>
      <c r="D51">
        <v>2298355</v>
      </c>
      <c r="F51" t="s">
        <v>464</v>
      </c>
      <c r="G51" t="str">
        <f>IF(COUNTIF(CcliTop100Canada!$D$2:$D$101,D51)&gt;0,"","NO")</f>
        <v/>
      </c>
    </row>
    <row r="52" spans="1:7" hidden="1" x14ac:dyDescent="0.25">
      <c r="A52">
        <v>51</v>
      </c>
      <c r="B52" t="s">
        <v>32</v>
      </c>
      <c r="C52" t="s">
        <v>33</v>
      </c>
      <c r="D52">
        <v>4662491</v>
      </c>
      <c r="F52" t="s">
        <v>464</v>
      </c>
      <c r="G52" t="str">
        <f>IF(COUNTIF(CcliTop100Canada!$D$2:$D$101,D52)&gt;0,"","NO")</f>
        <v/>
      </c>
    </row>
    <row r="53" spans="1:7" hidden="1" x14ac:dyDescent="0.25">
      <c r="A53">
        <v>52</v>
      </c>
      <c r="B53" t="s">
        <v>137</v>
      </c>
      <c r="C53" t="s">
        <v>138</v>
      </c>
      <c r="D53">
        <v>7051507</v>
      </c>
      <c r="F53" t="s">
        <v>464</v>
      </c>
      <c r="G53" t="str">
        <f>IF(COUNTIF(CcliTop100Canada!$D$2:$D$101,D53)&gt;0,"","NO")</f>
        <v/>
      </c>
    </row>
    <row r="54" spans="1:7" hidden="1" x14ac:dyDescent="0.25">
      <c r="A54">
        <v>53</v>
      </c>
      <c r="B54" t="s">
        <v>57</v>
      </c>
      <c r="C54" t="s">
        <v>58</v>
      </c>
      <c r="D54">
        <v>7121852</v>
      </c>
      <c r="F54" t="s">
        <v>464</v>
      </c>
      <c r="G54" t="str">
        <f>IF(COUNTIF(CcliTop100Canada!$D$2:$D$101,D54)&gt;0,"","NO")</f>
        <v/>
      </c>
    </row>
    <row r="55" spans="1:7" hidden="1" x14ac:dyDescent="0.25">
      <c r="A55">
        <v>54</v>
      </c>
      <c r="B55" t="s">
        <v>112</v>
      </c>
      <c r="C55" t="s">
        <v>113</v>
      </c>
      <c r="D55">
        <v>7130961</v>
      </c>
      <c r="F55" t="s">
        <v>464</v>
      </c>
      <c r="G55" t="str">
        <f>IF(COUNTIF(CcliTop100Canada!$D$2:$D$101,D55)&gt;0,"","NO")</f>
        <v/>
      </c>
    </row>
    <row r="56" spans="1:7" x14ac:dyDescent="0.25">
      <c r="A56">
        <v>55</v>
      </c>
      <c r="B56" t="s">
        <v>282</v>
      </c>
      <c r="C56" t="s">
        <v>283</v>
      </c>
      <c r="D56">
        <v>4689508</v>
      </c>
      <c r="F56" t="s">
        <v>464</v>
      </c>
      <c r="G56" t="str">
        <f>IF(COUNTIF(CcliTop100Canada!$D$2:$D$101,D56)&gt;0,"","NO")</f>
        <v>NO</v>
      </c>
    </row>
    <row r="57" spans="1:7" hidden="1" x14ac:dyDescent="0.25">
      <c r="A57">
        <v>56</v>
      </c>
      <c r="B57" t="s">
        <v>79</v>
      </c>
      <c r="C57" t="s">
        <v>80</v>
      </c>
      <c r="D57">
        <v>7018338</v>
      </c>
      <c r="F57" t="s">
        <v>464</v>
      </c>
      <c r="G57" t="str">
        <f>IF(COUNTIF(CcliTop100Canada!$D$2:$D$101,D57)&gt;0,"","NO")</f>
        <v/>
      </c>
    </row>
    <row r="58" spans="1:7" hidden="1" x14ac:dyDescent="0.25">
      <c r="A58">
        <v>57</v>
      </c>
      <c r="B58" t="s">
        <v>99</v>
      </c>
      <c r="C58" t="s">
        <v>100</v>
      </c>
      <c r="D58">
        <v>4477026</v>
      </c>
      <c r="F58" t="s">
        <v>464</v>
      </c>
      <c r="G58" t="str">
        <f>IF(COUNTIF(CcliTop100Canada!$D$2:$D$101,D58)&gt;0,"","NO")</f>
        <v/>
      </c>
    </row>
    <row r="59" spans="1:7" hidden="1" x14ac:dyDescent="0.25">
      <c r="A59">
        <v>58</v>
      </c>
      <c r="B59" t="s">
        <v>73</v>
      </c>
      <c r="C59" t="s">
        <v>74</v>
      </c>
      <c r="D59">
        <v>4556538</v>
      </c>
      <c r="F59" t="s">
        <v>464</v>
      </c>
      <c r="G59" t="str">
        <f>IF(COUNTIF(CcliTop100Canada!$D$2:$D$101,D59)&gt;0,"","NO")</f>
        <v/>
      </c>
    </row>
    <row r="60" spans="1:7" x14ac:dyDescent="0.25">
      <c r="A60">
        <v>59</v>
      </c>
      <c r="B60" t="s">
        <v>284</v>
      </c>
      <c r="C60" t="s">
        <v>285</v>
      </c>
      <c r="D60">
        <v>7123436</v>
      </c>
      <c r="F60" t="s">
        <v>464</v>
      </c>
      <c r="G60" t="str">
        <f>IF(COUNTIF(CcliTop100Canada!$D$2:$D$101,D60)&gt;0,"","NO")</f>
        <v>NO</v>
      </c>
    </row>
    <row r="61" spans="1:7" x14ac:dyDescent="0.25">
      <c r="A61">
        <v>60</v>
      </c>
      <c r="B61" t="s">
        <v>286</v>
      </c>
      <c r="C61" t="s">
        <v>60</v>
      </c>
      <c r="D61">
        <v>7011438</v>
      </c>
      <c r="F61" t="s">
        <v>464</v>
      </c>
      <c r="G61" t="str">
        <f>IF(COUNTIF(CcliTop100Canada!$D$2:$D$101,D61)&gt;0,"","NO")</f>
        <v>NO</v>
      </c>
    </row>
    <row r="62" spans="1:7" x14ac:dyDescent="0.25">
      <c r="A62">
        <v>61</v>
      </c>
      <c r="B62" t="s">
        <v>287</v>
      </c>
      <c r="C62" t="s">
        <v>288</v>
      </c>
      <c r="D62">
        <v>7136448</v>
      </c>
      <c r="F62" t="s">
        <v>464</v>
      </c>
      <c r="G62" t="str">
        <f>IF(COUNTIF(CcliTop100Canada!$D$2:$D$101,D62)&gt;0,"","NO")</f>
        <v>NO</v>
      </c>
    </row>
    <row r="63" spans="1:7" x14ac:dyDescent="0.25">
      <c r="A63">
        <v>62</v>
      </c>
      <c r="B63" t="s">
        <v>289</v>
      </c>
      <c r="C63" t="s">
        <v>290</v>
      </c>
      <c r="D63">
        <v>1259</v>
      </c>
      <c r="F63" t="s">
        <v>464</v>
      </c>
      <c r="G63" t="str">
        <f>IF(COUNTIF(CcliTop100Canada!$D$2:$D$101,D63)&gt;0,"","NO")</f>
        <v>NO</v>
      </c>
    </row>
    <row r="64" spans="1:7" x14ac:dyDescent="0.25">
      <c r="A64">
        <v>63</v>
      </c>
      <c r="B64" t="s">
        <v>291</v>
      </c>
      <c r="C64" t="s">
        <v>292</v>
      </c>
      <c r="D64">
        <v>7133494</v>
      </c>
      <c r="F64" t="s">
        <v>464</v>
      </c>
      <c r="G64" t="str">
        <f>IF(COUNTIF(CcliTop100Canada!$D$2:$D$101,D64)&gt;0,"","NO")</f>
        <v>NO</v>
      </c>
    </row>
    <row r="65" spans="1:7" x14ac:dyDescent="0.25">
      <c r="A65">
        <v>64</v>
      </c>
      <c r="B65" t="s">
        <v>293</v>
      </c>
      <c r="C65" t="s">
        <v>158</v>
      </c>
      <c r="D65">
        <v>7122177</v>
      </c>
      <c r="F65" t="s">
        <v>464</v>
      </c>
      <c r="G65" t="str">
        <f>IF(COUNTIF(CcliTop100Canada!$D$2:$D$101,D65)&gt;0,"","NO")</f>
        <v>NO</v>
      </c>
    </row>
    <row r="66" spans="1:7" hidden="1" x14ac:dyDescent="0.25">
      <c r="A66">
        <v>65</v>
      </c>
      <c r="B66" t="s">
        <v>155</v>
      </c>
      <c r="C66" t="s">
        <v>156</v>
      </c>
      <c r="D66">
        <v>5508444</v>
      </c>
      <c r="F66" t="s">
        <v>464</v>
      </c>
      <c r="G66" t="str">
        <f>IF(COUNTIF(CcliTop100Canada!$D$2:$D$101,D66)&gt;0,"","NO")</f>
        <v/>
      </c>
    </row>
    <row r="67" spans="1:7" hidden="1" x14ac:dyDescent="0.25">
      <c r="A67">
        <v>66</v>
      </c>
      <c r="B67" t="s">
        <v>108</v>
      </c>
      <c r="C67" t="s">
        <v>109</v>
      </c>
      <c r="D67">
        <v>1406918</v>
      </c>
      <c r="F67" t="s">
        <v>464</v>
      </c>
      <c r="G67" t="str">
        <f>IF(COUNTIF(CcliTop100Canada!$D$2:$D$101,D67)&gt;0,"","NO")</f>
        <v/>
      </c>
    </row>
    <row r="68" spans="1:7" hidden="1" x14ac:dyDescent="0.25">
      <c r="A68">
        <v>67</v>
      </c>
      <c r="B68" t="s">
        <v>161</v>
      </c>
      <c r="C68" t="s">
        <v>162</v>
      </c>
      <c r="D68">
        <v>7017786</v>
      </c>
      <c r="F68" t="s">
        <v>464</v>
      </c>
      <c r="G68" t="str">
        <f>IF(COUNTIF(CcliTop100Canada!$D$2:$D$101,D68)&gt;0,"","NO")</f>
        <v/>
      </c>
    </row>
    <row r="69" spans="1:7" hidden="1" x14ac:dyDescent="0.25">
      <c r="A69">
        <v>68</v>
      </c>
      <c r="B69" t="s">
        <v>75</v>
      </c>
      <c r="C69" t="s">
        <v>76</v>
      </c>
      <c r="D69">
        <v>3148428</v>
      </c>
      <c r="F69" t="s">
        <v>464</v>
      </c>
      <c r="G69" t="str">
        <f>IF(COUNTIF(CcliTop100Canada!$D$2:$D$101,D69)&gt;0,"","NO")</f>
        <v/>
      </c>
    </row>
    <row r="70" spans="1:7" x14ac:dyDescent="0.25">
      <c r="A70">
        <v>69</v>
      </c>
      <c r="B70" t="s">
        <v>294</v>
      </c>
      <c r="C70" t="s">
        <v>295</v>
      </c>
      <c r="D70">
        <v>5032549</v>
      </c>
      <c r="F70" t="s">
        <v>464</v>
      </c>
      <c r="G70" t="str">
        <f>IF(COUNTIF(CcliTop100Canada!$D$2:$D$101,D70)&gt;0,"","NO")</f>
        <v>NO</v>
      </c>
    </row>
    <row r="71" spans="1:7" x14ac:dyDescent="0.25">
      <c r="A71">
        <v>70</v>
      </c>
      <c r="B71" t="s">
        <v>296</v>
      </c>
      <c r="C71" t="s">
        <v>297</v>
      </c>
      <c r="D71">
        <v>7111932</v>
      </c>
      <c r="F71" t="s">
        <v>464</v>
      </c>
      <c r="G71" t="str">
        <f>IF(COUNTIF(CcliTop100Canada!$D$2:$D$101,D71)&gt;0,"","NO")</f>
        <v>NO</v>
      </c>
    </row>
    <row r="72" spans="1:7" hidden="1" x14ac:dyDescent="0.25">
      <c r="A72">
        <v>71</v>
      </c>
      <c r="B72" t="s">
        <v>159</v>
      </c>
      <c r="C72" t="s">
        <v>160</v>
      </c>
      <c r="D72">
        <v>7021972</v>
      </c>
      <c r="F72" t="s">
        <v>464</v>
      </c>
      <c r="G72" t="str">
        <f>IF(COUNTIF(CcliTop100Canada!$D$2:$D$101,D72)&gt;0,"","NO")</f>
        <v/>
      </c>
    </row>
    <row r="73" spans="1:7" hidden="1" x14ac:dyDescent="0.25">
      <c r="A73">
        <v>72</v>
      </c>
      <c r="B73" t="s">
        <v>89</v>
      </c>
      <c r="C73" t="s">
        <v>90</v>
      </c>
      <c r="D73">
        <v>6186078</v>
      </c>
      <c r="F73" t="s">
        <v>464</v>
      </c>
      <c r="G73" t="str">
        <f>IF(COUNTIF(CcliTop100Canada!$D$2:$D$101,D73)&gt;0,"","NO")</f>
        <v/>
      </c>
    </row>
    <row r="74" spans="1:7" hidden="1" x14ac:dyDescent="0.25">
      <c r="A74">
        <v>73</v>
      </c>
      <c r="B74" t="s">
        <v>130</v>
      </c>
      <c r="C74" t="s">
        <v>131</v>
      </c>
      <c r="D74">
        <v>7054720</v>
      </c>
      <c r="F74" t="s">
        <v>464</v>
      </c>
      <c r="G74" t="str">
        <f>IF(COUNTIF(CcliTop100Canada!$D$2:$D$101,D74)&gt;0,"","NO")</f>
        <v/>
      </c>
    </row>
    <row r="75" spans="1:7" hidden="1" x14ac:dyDescent="0.25">
      <c r="A75">
        <v>74</v>
      </c>
      <c r="B75" t="s">
        <v>132</v>
      </c>
      <c r="C75" t="s">
        <v>133</v>
      </c>
      <c r="D75">
        <v>2456623</v>
      </c>
      <c r="F75" t="s">
        <v>464</v>
      </c>
      <c r="G75" t="str">
        <f>IF(COUNTIF(CcliTop100Canada!$D$2:$D$101,D75)&gt;0,"","NO")</f>
        <v/>
      </c>
    </row>
    <row r="76" spans="1:7" hidden="1" x14ac:dyDescent="0.25">
      <c r="A76">
        <v>75</v>
      </c>
      <c r="B76" t="s">
        <v>118</v>
      </c>
      <c r="C76" t="s">
        <v>119</v>
      </c>
      <c r="D76">
        <v>2296522</v>
      </c>
      <c r="F76" t="s">
        <v>464</v>
      </c>
      <c r="G76" t="str">
        <f>IF(COUNTIF(CcliTop100Canada!$D$2:$D$101,D76)&gt;0,"","NO")</f>
        <v/>
      </c>
    </row>
    <row r="77" spans="1:7" x14ac:dyDescent="0.25">
      <c r="A77">
        <v>76</v>
      </c>
      <c r="B77" t="s">
        <v>298</v>
      </c>
      <c r="C77" t="s">
        <v>299</v>
      </c>
      <c r="D77">
        <v>7011436</v>
      </c>
      <c r="F77" t="s">
        <v>464</v>
      </c>
      <c r="G77" t="str">
        <f>IF(COUNTIF(CcliTop100Canada!$D$2:$D$101,D77)&gt;0,"","NO")</f>
        <v>NO</v>
      </c>
    </row>
    <row r="78" spans="1:7" hidden="1" x14ac:dyDescent="0.25">
      <c r="A78">
        <v>77</v>
      </c>
      <c r="B78" t="s">
        <v>177</v>
      </c>
      <c r="C78" t="s">
        <v>178</v>
      </c>
      <c r="D78">
        <v>7111925</v>
      </c>
      <c r="F78" t="s">
        <v>464</v>
      </c>
      <c r="G78" t="str">
        <f>IF(COUNTIF(CcliTop100Canada!$D$2:$D$101,D78)&gt;0,"","NO")</f>
        <v/>
      </c>
    </row>
    <row r="79" spans="1:7" x14ac:dyDescent="0.25">
      <c r="A79">
        <v>78</v>
      </c>
      <c r="B79" t="s">
        <v>300</v>
      </c>
      <c r="C79" t="s">
        <v>3</v>
      </c>
      <c r="D79">
        <v>7133285</v>
      </c>
      <c r="F79" t="s">
        <v>464</v>
      </c>
      <c r="G79" t="str">
        <f>IF(COUNTIF(CcliTop100Canada!$D$2:$D$101,D79)&gt;0,"","NO")</f>
        <v>NO</v>
      </c>
    </row>
    <row r="80" spans="1:7" hidden="1" x14ac:dyDescent="0.25">
      <c r="A80">
        <v>79</v>
      </c>
      <c r="B80" t="s">
        <v>127</v>
      </c>
      <c r="C80" t="s">
        <v>128</v>
      </c>
      <c r="D80">
        <v>7105729</v>
      </c>
      <c r="F80" t="s">
        <v>464</v>
      </c>
      <c r="G80" t="str">
        <f>IF(COUNTIF(CcliTop100Canada!$D$2:$D$101,D80)&gt;0,"","NO")</f>
        <v/>
      </c>
    </row>
    <row r="81" spans="1:7" x14ac:dyDescent="0.25">
      <c r="A81">
        <v>80</v>
      </c>
      <c r="B81" t="s">
        <v>301</v>
      </c>
      <c r="C81" t="s">
        <v>302</v>
      </c>
      <c r="D81">
        <v>7027887</v>
      </c>
      <c r="F81" t="s">
        <v>464</v>
      </c>
      <c r="G81" t="str">
        <f>IF(COUNTIF(CcliTop100Canada!$D$2:$D$101,D81)&gt;0,"","NO")</f>
        <v>NO</v>
      </c>
    </row>
    <row r="82" spans="1:7" hidden="1" x14ac:dyDescent="0.25">
      <c r="A82">
        <v>81</v>
      </c>
      <c r="B82" t="s">
        <v>141</v>
      </c>
      <c r="C82" t="s">
        <v>142</v>
      </c>
      <c r="D82">
        <v>7001228</v>
      </c>
      <c r="F82" t="s">
        <v>464</v>
      </c>
      <c r="G82" t="str">
        <f>IF(COUNTIF(CcliTop100Canada!$D$2:$D$101,D82)&gt;0,"","NO")</f>
        <v/>
      </c>
    </row>
    <row r="83" spans="1:7" hidden="1" x14ac:dyDescent="0.25">
      <c r="A83">
        <v>82</v>
      </c>
      <c r="B83" t="s">
        <v>123</v>
      </c>
      <c r="C83" t="s">
        <v>124</v>
      </c>
      <c r="D83">
        <v>6476063</v>
      </c>
      <c r="F83" t="s">
        <v>464</v>
      </c>
      <c r="G83" t="str">
        <f>IF(COUNTIF(CcliTop100Canada!$D$2:$D$101,D83)&gt;0,"","NO")</f>
        <v/>
      </c>
    </row>
    <row r="84" spans="1:7" x14ac:dyDescent="0.25">
      <c r="A84">
        <v>83</v>
      </c>
      <c r="B84" t="s">
        <v>303</v>
      </c>
      <c r="C84" t="s">
        <v>304</v>
      </c>
      <c r="D84">
        <v>5639997</v>
      </c>
      <c r="F84" t="s">
        <v>464</v>
      </c>
      <c r="G84" t="str">
        <f>IF(COUNTIF(CcliTop100Canada!$D$2:$D$101,D84)&gt;0,"","NO")</f>
        <v>NO</v>
      </c>
    </row>
    <row r="85" spans="1:7" hidden="1" x14ac:dyDescent="0.25">
      <c r="A85">
        <v>84</v>
      </c>
      <c r="B85" t="s">
        <v>97</v>
      </c>
      <c r="C85" t="s">
        <v>98</v>
      </c>
      <c r="D85">
        <v>2430948</v>
      </c>
      <c r="F85" t="s">
        <v>464</v>
      </c>
      <c r="G85" t="str">
        <f>IF(COUNTIF(CcliTop100Canada!$D$2:$D$101,D85)&gt;0,"","NO")</f>
        <v/>
      </c>
    </row>
    <row r="86" spans="1:7" x14ac:dyDescent="0.25">
      <c r="A86">
        <v>85</v>
      </c>
      <c r="B86" t="s">
        <v>305</v>
      </c>
      <c r="C86" t="s">
        <v>306</v>
      </c>
      <c r="D86">
        <v>5881491</v>
      </c>
      <c r="F86" t="s">
        <v>464</v>
      </c>
      <c r="G86" t="str">
        <f>IF(COUNTIF(CcliTop100Canada!$D$2:$D$101,D86)&gt;0,"","NO")</f>
        <v>NO</v>
      </c>
    </row>
    <row r="87" spans="1:7" hidden="1" x14ac:dyDescent="0.25">
      <c r="A87">
        <v>86</v>
      </c>
      <c r="B87" t="s">
        <v>166</v>
      </c>
      <c r="C87" t="s">
        <v>167</v>
      </c>
      <c r="D87">
        <v>5638022</v>
      </c>
      <c r="F87" t="s">
        <v>464</v>
      </c>
      <c r="G87" t="str">
        <f>IF(COUNTIF(CcliTop100Canada!$D$2:$D$101,D87)&gt;0,"","NO")</f>
        <v/>
      </c>
    </row>
    <row r="88" spans="1:7" x14ac:dyDescent="0.25">
      <c r="A88">
        <v>87</v>
      </c>
      <c r="B88" t="s">
        <v>307</v>
      </c>
      <c r="C88" t="s">
        <v>308</v>
      </c>
      <c r="D88">
        <v>7139866</v>
      </c>
      <c r="F88" t="s">
        <v>464</v>
      </c>
      <c r="G88" t="str">
        <f>IF(COUNTIF(CcliTop100Canada!$D$2:$D$101,D88)&gt;0,"","NO")</f>
        <v>NO</v>
      </c>
    </row>
    <row r="89" spans="1:7" x14ac:dyDescent="0.25">
      <c r="A89">
        <v>88</v>
      </c>
      <c r="B89" t="s">
        <v>309</v>
      </c>
      <c r="C89" t="s">
        <v>288</v>
      </c>
      <c r="D89">
        <v>7138599</v>
      </c>
      <c r="F89" t="s">
        <v>464</v>
      </c>
      <c r="G89" t="str">
        <f>IF(COUNTIF(CcliTop100Canada!$D$2:$D$101,D89)&gt;0,"","NO")</f>
        <v>NO</v>
      </c>
    </row>
    <row r="90" spans="1:7" hidden="1" x14ac:dyDescent="0.25">
      <c r="A90">
        <v>89</v>
      </c>
      <c r="B90" t="s">
        <v>164</v>
      </c>
      <c r="C90" t="s">
        <v>165</v>
      </c>
      <c r="D90">
        <v>2306412</v>
      </c>
      <c r="F90" t="s">
        <v>464</v>
      </c>
      <c r="G90" t="str">
        <f>IF(COUNTIF(CcliTop100Canada!$D$2:$D$101,D90)&gt;0,"","NO")</f>
        <v/>
      </c>
    </row>
    <row r="91" spans="1:7" x14ac:dyDescent="0.25">
      <c r="A91">
        <v>90</v>
      </c>
      <c r="B91" t="s">
        <v>310</v>
      </c>
      <c r="C91" t="s">
        <v>311</v>
      </c>
      <c r="D91">
        <v>7141227</v>
      </c>
      <c r="F91" t="s">
        <v>464</v>
      </c>
      <c r="G91" t="str">
        <f>IF(COUNTIF(CcliTop100Canada!$D$2:$D$101,D91)&gt;0,"","NO")</f>
        <v>NO</v>
      </c>
    </row>
    <row r="92" spans="1:7" hidden="1" x14ac:dyDescent="0.25">
      <c r="A92">
        <v>91</v>
      </c>
      <c r="B92" t="s">
        <v>139</v>
      </c>
      <c r="C92" t="s">
        <v>140</v>
      </c>
      <c r="D92">
        <v>7048885</v>
      </c>
      <c r="F92" t="s">
        <v>464</v>
      </c>
      <c r="G92" t="str">
        <f>IF(COUNTIF(CcliTop100Canada!$D$2:$D$101,D92)&gt;0,"","NO")</f>
        <v/>
      </c>
    </row>
    <row r="93" spans="1:7" x14ac:dyDescent="0.25">
      <c r="A93">
        <v>92</v>
      </c>
      <c r="B93" t="s">
        <v>312</v>
      </c>
      <c r="C93" t="s">
        <v>313</v>
      </c>
      <c r="D93">
        <v>7123068</v>
      </c>
      <c r="F93" t="s">
        <v>464</v>
      </c>
      <c r="G93" t="str">
        <f>IF(COUNTIF(CcliTop100Canada!$D$2:$D$101,D93)&gt;0,"","NO")</f>
        <v>NO</v>
      </c>
    </row>
    <row r="94" spans="1:7" hidden="1" x14ac:dyDescent="0.25">
      <c r="A94">
        <v>93</v>
      </c>
      <c r="B94" t="s">
        <v>157</v>
      </c>
      <c r="C94" t="s">
        <v>158</v>
      </c>
      <c r="D94">
        <v>4705248</v>
      </c>
      <c r="F94" t="s">
        <v>464</v>
      </c>
      <c r="G94" t="str">
        <f>IF(COUNTIF(CcliTop100Canada!$D$2:$D$101,D94)&gt;0,"","NO")</f>
        <v/>
      </c>
    </row>
    <row r="95" spans="1:7" hidden="1" x14ac:dyDescent="0.25">
      <c r="A95">
        <v>94</v>
      </c>
      <c r="B95" t="s">
        <v>149</v>
      </c>
      <c r="C95" t="s">
        <v>150</v>
      </c>
      <c r="D95">
        <v>117947</v>
      </c>
      <c r="F95" t="s">
        <v>464</v>
      </c>
      <c r="G95" t="str">
        <f>IF(COUNTIF(CcliTop100Canada!$D$2:$D$101,D95)&gt;0,"","NO")</f>
        <v/>
      </c>
    </row>
    <row r="96" spans="1:7" hidden="1" x14ac:dyDescent="0.25">
      <c r="A96">
        <v>95</v>
      </c>
      <c r="B96" t="s">
        <v>110</v>
      </c>
      <c r="C96" t="s">
        <v>111</v>
      </c>
      <c r="D96">
        <v>4785835</v>
      </c>
      <c r="F96" t="s">
        <v>464</v>
      </c>
      <c r="G96" t="str">
        <f>IF(COUNTIF(CcliTop100Canada!$D$2:$D$101,D96)&gt;0,"","NO")</f>
        <v/>
      </c>
    </row>
    <row r="97" spans="1:7" x14ac:dyDescent="0.25">
      <c r="A97">
        <v>96</v>
      </c>
      <c r="B97" t="s">
        <v>314</v>
      </c>
      <c r="C97" t="s">
        <v>315</v>
      </c>
      <c r="D97">
        <v>7084123</v>
      </c>
      <c r="F97" t="s">
        <v>464</v>
      </c>
      <c r="G97" t="str">
        <f>IF(COUNTIF(CcliTop100Canada!$D$2:$D$101,D97)&gt;0,"","NO")</f>
        <v>NO</v>
      </c>
    </row>
    <row r="98" spans="1:7" hidden="1" x14ac:dyDescent="0.25">
      <c r="A98">
        <v>97</v>
      </c>
      <c r="B98" t="s">
        <v>134</v>
      </c>
      <c r="C98" t="s">
        <v>135</v>
      </c>
      <c r="D98">
        <v>1537904</v>
      </c>
      <c r="F98" t="s">
        <v>464</v>
      </c>
      <c r="G98" t="str">
        <f>IF(COUNTIF(CcliTop100Canada!$D$2:$D$101,D98)&gt;0,"","NO")</f>
        <v/>
      </c>
    </row>
    <row r="99" spans="1:7" x14ac:dyDescent="0.25">
      <c r="A99">
        <v>98</v>
      </c>
      <c r="B99" t="s">
        <v>316</v>
      </c>
      <c r="C99" t="s">
        <v>317</v>
      </c>
      <c r="D99">
        <v>6367165</v>
      </c>
      <c r="F99" t="s">
        <v>464</v>
      </c>
      <c r="G99" t="str">
        <f>IF(COUNTIF(CcliTop100Canada!$D$2:$D$101,D99)&gt;0,"","NO")</f>
        <v>NO</v>
      </c>
    </row>
    <row r="100" spans="1:7" hidden="1" x14ac:dyDescent="0.25">
      <c r="A100">
        <v>99</v>
      </c>
      <c r="B100" t="s">
        <v>153</v>
      </c>
      <c r="C100" t="s">
        <v>154</v>
      </c>
      <c r="D100">
        <v>7016161</v>
      </c>
      <c r="F100" t="s">
        <v>464</v>
      </c>
      <c r="G100" t="str">
        <f>IF(COUNTIF(CcliTop100Canada!$D$2:$D$101,D100)&gt;0,"","NO")</f>
        <v/>
      </c>
    </row>
    <row r="101" spans="1:7" x14ac:dyDescent="0.25">
      <c r="A101">
        <v>100</v>
      </c>
      <c r="B101" t="s">
        <v>318</v>
      </c>
      <c r="C101" t="s">
        <v>319</v>
      </c>
      <c r="D101">
        <v>7030065</v>
      </c>
      <c r="F101" t="s">
        <v>464</v>
      </c>
      <c r="G101" t="str">
        <f>IF(COUNTIF(CcliTop100Canada!$D$2:$D$101,D101)&gt;0,"","NO")</f>
        <v>NO</v>
      </c>
    </row>
    <row r="102" spans="1:7" hidden="1" x14ac:dyDescent="0.25">
      <c r="G102">
        <f>COUNTIF(G2:G101, "NO")</f>
        <v>23</v>
      </c>
    </row>
    <row r="103" spans="1:7" x14ac:dyDescent="0.25">
      <c r="G103">
        <f>COUNTIF(G2:G101, "NO")</f>
        <v>23</v>
      </c>
    </row>
  </sheetData>
  <autoFilter ref="A1:G102" xr:uid="{6A491EF4-9618-4110-BA22-2A3E6DFFF7AB}">
    <filterColumn colId="6">
      <filters>
        <filter val="NO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5213-4A96-4C30-9FC0-C8C021301BEF}">
  <sheetPr filterMode="1"/>
  <dimension ref="A1:H1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39.710937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  <c r="H1" s="1" t="s">
        <v>467</v>
      </c>
    </row>
    <row r="2" spans="1:8" hidden="1" x14ac:dyDescent="0.25">
      <c r="A2">
        <v>1</v>
      </c>
      <c r="B2" t="s">
        <v>8</v>
      </c>
      <c r="C2" t="s">
        <v>9</v>
      </c>
      <c r="D2" s="2">
        <v>6016351</v>
      </c>
      <c r="F2" t="s">
        <v>465</v>
      </c>
      <c r="G2" t="str">
        <f>IF(COUNTIF(CcliTop100Canada!$D$2:$D$101,D2)&gt;0,"","NO")</f>
        <v/>
      </c>
      <c r="H2" t="str">
        <f>IF(COUNTIF(CcliTop100Usa!$D$2:$D$101,D2)&gt;0,"","NO")</f>
        <v/>
      </c>
    </row>
    <row r="3" spans="1:8" hidden="1" x14ac:dyDescent="0.25">
      <c r="A3">
        <v>2</v>
      </c>
      <c r="B3" t="s">
        <v>24</v>
      </c>
      <c r="C3" t="s">
        <v>25</v>
      </c>
      <c r="D3" s="2">
        <v>3350395</v>
      </c>
      <c r="F3" t="s">
        <v>465</v>
      </c>
      <c r="G3" t="str">
        <f>IF(COUNTIF(CcliTop100Canada!$D$2:$D$101,D3)&gt;0,"","NO")</f>
        <v/>
      </c>
      <c r="H3" t="str">
        <f>IF(COUNTIF(CcliTop100Usa!$D$2:$D$101,D3)&gt;0,"","NO")</f>
        <v/>
      </c>
    </row>
    <row r="4" spans="1:8" hidden="1" x14ac:dyDescent="0.25">
      <c r="A4">
        <v>3</v>
      </c>
      <c r="B4" t="s">
        <v>20</v>
      </c>
      <c r="C4" t="s">
        <v>21</v>
      </c>
      <c r="D4" s="2">
        <v>6158927</v>
      </c>
      <c r="F4" t="s">
        <v>465</v>
      </c>
      <c r="G4" t="str">
        <f>IF(COUNTIF(CcliTop100Canada!$D$2:$D$101,D4)&gt;0,"","NO")</f>
        <v/>
      </c>
      <c r="H4" t="str">
        <f>IF(COUNTIF(CcliTop100Usa!$D$2:$D$101,D4)&gt;0,"","NO")</f>
        <v/>
      </c>
    </row>
    <row r="5" spans="1:8" hidden="1" x14ac:dyDescent="0.25">
      <c r="A5">
        <v>4</v>
      </c>
      <c r="B5" t="s">
        <v>34</v>
      </c>
      <c r="C5" t="s">
        <v>35</v>
      </c>
      <c r="D5" s="2">
        <v>7037787</v>
      </c>
      <c r="F5" t="s">
        <v>465</v>
      </c>
      <c r="G5" t="str">
        <f>IF(COUNTIF(CcliTop100Canada!$D$2:$D$101,D5)&gt;0,"","NO")</f>
        <v/>
      </c>
      <c r="H5" t="str">
        <f>IF(COUNTIF(CcliTop100Usa!$D$2:$D$101,D5)&gt;0,"","NO")</f>
        <v/>
      </c>
    </row>
    <row r="6" spans="1:8" hidden="1" x14ac:dyDescent="0.25">
      <c r="A6">
        <v>5</v>
      </c>
      <c r="B6" t="s">
        <v>6</v>
      </c>
      <c r="C6" t="s">
        <v>7</v>
      </c>
      <c r="D6" s="2">
        <v>7068424</v>
      </c>
      <c r="F6" t="s">
        <v>465</v>
      </c>
      <c r="G6" t="str">
        <f>IF(COUNTIF(CcliTop100Canada!$D$2:$D$101,D6)&gt;0,"","NO")</f>
        <v/>
      </c>
      <c r="H6" t="str">
        <f>IF(COUNTIF(CcliTop100Usa!$D$2:$D$101,D6)&gt;0,"","NO")</f>
        <v/>
      </c>
    </row>
    <row r="7" spans="1:8" hidden="1" x14ac:dyDescent="0.25">
      <c r="A7">
        <v>6</v>
      </c>
      <c r="B7" t="s">
        <v>28</v>
      </c>
      <c r="C7" t="s">
        <v>29</v>
      </c>
      <c r="D7" s="2">
        <v>4348399</v>
      </c>
      <c r="F7" t="s">
        <v>465</v>
      </c>
      <c r="G7" t="str">
        <f>IF(COUNTIF(CcliTop100Canada!$D$2:$D$101,D7)&gt;0,"","NO")</f>
        <v/>
      </c>
      <c r="H7" t="str">
        <f>IF(COUNTIF(CcliTop100Usa!$D$2:$D$101,D7)&gt;0,"","NO")</f>
        <v/>
      </c>
    </row>
    <row r="8" spans="1:8" hidden="1" x14ac:dyDescent="0.25">
      <c r="A8">
        <v>7</v>
      </c>
      <c r="B8" t="s">
        <v>14</v>
      </c>
      <c r="C8" t="s">
        <v>15</v>
      </c>
      <c r="D8" s="2">
        <v>6333821</v>
      </c>
      <c r="F8" t="s">
        <v>465</v>
      </c>
      <c r="G8" t="str">
        <f>IF(COUNTIF(CcliTop100Canada!$D$2:$D$101,D8)&gt;0,"","NO")</f>
        <v/>
      </c>
      <c r="H8" t="str">
        <f>IF(COUNTIF(CcliTop100Usa!$D$2:$D$101,D8)&gt;0,"","NO")</f>
        <v/>
      </c>
    </row>
    <row r="9" spans="1:8" hidden="1" x14ac:dyDescent="0.25">
      <c r="A9">
        <v>8</v>
      </c>
      <c r="B9" t="s">
        <v>0</v>
      </c>
      <c r="C9" t="s">
        <v>1</v>
      </c>
      <c r="D9" s="2">
        <v>7115744</v>
      </c>
      <c r="F9" t="s">
        <v>465</v>
      </c>
      <c r="G9" t="str">
        <f>IF(COUNTIF(CcliTop100Canada!$D$2:$D$101,D9)&gt;0,"","NO")</f>
        <v/>
      </c>
      <c r="H9" t="str">
        <f>IF(COUNTIF(CcliTop100Usa!$D$2:$D$101,D9)&gt;0,"","NO")</f>
        <v/>
      </c>
    </row>
    <row r="10" spans="1:8" hidden="1" x14ac:dyDescent="0.25">
      <c r="A10">
        <v>9</v>
      </c>
      <c r="B10" t="s">
        <v>2</v>
      </c>
      <c r="C10" t="s">
        <v>3</v>
      </c>
      <c r="D10" s="2">
        <v>7106807</v>
      </c>
      <c r="F10" t="s">
        <v>465</v>
      </c>
      <c r="G10" t="str">
        <f>IF(COUNTIF(CcliTop100Canada!$D$2:$D$101,D10)&gt;0,"","NO")</f>
        <v/>
      </c>
      <c r="H10" t="str">
        <f>IF(COUNTIF(CcliTop100Usa!$D$2:$D$101,D10)&gt;0,"","NO")</f>
        <v/>
      </c>
    </row>
    <row r="11" spans="1:8" x14ac:dyDescent="0.25">
      <c r="A11">
        <v>10</v>
      </c>
      <c r="B11" t="s">
        <v>320</v>
      </c>
      <c r="C11" t="s">
        <v>41</v>
      </c>
      <c r="D11" s="2">
        <v>1585970</v>
      </c>
      <c r="F11" t="s">
        <v>465</v>
      </c>
      <c r="G11" t="str">
        <f>IF(COUNTIF(CcliTop100Canada!$D$2:$D$101,D11)&gt;0,"","NO")</f>
        <v>NO</v>
      </c>
      <c r="H11" t="str">
        <f>IF(COUNTIF(CcliTop100Usa!$D$2:$D$101,D11)&gt;0,"","NO")</f>
        <v>NO</v>
      </c>
    </row>
    <row r="12" spans="1:8" hidden="1" x14ac:dyDescent="0.25">
      <c r="A12">
        <v>11</v>
      </c>
      <c r="B12" t="s">
        <v>4</v>
      </c>
      <c r="C12" t="s">
        <v>5</v>
      </c>
      <c r="D12" s="2">
        <v>7070345</v>
      </c>
      <c r="F12" t="s">
        <v>465</v>
      </c>
      <c r="G12" t="str">
        <f>IF(COUNTIF(CcliTop100Canada!$D$2:$D$101,D12)&gt;0,"","NO")</f>
        <v/>
      </c>
      <c r="H12" t="str">
        <f>IF(COUNTIF(CcliTop100Usa!$D$2:$D$101,D12)&gt;0,"","NO")</f>
        <v/>
      </c>
    </row>
    <row r="13" spans="1:8" hidden="1" x14ac:dyDescent="0.25">
      <c r="A13">
        <v>12</v>
      </c>
      <c r="B13" t="s">
        <v>69</v>
      </c>
      <c r="C13" t="s">
        <v>70</v>
      </c>
      <c r="D13" s="2">
        <v>14181</v>
      </c>
      <c r="F13" t="s">
        <v>465</v>
      </c>
      <c r="G13" t="str">
        <f>IF(COUNTIF(CcliTop100Canada!$D$2:$D$101,D13)&gt;0,"","NO")</f>
        <v/>
      </c>
      <c r="H13" t="str">
        <f>IF(COUNTIF(CcliTop100Usa!$D$2:$D$101,D13)&gt;0,"","NO")</f>
        <v/>
      </c>
    </row>
    <row r="14" spans="1:8" hidden="1" x14ac:dyDescent="0.25">
      <c r="A14">
        <v>13</v>
      </c>
      <c r="B14" t="s">
        <v>40</v>
      </c>
      <c r="C14" t="s">
        <v>41</v>
      </c>
      <c r="D14" s="2">
        <v>1558110</v>
      </c>
      <c r="F14" t="s">
        <v>465</v>
      </c>
      <c r="G14" t="str">
        <f>IF(COUNTIF(CcliTop100Canada!$D$2:$D$101,D14)&gt;0,"","NO")</f>
        <v/>
      </c>
      <c r="H14" t="str">
        <f>IF(COUNTIF(CcliTop100Usa!$D$2:$D$101,D14)&gt;0,"","NO")</f>
        <v/>
      </c>
    </row>
    <row r="15" spans="1:8" hidden="1" x14ac:dyDescent="0.25">
      <c r="A15">
        <v>14</v>
      </c>
      <c r="B15" t="s">
        <v>18</v>
      </c>
      <c r="C15" t="s">
        <v>19</v>
      </c>
      <c r="D15" s="2">
        <v>7117726</v>
      </c>
      <c r="F15" t="s">
        <v>465</v>
      </c>
      <c r="G15" t="str">
        <f>IF(COUNTIF(CcliTop100Canada!$D$2:$D$101,D15)&gt;0,"","NO")</f>
        <v/>
      </c>
      <c r="H15" t="str">
        <f>IF(COUNTIF(CcliTop100Usa!$D$2:$D$101,D15)&gt;0,"","NO")</f>
        <v/>
      </c>
    </row>
    <row r="16" spans="1:8" hidden="1" x14ac:dyDescent="0.25">
      <c r="A16">
        <v>15</v>
      </c>
      <c r="B16" t="s">
        <v>12</v>
      </c>
      <c r="C16" t="s">
        <v>13</v>
      </c>
      <c r="D16" s="2">
        <v>6460220</v>
      </c>
      <c r="F16" t="s">
        <v>465</v>
      </c>
      <c r="G16" t="str">
        <f>IF(COUNTIF(CcliTop100Canada!$D$2:$D$101,D16)&gt;0,"","NO")</f>
        <v/>
      </c>
      <c r="H16" t="str">
        <f>IF(COUNTIF(CcliTop100Usa!$D$2:$D$101,D16)&gt;0,"","NO")</f>
        <v/>
      </c>
    </row>
    <row r="17" spans="1:8" x14ac:dyDescent="0.25">
      <c r="A17">
        <v>16</v>
      </c>
      <c r="B17" t="s">
        <v>321</v>
      </c>
      <c r="C17" t="s">
        <v>322</v>
      </c>
      <c r="D17" s="2">
        <v>120824</v>
      </c>
      <c r="F17" t="s">
        <v>465</v>
      </c>
      <c r="G17" t="str">
        <f>IF(COUNTIF(CcliTop100Canada!$D$2:$D$101,D17)&gt;0,"","NO")</f>
        <v>NO</v>
      </c>
      <c r="H17" t="str">
        <f>IF(COUNTIF(CcliTop100Usa!$D$2:$D$101,D17)&gt;0,"","NO")</f>
        <v>NO</v>
      </c>
    </row>
    <row r="18" spans="1:8" hidden="1" x14ac:dyDescent="0.25">
      <c r="A18">
        <v>17</v>
      </c>
      <c r="B18" t="s">
        <v>46</v>
      </c>
      <c r="C18" t="s">
        <v>47</v>
      </c>
      <c r="D18" s="2">
        <v>4768151</v>
      </c>
      <c r="F18" t="s">
        <v>465</v>
      </c>
      <c r="G18" t="str">
        <f>IF(COUNTIF(CcliTop100Canada!$D$2:$D$101,D18)&gt;0,"","NO")</f>
        <v/>
      </c>
      <c r="H18" t="str">
        <f>IF(COUNTIF(CcliTop100Usa!$D$2:$D$101,D18)&gt;0,"","NO")</f>
        <v/>
      </c>
    </row>
    <row r="19" spans="1:8" hidden="1" x14ac:dyDescent="0.25">
      <c r="A19">
        <v>18</v>
      </c>
      <c r="B19" t="s">
        <v>36</v>
      </c>
      <c r="C19" t="s">
        <v>37</v>
      </c>
      <c r="D19" s="2">
        <v>3798438</v>
      </c>
      <c r="F19" t="s">
        <v>465</v>
      </c>
      <c r="G19" t="str">
        <f>IF(COUNTIF(CcliTop100Canada!$D$2:$D$101,D19)&gt;0,"","NO")</f>
        <v/>
      </c>
      <c r="H19" t="str">
        <f>IF(COUNTIF(CcliTop100Usa!$D$2:$D$101,D19)&gt;0,"","NO")</f>
        <v/>
      </c>
    </row>
    <row r="20" spans="1:8" hidden="1" x14ac:dyDescent="0.25">
      <c r="A20">
        <v>19</v>
      </c>
      <c r="B20" t="s">
        <v>10</v>
      </c>
      <c r="C20" t="s">
        <v>11</v>
      </c>
      <c r="D20" s="2">
        <v>7102401</v>
      </c>
      <c r="F20" t="s">
        <v>465</v>
      </c>
      <c r="G20" t="str">
        <f>IF(COUNTIF(CcliTop100Canada!$D$2:$D$101,D20)&gt;0,"","NO")</f>
        <v/>
      </c>
      <c r="H20" t="str">
        <f>IF(COUNTIF(CcliTop100Usa!$D$2:$D$101,D20)&gt;0,"","NO")</f>
        <v/>
      </c>
    </row>
    <row r="21" spans="1:8" hidden="1" x14ac:dyDescent="0.25">
      <c r="A21">
        <v>20</v>
      </c>
      <c r="B21" t="s">
        <v>30</v>
      </c>
      <c r="C21" t="s">
        <v>31</v>
      </c>
      <c r="D21" s="2">
        <v>7119315</v>
      </c>
      <c r="F21" t="s">
        <v>465</v>
      </c>
      <c r="G21" t="str">
        <f>IF(COUNTIF(CcliTop100Canada!$D$2:$D$101,D21)&gt;0,"","NO")</f>
        <v/>
      </c>
      <c r="H21" t="str">
        <f>IF(COUNTIF(CcliTop100Usa!$D$2:$D$101,D21)&gt;0,"","NO")</f>
        <v/>
      </c>
    </row>
    <row r="22" spans="1:8" hidden="1" x14ac:dyDescent="0.25">
      <c r="A22">
        <v>21</v>
      </c>
      <c r="B22" t="s">
        <v>50</v>
      </c>
      <c r="C22" t="s">
        <v>51</v>
      </c>
      <c r="D22" s="2">
        <v>7038281</v>
      </c>
      <c r="F22" t="s">
        <v>465</v>
      </c>
      <c r="G22" t="str">
        <f>IF(COUNTIF(CcliTop100Canada!$D$2:$D$101,D22)&gt;0,"","NO")</f>
        <v/>
      </c>
      <c r="H22" t="str">
        <f>IF(COUNTIF(CcliTop100Usa!$D$2:$D$101,D22)&gt;0,"","NO")</f>
        <v/>
      </c>
    </row>
    <row r="23" spans="1:8" hidden="1" x14ac:dyDescent="0.25">
      <c r="A23">
        <v>22</v>
      </c>
      <c r="B23" t="s">
        <v>32</v>
      </c>
      <c r="C23" t="s">
        <v>33</v>
      </c>
      <c r="D23" s="2">
        <v>4662491</v>
      </c>
      <c r="F23" t="s">
        <v>465</v>
      </c>
      <c r="G23" t="str">
        <f>IF(COUNTIF(CcliTop100Canada!$D$2:$D$101,D23)&gt;0,"","NO")</f>
        <v/>
      </c>
      <c r="H23" t="str">
        <f>IF(COUNTIF(CcliTop100Usa!$D$2:$D$101,D23)&gt;0,"","NO")</f>
        <v/>
      </c>
    </row>
    <row r="24" spans="1:8" hidden="1" x14ac:dyDescent="0.25">
      <c r="A24">
        <v>23</v>
      </c>
      <c r="B24" t="s">
        <v>87</v>
      </c>
      <c r="C24" t="s">
        <v>88</v>
      </c>
      <c r="D24" s="2">
        <v>7002032</v>
      </c>
      <c r="F24" t="s">
        <v>465</v>
      </c>
      <c r="G24" t="str">
        <f>IF(COUNTIF(CcliTop100Canada!$D$2:$D$101,D24)&gt;0,"","NO")</f>
        <v/>
      </c>
      <c r="H24" t="str">
        <f>IF(COUNTIF(CcliTop100Usa!$D$2:$D$101,D24)&gt;0,"","NO")</f>
        <v>NO</v>
      </c>
    </row>
    <row r="25" spans="1:8" x14ac:dyDescent="0.25">
      <c r="A25">
        <v>24</v>
      </c>
      <c r="B25" t="s">
        <v>323</v>
      </c>
      <c r="C25" t="s">
        <v>324</v>
      </c>
      <c r="D25" s="2">
        <v>5232617</v>
      </c>
      <c r="F25" t="s">
        <v>465</v>
      </c>
      <c r="G25" t="str">
        <f>IF(COUNTIF(CcliTop100Canada!$D$2:$D$101,D25)&gt;0,"","NO")</f>
        <v>NO</v>
      </c>
      <c r="H25" t="str">
        <f>IF(COUNTIF(CcliTop100Usa!$D$2:$D$101,D25)&gt;0,"","NO")</f>
        <v>NO</v>
      </c>
    </row>
    <row r="26" spans="1:8" hidden="1" x14ac:dyDescent="0.25">
      <c r="A26">
        <v>25</v>
      </c>
      <c r="B26" t="s">
        <v>79</v>
      </c>
      <c r="C26" t="s">
        <v>80</v>
      </c>
      <c r="D26" s="2">
        <v>7018338</v>
      </c>
      <c r="F26" t="s">
        <v>465</v>
      </c>
      <c r="G26" t="str">
        <f>IF(COUNTIF(CcliTop100Canada!$D$2:$D$101,D26)&gt;0,"","NO")</f>
        <v/>
      </c>
      <c r="H26" t="str">
        <f>IF(COUNTIF(CcliTop100Usa!$D$2:$D$101,D26)&gt;0,"","NO")</f>
        <v/>
      </c>
    </row>
    <row r="27" spans="1:8" hidden="1" x14ac:dyDescent="0.25">
      <c r="A27">
        <v>26</v>
      </c>
      <c r="B27" t="s">
        <v>61</v>
      </c>
      <c r="C27" t="s">
        <v>62</v>
      </c>
      <c r="D27" s="2">
        <v>3266032</v>
      </c>
      <c r="F27" t="s">
        <v>465</v>
      </c>
      <c r="G27" t="str">
        <f>IF(COUNTIF(CcliTop100Canada!$D$2:$D$101,D27)&gt;0,"","NO")</f>
        <v/>
      </c>
      <c r="H27" t="str">
        <f>IF(COUNTIF(CcliTop100Usa!$D$2:$D$101,D27)&gt;0,"","NO")</f>
        <v/>
      </c>
    </row>
    <row r="28" spans="1:8" hidden="1" x14ac:dyDescent="0.25">
      <c r="A28">
        <v>27</v>
      </c>
      <c r="B28" t="s">
        <v>73</v>
      </c>
      <c r="C28" t="s">
        <v>74</v>
      </c>
      <c r="D28" s="2">
        <v>4556538</v>
      </c>
      <c r="F28" t="s">
        <v>465</v>
      </c>
      <c r="G28" t="str">
        <f>IF(COUNTIF(CcliTop100Canada!$D$2:$D$101,D28)&gt;0,"","NO")</f>
        <v/>
      </c>
      <c r="H28" t="str">
        <f>IF(COUNTIF(CcliTop100Usa!$D$2:$D$101,D28)&gt;0,"","NO")</f>
        <v/>
      </c>
    </row>
    <row r="29" spans="1:8" hidden="1" x14ac:dyDescent="0.25">
      <c r="A29">
        <v>28</v>
      </c>
      <c r="B29" t="s">
        <v>129</v>
      </c>
      <c r="C29" t="s">
        <v>98</v>
      </c>
      <c r="D29" s="2">
        <v>465840</v>
      </c>
      <c r="F29" t="s">
        <v>465</v>
      </c>
      <c r="G29" t="str">
        <f>IF(COUNTIF(CcliTop100Canada!$D$2:$D$101,D29)&gt;0,"","NO")</f>
        <v/>
      </c>
      <c r="H29" t="str">
        <f>IF(COUNTIF(CcliTop100Usa!$D$2:$D$101,D29)&gt;0,"","NO")</f>
        <v>NO</v>
      </c>
    </row>
    <row r="30" spans="1:8" hidden="1" x14ac:dyDescent="0.25">
      <c r="A30">
        <v>29</v>
      </c>
      <c r="B30" t="s">
        <v>22</v>
      </c>
      <c r="C30" t="s">
        <v>23</v>
      </c>
      <c r="D30" s="2">
        <v>7036612</v>
      </c>
      <c r="F30" t="s">
        <v>465</v>
      </c>
      <c r="G30" t="str">
        <f>IF(COUNTIF(CcliTop100Canada!$D$2:$D$101,D30)&gt;0,"","NO")</f>
        <v/>
      </c>
      <c r="H30" t="str">
        <f>IF(COUNTIF(CcliTop100Usa!$D$2:$D$101,D30)&gt;0,"","NO")</f>
        <v/>
      </c>
    </row>
    <row r="31" spans="1:8" hidden="1" x14ac:dyDescent="0.25">
      <c r="A31">
        <v>30</v>
      </c>
      <c r="B31" t="s">
        <v>52</v>
      </c>
      <c r="C31" t="s">
        <v>11</v>
      </c>
      <c r="D31" s="2">
        <v>4591782</v>
      </c>
      <c r="F31" t="s">
        <v>465</v>
      </c>
      <c r="G31" t="str">
        <f>IF(COUNTIF(CcliTop100Canada!$D$2:$D$101,D31)&gt;0,"","NO")</f>
        <v/>
      </c>
      <c r="H31" t="str">
        <f>IF(COUNTIF(CcliTop100Usa!$D$2:$D$101,D31)&gt;0,"","NO")</f>
        <v/>
      </c>
    </row>
    <row r="32" spans="1:8" x14ac:dyDescent="0.25">
      <c r="A32">
        <v>31</v>
      </c>
      <c r="B32" t="s">
        <v>325</v>
      </c>
      <c r="C32" t="s">
        <v>326</v>
      </c>
      <c r="D32" s="2">
        <v>1581778</v>
      </c>
      <c r="F32" t="s">
        <v>465</v>
      </c>
      <c r="G32" t="str">
        <f>IF(COUNTIF(CcliTop100Canada!$D$2:$D$101,D32)&gt;0,"","NO")</f>
        <v>NO</v>
      </c>
      <c r="H32" t="str">
        <f>IF(COUNTIF(CcliTop100Usa!$D$2:$D$101,D32)&gt;0,"","NO")</f>
        <v>NO</v>
      </c>
    </row>
    <row r="33" spans="1:8" hidden="1" x14ac:dyDescent="0.25">
      <c r="A33">
        <v>32</v>
      </c>
      <c r="B33" t="s">
        <v>108</v>
      </c>
      <c r="C33" t="s">
        <v>109</v>
      </c>
      <c r="D33" s="2">
        <v>1406918</v>
      </c>
      <c r="F33" t="s">
        <v>465</v>
      </c>
      <c r="G33" t="str">
        <f>IF(COUNTIF(CcliTop100Canada!$D$2:$D$101,D33)&gt;0,"","NO")</f>
        <v/>
      </c>
      <c r="H33" t="str">
        <f>IF(COUNTIF(CcliTop100Usa!$D$2:$D$101,D33)&gt;0,"","NO")</f>
        <v/>
      </c>
    </row>
    <row r="34" spans="1:8" hidden="1" x14ac:dyDescent="0.25">
      <c r="A34">
        <v>33</v>
      </c>
      <c r="B34" t="s">
        <v>57</v>
      </c>
      <c r="C34" t="s">
        <v>58</v>
      </c>
      <c r="D34" s="2">
        <v>7121852</v>
      </c>
      <c r="F34" t="s">
        <v>465</v>
      </c>
      <c r="G34" t="str">
        <f>IF(COUNTIF(CcliTop100Canada!$D$2:$D$101,D34)&gt;0,"","NO")</f>
        <v/>
      </c>
      <c r="H34" t="str">
        <f>IF(COUNTIF(CcliTop100Usa!$D$2:$D$101,D34)&gt;0,"","NO")</f>
        <v/>
      </c>
    </row>
    <row r="35" spans="1:8" x14ac:dyDescent="0.25">
      <c r="A35">
        <v>34</v>
      </c>
      <c r="B35" t="s">
        <v>327</v>
      </c>
      <c r="C35" t="s">
        <v>328</v>
      </c>
      <c r="D35" s="2">
        <v>3373437</v>
      </c>
      <c r="F35" t="s">
        <v>465</v>
      </c>
      <c r="G35" t="str">
        <f>IF(COUNTIF(CcliTop100Canada!$D$2:$D$101,D35)&gt;0,"","NO")</f>
        <v>NO</v>
      </c>
      <c r="H35" t="str">
        <f>IF(COUNTIF(CcliTop100Usa!$D$2:$D$101,D35)&gt;0,"","NO")</f>
        <v>NO</v>
      </c>
    </row>
    <row r="36" spans="1:8" hidden="1" x14ac:dyDescent="0.25">
      <c r="A36">
        <v>35</v>
      </c>
      <c r="B36" t="s">
        <v>89</v>
      </c>
      <c r="C36" t="s">
        <v>90</v>
      </c>
      <c r="D36" s="2">
        <v>6186078</v>
      </c>
      <c r="F36" t="s">
        <v>465</v>
      </c>
      <c r="G36" t="str">
        <f>IF(COUNTIF(CcliTop100Canada!$D$2:$D$101,D36)&gt;0,"","NO")</f>
        <v/>
      </c>
      <c r="H36" t="str">
        <f>IF(COUNTIF(CcliTop100Usa!$D$2:$D$101,D36)&gt;0,"","NO")</f>
        <v/>
      </c>
    </row>
    <row r="37" spans="1:8" x14ac:dyDescent="0.25">
      <c r="A37">
        <v>36</v>
      </c>
      <c r="B37" t="s">
        <v>329</v>
      </c>
      <c r="C37" t="s">
        <v>330</v>
      </c>
      <c r="D37" s="2">
        <v>18723</v>
      </c>
      <c r="F37" t="s">
        <v>465</v>
      </c>
      <c r="G37" t="str">
        <f>IF(COUNTIF(CcliTop100Canada!$D$2:$D$101,D37)&gt;0,"","NO")</f>
        <v>NO</v>
      </c>
      <c r="H37" t="str">
        <f>IF(COUNTIF(CcliTop100Usa!$D$2:$D$101,D37)&gt;0,"","NO")</f>
        <v>NO</v>
      </c>
    </row>
    <row r="38" spans="1:8" hidden="1" x14ac:dyDescent="0.25">
      <c r="A38">
        <v>37</v>
      </c>
      <c r="B38" t="s">
        <v>26</v>
      </c>
      <c r="C38" t="s">
        <v>27</v>
      </c>
      <c r="D38" s="2">
        <v>7127647</v>
      </c>
      <c r="F38" t="s">
        <v>465</v>
      </c>
      <c r="G38" t="str">
        <f>IF(COUNTIF(CcliTop100Canada!$D$2:$D$101,D38)&gt;0,"","NO")</f>
        <v/>
      </c>
      <c r="H38" t="str">
        <f>IF(COUNTIF(CcliTop100Usa!$D$2:$D$101,D38)&gt;0,"","NO")</f>
        <v/>
      </c>
    </row>
    <row r="39" spans="1:8" hidden="1" x14ac:dyDescent="0.25">
      <c r="A39">
        <v>38</v>
      </c>
      <c r="B39" t="s">
        <v>55</v>
      </c>
      <c r="C39" t="s">
        <v>56</v>
      </c>
      <c r="D39" s="2">
        <v>7046145</v>
      </c>
      <c r="F39" t="s">
        <v>465</v>
      </c>
      <c r="G39" t="str">
        <f>IF(COUNTIF(CcliTop100Canada!$D$2:$D$101,D39)&gt;0,"","NO")</f>
        <v/>
      </c>
      <c r="H39" t="str">
        <f>IF(COUNTIF(CcliTop100Usa!$D$2:$D$101,D39)&gt;0,"","NO")</f>
        <v/>
      </c>
    </row>
    <row r="40" spans="1:8" hidden="1" x14ac:dyDescent="0.25">
      <c r="A40">
        <v>39</v>
      </c>
      <c r="B40" t="s">
        <v>75</v>
      </c>
      <c r="C40" t="s">
        <v>76</v>
      </c>
      <c r="D40" s="2">
        <v>3148428</v>
      </c>
      <c r="F40" t="s">
        <v>465</v>
      </c>
      <c r="G40" t="str">
        <f>IF(COUNTIF(CcliTop100Canada!$D$2:$D$101,D40)&gt;0,"","NO")</f>
        <v/>
      </c>
      <c r="H40" t="str">
        <f>IF(COUNTIF(CcliTop100Usa!$D$2:$D$101,D40)&gt;0,"","NO")</f>
        <v/>
      </c>
    </row>
    <row r="41" spans="1:8" hidden="1" x14ac:dyDescent="0.25">
      <c r="A41">
        <v>40</v>
      </c>
      <c r="B41" t="s">
        <v>95</v>
      </c>
      <c r="C41" t="s">
        <v>96</v>
      </c>
      <c r="D41" s="2">
        <v>11483</v>
      </c>
      <c r="F41" t="s">
        <v>465</v>
      </c>
      <c r="G41" t="str">
        <f>IF(COUNTIF(CcliTop100Canada!$D$2:$D$101,D41)&gt;0,"","NO")</f>
        <v/>
      </c>
      <c r="H41" t="str">
        <f>IF(COUNTIF(CcliTop100Usa!$D$2:$D$101,D41)&gt;0,"","NO")</f>
        <v>NO</v>
      </c>
    </row>
    <row r="42" spans="1:8" hidden="1" x14ac:dyDescent="0.25">
      <c r="A42">
        <v>41</v>
      </c>
      <c r="B42" t="s">
        <v>125</v>
      </c>
      <c r="C42" t="s">
        <v>126</v>
      </c>
      <c r="D42" s="2">
        <v>5858163</v>
      </c>
      <c r="F42" t="s">
        <v>465</v>
      </c>
      <c r="G42" t="str">
        <f>IF(COUNTIF(CcliTop100Canada!$D$2:$D$101,D42)&gt;0,"","NO")</f>
        <v/>
      </c>
      <c r="H42" t="str">
        <f>IF(COUNTIF(CcliTop100Usa!$D$2:$D$101,D42)&gt;0,"","NO")</f>
        <v>NO</v>
      </c>
    </row>
    <row r="43" spans="1:8" hidden="1" x14ac:dyDescent="0.25">
      <c r="A43">
        <v>42</v>
      </c>
      <c r="B43" t="s">
        <v>38</v>
      </c>
      <c r="C43" t="s">
        <v>39</v>
      </c>
      <c r="D43" s="2">
        <v>7147007</v>
      </c>
      <c r="F43" t="s">
        <v>465</v>
      </c>
      <c r="G43" t="str">
        <f>IF(COUNTIF(CcliTop100Canada!$D$2:$D$101,D43)&gt;0,"","NO")</f>
        <v/>
      </c>
      <c r="H43" t="str">
        <f>IF(COUNTIF(CcliTop100Usa!$D$2:$D$101,D43)&gt;0,"","NO")</f>
        <v/>
      </c>
    </row>
    <row r="44" spans="1:8" hidden="1" x14ac:dyDescent="0.25">
      <c r="A44">
        <v>43</v>
      </c>
      <c r="B44" t="s">
        <v>102</v>
      </c>
      <c r="C44" t="s">
        <v>103</v>
      </c>
      <c r="D44" s="2">
        <v>6428767</v>
      </c>
      <c r="F44" t="s">
        <v>465</v>
      </c>
      <c r="G44" t="str">
        <f>IF(COUNTIF(CcliTop100Canada!$D$2:$D$101,D44)&gt;0,"","NO")</f>
        <v/>
      </c>
      <c r="H44" t="str">
        <f>IF(COUNTIF(CcliTop100Usa!$D$2:$D$101,D44)&gt;0,"","NO")</f>
        <v/>
      </c>
    </row>
    <row r="45" spans="1:8" hidden="1" x14ac:dyDescent="0.25">
      <c r="A45">
        <v>44</v>
      </c>
      <c r="B45" t="s">
        <v>53</v>
      </c>
      <c r="C45" t="s">
        <v>54</v>
      </c>
      <c r="D45" s="2">
        <v>7111321</v>
      </c>
      <c r="F45" t="s">
        <v>465</v>
      </c>
      <c r="G45" t="str">
        <f>IF(COUNTIF(CcliTop100Canada!$D$2:$D$101,D45)&gt;0,"","NO")</f>
        <v/>
      </c>
      <c r="H45" t="str">
        <f>IF(COUNTIF(CcliTop100Usa!$D$2:$D$101,D45)&gt;0,"","NO")</f>
        <v/>
      </c>
    </row>
    <row r="46" spans="1:8" hidden="1" x14ac:dyDescent="0.25">
      <c r="A46">
        <v>45</v>
      </c>
      <c r="B46" t="s">
        <v>164</v>
      </c>
      <c r="C46" t="s">
        <v>165</v>
      </c>
      <c r="D46" s="2">
        <v>2306412</v>
      </c>
      <c r="F46" t="s">
        <v>465</v>
      </c>
      <c r="G46" t="str">
        <f>IF(COUNTIF(CcliTop100Canada!$D$2:$D$101,D46)&gt;0,"","NO")</f>
        <v/>
      </c>
      <c r="H46" t="str">
        <f>IF(COUNTIF(CcliTop100Usa!$D$2:$D$101,D46)&gt;0,"","NO")</f>
        <v/>
      </c>
    </row>
    <row r="47" spans="1:8" hidden="1" x14ac:dyDescent="0.25">
      <c r="A47">
        <v>46</v>
      </c>
      <c r="B47" t="s">
        <v>97</v>
      </c>
      <c r="C47" t="s">
        <v>98</v>
      </c>
      <c r="D47" s="2">
        <v>2430948</v>
      </c>
      <c r="F47" t="s">
        <v>465</v>
      </c>
      <c r="G47" t="str">
        <f>IF(COUNTIF(CcliTop100Canada!$D$2:$D$101,D47)&gt;0,"","NO")</f>
        <v/>
      </c>
      <c r="H47" t="str">
        <f>IF(COUNTIF(CcliTop100Usa!$D$2:$D$101,D47)&gt;0,"","NO")</f>
        <v/>
      </c>
    </row>
    <row r="48" spans="1:8" hidden="1" x14ac:dyDescent="0.25">
      <c r="A48">
        <v>47</v>
      </c>
      <c r="B48" t="s">
        <v>168</v>
      </c>
      <c r="C48" t="s">
        <v>169</v>
      </c>
      <c r="D48" s="2">
        <v>5925649</v>
      </c>
      <c r="F48" t="s">
        <v>465</v>
      </c>
      <c r="G48" t="str">
        <f>IF(COUNTIF(CcliTop100Canada!$D$2:$D$101,D48)&gt;0,"","NO")</f>
        <v/>
      </c>
      <c r="H48" t="str">
        <f>IF(COUNTIF(CcliTop100Usa!$D$2:$D$101,D48)&gt;0,"","NO")</f>
        <v>NO</v>
      </c>
    </row>
    <row r="49" spans="1:8" hidden="1" x14ac:dyDescent="0.25">
      <c r="A49">
        <v>48</v>
      </c>
      <c r="B49" t="s">
        <v>42</v>
      </c>
      <c r="C49" t="s">
        <v>43</v>
      </c>
      <c r="D49" s="2">
        <v>7030123</v>
      </c>
      <c r="F49" t="s">
        <v>465</v>
      </c>
      <c r="G49" t="str">
        <f>IF(COUNTIF(CcliTop100Canada!$D$2:$D$101,D49)&gt;0,"","NO")</f>
        <v/>
      </c>
      <c r="H49" t="str">
        <f>IF(COUNTIF(CcliTop100Usa!$D$2:$D$101,D49)&gt;0,"","NO")</f>
        <v/>
      </c>
    </row>
    <row r="50" spans="1:8" hidden="1" x14ac:dyDescent="0.25">
      <c r="A50">
        <v>49</v>
      </c>
      <c r="B50" t="s">
        <v>174</v>
      </c>
      <c r="C50" t="s">
        <v>25</v>
      </c>
      <c r="D50" s="2">
        <v>4615235</v>
      </c>
      <c r="F50" t="s">
        <v>465</v>
      </c>
      <c r="G50" t="str">
        <f>IF(COUNTIF(CcliTop100Canada!$D$2:$D$101,D50)&gt;0,"","NO")</f>
        <v/>
      </c>
      <c r="H50" t="str">
        <f>IF(COUNTIF(CcliTop100Usa!$D$2:$D$101,D50)&gt;0,"","NO")</f>
        <v>NO</v>
      </c>
    </row>
    <row r="51" spans="1:8" hidden="1" x14ac:dyDescent="0.25">
      <c r="A51">
        <v>50</v>
      </c>
      <c r="B51" t="s">
        <v>71</v>
      </c>
      <c r="C51" t="s">
        <v>72</v>
      </c>
      <c r="D51" s="2">
        <v>5677416</v>
      </c>
      <c r="F51" t="s">
        <v>465</v>
      </c>
      <c r="G51" t="str">
        <f>IF(COUNTIF(CcliTop100Canada!$D$2:$D$101,D51)&gt;0,"","NO")</f>
        <v/>
      </c>
      <c r="H51" t="str">
        <f>IF(COUNTIF(CcliTop100Usa!$D$2:$D$101,D51)&gt;0,"","NO")</f>
        <v/>
      </c>
    </row>
    <row r="52" spans="1:8" hidden="1" x14ac:dyDescent="0.25">
      <c r="A52">
        <v>51</v>
      </c>
      <c r="B52" t="s">
        <v>77</v>
      </c>
      <c r="C52" t="s">
        <v>78</v>
      </c>
      <c r="D52" s="2">
        <v>2298355</v>
      </c>
      <c r="F52" t="s">
        <v>465</v>
      </c>
      <c r="G52" t="str">
        <f>IF(COUNTIF(CcliTop100Canada!$D$2:$D$101,D52)&gt;0,"","NO")</f>
        <v/>
      </c>
      <c r="H52" t="str">
        <f>IF(COUNTIF(CcliTop100Usa!$D$2:$D$101,D52)&gt;0,"","NO")</f>
        <v/>
      </c>
    </row>
    <row r="53" spans="1:8" x14ac:dyDescent="0.25">
      <c r="A53">
        <v>52</v>
      </c>
      <c r="B53" t="s">
        <v>331</v>
      </c>
      <c r="C53" t="s">
        <v>332</v>
      </c>
      <c r="D53" s="2">
        <v>78897</v>
      </c>
      <c r="F53" t="s">
        <v>465</v>
      </c>
      <c r="G53" t="str">
        <f>IF(COUNTIF(CcliTop100Canada!$D$2:$D$101,D53)&gt;0,"","NO")</f>
        <v>NO</v>
      </c>
      <c r="H53" t="str">
        <f>IF(COUNTIF(CcliTop100Usa!$D$2:$D$101,D53)&gt;0,"","NO")</f>
        <v>NO</v>
      </c>
    </row>
    <row r="54" spans="1:8" x14ac:dyDescent="0.25">
      <c r="A54">
        <v>53</v>
      </c>
      <c r="B54" t="s">
        <v>333</v>
      </c>
      <c r="C54" t="s">
        <v>332</v>
      </c>
      <c r="D54" s="2">
        <v>1045238</v>
      </c>
      <c r="F54" t="s">
        <v>465</v>
      </c>
      <c r="G54" t="str">
        <f>IF(COUNTIF(CcliTop100Canada!$D$2:$D$101,D54)&gt;0,"","NO")</f>
        <v>NO</v>
      </c>
      <c r="H54" t="str">
        <f>IF(COUNTIF(CcliTop100Usa!$D$2:$D$101,D54)&gt;0,"","NO")</f>
        <v>NO</v>
      </c>
    </row>
    <row r="55" spans="1:8" x14ac:dyDescent="0.25">
      <c r="A55">
        <v>54</v>
      </c>
      <c r="B55" t="s">
        <v>334</v>
      </c>
      <c r="C55" t="s">
        <v>25</v>
      </c>
      <c r="D55" s="2">
        <v>4108797</v>
      </c>
      <c r="F55" t="s">
        <v>465</v>
      </c>
      <c r="G55" t="str">
        <f>IF(COUNTIF(CcliTop100Canada!$D$2:$D$101,D55)&gt;0,"","NO")</f>
        <v>NO</v>
      </c>
      <c r="H55" t="str">
        <f>IF(COUNTIF(CcliTop100Usa!$D$2:$D$101,D55)&gt;0,"","NO")</f>
        <v>NO</v>
      </c>
    </row>
    <row r="56" spans="1:8" x14ac:dyDescent="0.25">
      <c r="A56">
        <v>55</v>
      </c>
      <c r="B56" t="s">
        <v>335</v>
      </c>
      <c r="C56" t="s">
        <v>336</v>
      </c>
      <c r="D56" s="2">
        <v>5937510</v>
      </c>
      <c r="F56" t="s">
        <v>465</v>
      </c>
      <c r="G56" t="str">
        <f>IF(COUNTIF(CcliTop100Canada!$D$2:$D$101,D56)&gt;0,"","NO")</f>
        <v>NO</v>
      </c>
      <c r="H56" t="str">
        <f>IF(COUNTIF(CcliTop100Usa!$D$2:$D$101,D56)&gt;0,"","NO")</f>
        <v>NO</v>
      </c>
    </row>
    <row r="57" spans="1:8" x14ac:dyDescent="0.25">
      <c r="A57">
        <v>56</v>
      </c>
      <c r="B57" t="s">
        <v>337</v>
      </c>
      <c r="C57" t="s">
        <v>332</v>
      </c>
      <c r="D57" s="2">
        <v>30426</v>
      </c>
      <c r="F57" t="s">
        <v>465</v>
      </c>
      <c r="G57" t="str">
        <f>IF(COUNTIF(CcliTop100Canada!$D$2:$D$101,D57)&gt;0,"","NO")</f>
        <v>NO</v>
      </c>
      <c r="H57" t="str">
        <f>IF(COUNTIF(CcliTop100Usa!$D$2:$D$101,D57)&gt;0,"","NO")</f>
        <v>NO</v>
      </c>
    </row>
    <row r="58" spans="1:8" hidden="1" x14ac:dyDescent="0.25">
      <c r="A58">
        <v>57</v>
      </c>
      <c r="B58" t="s">
        <v>48</v>
      </c>
      <c r="C58" t="s">
        <v>49</v>
      </c>
      <c r="D58" s="2">
        <v>6087919</v>
      </c>
      <c r="F58" t="s">
        <v>465</v>
      </c>
      <c r="G58" t="str">
        <f>IF(COUNTIF(CcliTop100Canada!$D$2:$D$101,D58)&gt;0,"","NO")</f>
        <v/>
      </c>
      <c r="H58" t="str">
        <f>IF(COUNTIF(CcliTop100Usa!$D$2:$D$101,D58)&gt;0,"","NO")</f>
        <v/>
      </c>
    </row>
    <row r="59" spans="1:8" hidden="1" x14ac:dyDescent="0.25">
      <c r="A59">
        <v>58</v>
      </c>
      <c r="B59" t="s">
        <v>67</v>
      </c>
      <c r="C59" t="s">
        <v>68</v>
      </c>
      <c r="D59" s="2">
        <v>7089641</v>
      </c>
      <c r="F59" t="s">
        <v>465</v>
      </c>
      <c r="G59" t="str">
        <f>IF(COUNTIF(CcliTop100Canada!$D$2:$D$101,D59)&gt;0,"","NO")</f>
        <v/>
      </c>
      <c r="H59" t="str">
        <f>IF(COUNTIF(CcliTop100Usa!$D$2:$D$101,D59)&gt;0,"","NO")</f>
        <v/>
      </c>
    </row>
    <row r="60" spans="1:8" x14ac:dyDescent="0.25">
      <c r="A60">
        <v>59</v>
      </c>
      <c r="B60" t="s">
        <v>338</v>
      </c>
      <c r="C60" t="s">
        <v>119</v>
      </c>
      <c r="D60" s="2">
        <v>1083764</v>
      </c>
      <c r="F60" t="s">
        <v>465</v>
      </c>
      <c r="G60" t="str">
        <f>IF(COUNTIF(CcliTop100Canada!$D$2:$D$101,D60)&gt;0,"","NO")</f>
        <v>NO</v>
      </c>
      <c r="H60" t="str">
        <f>IF(COUNTIF(CcliTop100Usa!$D$2:$D$101,D60)&gt;0,"","NO")</f>
        <v>NO</v>
      </c>
    </row>
    <row r="61" spans="1:8" hidden="1" x14ac:dyDescent="0.25">
      <c r="A61">
        <v>60</v>
      </c>
      <c r="B61" t="s">
        <v>153</v>
      </c>
      <c r="C61" t="s">
        <v>154</v>
      </c>
      <c r="D61" s="2">
        <v>7016161</v>
      </c>
      <c r="F61" t="s">
        <v>465</v>
      </c>
      <c r="G61" t="str">
        <f>IF(COUNTIF(CcliTop100Canada!$D$2:$D$101,D61)&gt;0,"","NO")</f>
        <v/>
      </c>
      <c r="H61" t="str">
        <f>IF(COUNTIF(CcliTop100Usa!$D$2:$D$101,D61)&gt;0,"","NO")</f>
        <v/>
      </c>
    </row>
    <row r="62" spans="1:8" x14ac:dyDescent="0.25">
      <c r="A62">
        <v>61</v>
      </c>
      <c r="B62" t="s">
        <v>339</v>
      </c>
      <c r="C62" t="s">
        <v>340</v>
      </c>
      <c r="D62" s="2">
        <v>4847027</v>
      </c>
      <c r="F62" t="s">
        <v>465</v>
      </c>
      <c r="G62" t="str">
        <f>IF(COUNTIF(CcliTop100Canada!$D$2:$D$101,D62)&gt;0,"","NO")</f>
        <v>NO</v>
      </c>
      <c r="H62" t="str">
        <f>IF(COUNTIF(CcliTop100Usa!$D$2:$D$101,D62)&gt;0,"","NO")</f>
        <v>NO</v>
      </c>
    </row>
    <row r="63" spans="1:8" hidden="1" x14ac:dyDescent="0.25">
      <c r="A63">
        <v>62</v>
      </c>
      <c r="B63" t="s">
        <v>118</v>
      </c>
      <c r="C63" t="s">
        <v>119</v>
      </c>
      <c r="D63" s="2">
        <v>2296522</v>
      </c>
      <c r="F63" t="s">
        <v>465</v>
      </c>
      <c r="G63" t="str">
        <f>IF(COUNTIF(CcliTop100Canada!$D$2:$D$101,D63)&gt;0,"","NO")</f>
        <v/>
      </c>
      <c r="H63" t="str">
        <f>IF(COUNTIF(CcliTop100Usa!$D$2:$D$101,D63)&gt;0,"","NO")</f>
        <v/>
      </c>
    </row>
    <row r="64" spans="1:8" x14ac:dyDescent="0.25">
      <c r="A64">
        <v>63</v>
      </c>
      <c r="B64" t="s">
        <v>341</v>
      </c>
      <c r="C64" t="s">
        <v>25</v>
      </c>
      <c r="D64" s="2">
        <v>3709898</v>
      </c>
      <c r="F64" t="s">
        <v>465</v>
      </c>
      <c r="G64" t="str">
        <f>IF(COUNTIF(CcliTop100Canada!$D$2:$D$101,D64)&gt;0,"","NO")</f>
        <v>NO</v>
      </c>
      <c r="H64" t="str">
        <f>IF(COUNTIF(CcliTop100Usa!$D$2:$D$101,D64)&gt;0,"","NO")</f>
        <v>NO</v>
      </c>
    </row>
    <row r="65" spans="1:8" x14ac:dyDescent="0.25">
      <c r="A65">
        <v>64</v>
      </c>
      <c r="B65" t="s">
        <v>342</v>
      </c>
      <c r="C65" t="s">
        <v>343</v>
      </c>
      <c r="D65" s="2">
        <v>5060834</v>
      </c>
      <c r="F65" t="s">
        <v>465</v>
      </c>
      <c r="G65" t="str">
        <f>IF(COUNTIF(CcliTop100Canada!$D$2:$D$101,D65)&gt;0,"","NO")</f>
        <v>NO</v>
      </c>
      <c r="H65" t="str">
        <f>IF(COUNTIF(CcliTop100Usa!$D$2:$D$101,D65)&gt;0,"","NO")</f>
        <v>NO</v>
      </c>
    </row>
    <row r="66" spans="1:8" hidden="1" x14ac:dyDescent="0.25">
      <c r="A66">
        <v>65</v>
      </c>
      <c r="B66" t="s">
        <v>149</v>
      </c>
      <c r="C66" t="s">
        <v>150</v>
      </c>
      <c r="D66" s="2">
        <v>117947</v>
      </c>
      <c r="F66" t="s">
        <v>465</v>
      </c>
      <c r="G66" t="str">
        <f>IF(COUNTIF(CcliTop100Canada!$D$2:$D$101,D66)&gt;0,"","NO")</f>
        <v/>
      </c>
      <c r="H66" t="str">
        <f>IF(COUNTIF(CcliTop100Usa!$D$2:$D$101,D66)&gt;0,"","NO")</f>
        <v/>
      </c>
    </row>
    <row r="67" spans="1:8" hidden="1" x14ac:dyDescent="0.25">
      <c r="A67">
        <v>66</v>
      </c>
      <c r="B67" t="s">
        <v>59</v>
      </c>
      <c r="C67" t="s">
        <v>60</v>
      </c>
      <c r="D67" s="2">
        <v>7051511</v>
      </c>
      <c r="F67" t="s">
        <v>465</v>
      </c>
      <c r="G67" t="str">
        <f>IF(COUNTIF(CcliTop100Canada!$D$2:$D$101,D67)&gt;0,"","NO")</f>
        <v/>
      </c>
      <c r="H67" t="str">
        <f>IF(COUNTIF(CcliTop100Usa!$D$2:$D$101,D67)&gt;0,"","NO")</f>
        <v/>
      </c>
    </row>
    <row r="68" spans="1:8" x14ac:dyDescent="0.25">
      <c r="A68">
        <v>67</v>
      </c>
      <c r="B68" t="s">
        <v>344</v>
      </c>
      <c r="C68" t="s">
        <v>9</v>
      </c>
      <c r="D68" s="2">
        <v>5376377</v>
      </c>
      <c r="F68" t="s">
        <v>465</v>
      </c>
      <c r="G68" t="str">
        <f>IF(COUNTIF(CcliTop100Canada!$D$2:$D$101,D68)&gt;0,"","NO")</f>
        <v>NO</v>
      </c>
      <c r="H68" t="str">
        <f>IF(COUNTIF(CcliTop100Usa!$D$2:$D$101,D68)&gt;0,"","NO")</f>
        <v>NO</v>
      </c>
    </row>
    <row r="69" spans="1:8" hidden="1" x14ac:dyDescent="0.25">
      <c r="A69">
        <v>68</v>
      </c>
      <c r="B69" t="s">
        <v>155</v>
      </c>
      <c r="C69" t="s">
        <v>156</v>
      </c>
      <c r="D69" s="2">
        <v>5508444</v>
      </c>
      <c r="F69" t="s">
        <v>465</v>
      </c>
      <c r="G69" t="str">
        <f>IF(COUNTIF(CcliTop100Canada!$D$2:$D$101,D69)&gt;0,"","NO")</f>
        <v/>
      </c>
      <c r="H69" t="str">
        <f>IF(COUNTIF(CcliTop100Usa!$D$2:$D$101,D69)&gt;0,"","NO")</f>
        <v/>
      </c>
    </row>
    <row r="70" spans="1:8" x14ac:dyDescent="0.25">
      <c r="A70">
        <v>69</v>
      </c>
      <c r="B70" t="s">
        <v>345</v>
      </c>
      <c r="C70" t="s">
        <v>41</v>
      </c>
      <c r="D70" s="2">
        <v>2492216</v>
      </c>
      <c r="F70" t="s">
        <v>465</v>
      </c>
      <c r="G70" t="str">
        <f>IF(COUNTIF(CcliTop100Canada!$D$2:$D$101,D70)&gt;0,"","NO")</f>
        <v>NO</v>
      </c>
      <c r="H70" t="str">
        <f>IF(COUNTIF(CcliTop100Usa!$D$2:$D$101,D70)&gt;0,"","NO")</f>
        <v>NO</v>
      </c>
    </row>
    <row r="71" spans="1:8" hidden="1" x14ac:dyDescent="0.25">
      <c r="A71">
        <v>70</v>
      </c>
      <c r="B71" t="s">
        <v>172</v>
      </c>
      <c r="C71" t="s">
        <v>173</v>
      </c>
      <c r="D71" s="2">
        <v>4674207</v>
      </c>
      <c r="F71" t="s">
        <v>465</v>
      </c>
      <c r="G71" t="str">
        <f>IF(COUNTIF(CcliTop100Canada!$D$2:$D$101,D71)&gt;0,"","NO")</f>
        <v/>
      </c>
      <c r="H71" t="str">
        <f>IF(COUNTIF(CcliTop100Usa!$D$2:$D$101,D71)&gt;0,"","NO")</f>
        <v>NO</v>
      </c>
    </row>
    <row r="72" spans="1:8" x14ac:dyDescent="0.25">
      <c r="A72">
        <v>71</v>
      </c>
      <c r="B72" t="s">
        <v>346</v>
      </c>
      <c r="C72" t="s">
        <v>25</v>
      </c>
      <c r="D72" s="2">
        <v>4490766</v>
      </c>
      <c r="F72" t="s">
        <v>465</v>
      </c>
      <c r="G72" t="str">
        <f>IF(COUNTIF(CcliTop100Canada!$D$2:$D$101,D72)&gt;0,"","NO")</f>
        <v>NO</v>
      </c>
      <c r="H72" t="str">
        <f>IF(COUNTIF(CcliTop100Usa!$D$2:$D$101,D72)&gt;0,"","NO")</f>
        <v>NO</v>
      </c>
    </row>
    <row r="73" spans="1:8" hidden="1" x14ac:dyDescent="0.25">
      <c r="A73">
        <v>72</v>
      </c>
      <c r="B73" t="s">
        <v>48</v>
      </c>
      <c r="C73" t="s">
        <v>25</v>
      </c>
      <c r="D73" s="2">
        <v>4779872</v>
      </c>
      <c r="F73" t="s">
        <v>465</v>
      </c>
      <c r="G73" t="str">
        <f>IF(COUNTIF(CcliTop100Canada!$D$2:$D$101,D73)&gt;0,"","NO")</f>
        <v/>
      </c>
      <c r="H73" t="str">
        <f>IF(COUNTIF(CcliTop100Usa!$D$2:$D$101,D73)&gt;0,"","NO")</f>
        <v>NO</v>
      </c>
    </row>
    <row r="74" spans="1:8" x14ac:dyDescent="0.25">
      <c r="A74">
        <v>73</v>
      </c>
      <c r="B74" t="s">
        <v>347</v>
      </c>
      <c r="C74" t="s">
        <v>348</v>
      </c>
      <c r="D74" s="2">
        <v>4403076</v>
      </c>
      <c r="F74" t="s">
        <v>465</v>
      </c>
      <c r="G74" t="str">
        <f>IF(COUNTIF(CcliTop100Canada!$D$2:$D$101,D74)&gt;0,"","NO")</f>
        <v>NO</v>
      </c>
      <c r="H74" t="str">
        <f>IF(COUNTIF(CcliTop100Usa!$D$2:$D$101,D74)&gt;0,"","NO")</f>
        <v>NO</v>
      </c>
    </row>
    <row r="75" spans="1:8" x14ac:dyDescent="0.25">
      <c r="A75">
        <v>74</v>
      </c>
      <c r="B75" t="s">
        <v>349</v>
      </c>
      <c r="C75" t="s">
        <v>350</v>
      </c>
      <c r="D75" s="2">
        <v>5942543</v>
      </c>
      <c r="F75" t="s">
        <v>465</v>
      </c>
      <c r="G75" t="str">
        <f>IF(COUNTIF(CcliTop100Canada!$D$2:$D$101,D75)&gt;0,"","NO")</f>
        <v>NO</v>
      </c>
      <c r="H75" t="str">
        <f>IF(COUNTIF(CcliTop100Usa!$D$2:$D$101,D75)&gt;0,"","NO")</f>
        <v>NO</v>
      </c>
    </row>
    <row r="76" spans="1:8" x14ac:dyDescent="0.25">
      <c r="A76">
        <v>75</v>
      </c>
      <c r="B76" t="s">
        <v>351</v>
      </c>
      <c r="C76" t="s">
        <v>119</v>
      </c>
      <c r="D76" s="2">
        <v>1564362</v>
      </c>
      <c r="F76" t="s">
        <v>465</v>
      </c>
      <c r="G76" t="str">
        <f>IF(COUNTIF(CcliTop100Canada!$D$2:$D$101,D76)&gt;0,"","NO")</f>
        <v>NO</v>
      </c>
      <c r="H76" t="str">
        <f>IF(COUNTIF(CcliTop100Usa!$D$2:$D$101,D76)&gt;0,"","NO")</f>
        <v>NO</v>
      </c>
    </row>
    <row r="77" spans="1:8" x14ac:dyDescent="0.25">
      <c r="A77">
        <v>76</v>
      </c>
      <c r="B77" t="s">
        <v>352</v>
      </c>
      <c r="C77" t="s">
        <v>353</v>
      </c>
      <c r="D77" s="2">
        <v>120556</v>
      </c>
      <c r="F77" t="s">
        <v>465</v>
      </c>
      <c r="G77" t="str">
        <f>IF(COUNTIF(CcliTop100Canada!$D$2:$D$101,D77)&gt;0,"","NO")</f>
        <v>NO</v>
      </c>
      <c r="H77" t="str">
        <f>IF(COUNTIF(CcliTop100Usa!$D$2:$D$101,D77)&gt;0,"","NO")</f>
        <v>NO</v>
      </c>
    </row>
    <row r="78" spans="1:8" x14ac:dyDescent="0.25">
      <c r="A78">
        <v>77</v>
      </c>
      <c r="B78" t="s">
        <v>354</v>
      </c>
      <c r="C78" t="s">
        <v>355</v>
      </c>
      <c r="D78" s="2">
        <v>917491</v>
      </c>
      <c r="F78" t="s">
        <v>465</v>
      </c>
      <c r="G78" t="str">
        <f>IF(COUNTIF(CcliTop100Canada!$D$2:$D$101,D78)&gt;0,"","NO")</f>
        <v>NO</v>
      </c>
      <c r="H78" t="str">
        <f>IF(COUNTIF(CcliTop100Usa!$D$2:$D$101,D78)&gt;0,"","NO")</f>
        <v>NO</v>
      </c>
    </row>
    <row r="79" spans="1:8" hidden="1" x14ac:dyDescent="0.25">
      <c r="A79">
        <v>78</v>
      </c>
      <c r="B79" t="s">
        <v>139</v>
      </c>
      <c r="C79" t="s">
        <v>140</v>
      </c>
      <c r="D79" s="2">
        <v>7048885</v>
      </c>
      <c r="F79" t="s">
        <v>465</v>
      </c>
      <c r="G79" t="str">
        <f>IF(COUNTIF(CcliTop100Canada!$D$2:$D$101,D79)&gt;0,"","NO")</f>
        <v/>
      </c>
      <c r="H79" t="str">
        <f>IF(COUNTIF(CcliTop100Usa!$D$2:$D$101,D79)&gt;0,"","NO")</f>
        <v/>
      </c>
    </row>
    <row r="80" spans="1:8" x14ac:dyDescent="0.25">
      <c r="A80">
        <v>79</v>
      </c>
      <c r="B80" t="s">
        <v>356</v>
      </c>
      <c r="C80" t="s">
        <v>357</v>
      </c>
      <c r="D80" s="2">
        <v>1431</v>
      </c>
      <c r="F80" t="s">
        <v>465</v>
      </c>
      <c r="G80" t="str">
        <f>IF(COUNTIF(CcliTop100Canada!$D$2:$D$101,D80)&gt;0,"","NO")</f>
        <v>NO</v>
      </c>
      <c r="H80" t="str">
        <f>IF(COUNTIF(CcliTop100Usa!$D$2:$D$101,D80)&gt;0,"","NO")</f>
        <v>NO</v>
      </c>
    </row>
    <row r="81" spans="1:8" x14ac:dyDescent="0.25">
      <c r="A81">
        <v>80</v>
      </c>
      <c r="B81" t="s">
        <v>358</v>
      </c>
      <c r="C81" t="s">
        <v>25</v>
      </c>
      <c r="D81" s="2">
        <v>4611992</v>
      </c>
      <c r="F81" t="s">
        <v>465</v>
      </c>
      <c r="G81" t="str">
        <f>IF(COUNTIF(CcliTop100Canada!$D$2:$D$101,D81)&gt;0,"","NO")</f>
        <v>NO</v>
      </c>
      <c r="H81" t="str">
        <f>IF(COUNTIF(CcliTop100Usa!$D$2:$D$101,D81)&gt;0,"","NO")</f>
        <v>NO</v>
      </c>
    </row>
    <row r="82" spans="1:8" hidden="1" x14ac:dyDescent="0.25">
      <c r="A82">
        <v>81</v>
      </c>
      <c r="B82" t="s">
        <v>141</v>
      </c>
      <c r="C82" t="s">
        <v>142</v>
      </c>
      <c r="D82" s="2">
        <v>7001228</v>
      </c>
      <c r="F82" t="s">
        <v>465</v>
      </c>
      <c r="G82" t="str">
        <f>IF(COUNTIF(CcliTop100Canada!$D$2:$D$101,D82)&gt;0,"","NO")</f>
        <v/>
      </c>
      <c r="H82" t="str">
        <f>IF(COUNTIF(CcliTop100Usa!$D$2:$D$101,D82)&gt;0,"","NO")</f>
        <v/>
      </c>
    </row>
    <row r="83" spans="1:8" hidden="1" x14ac:dyDescent="0.25">
      <c r="A83">
        <v>82</v>
      </c>
      <c r="B83" t="s">
        <v>83</v>
      </c>
      <c r="C83" t="s">
        <v>84</v>
      </c>
      <c r="D83" s="2">
        <v>7065053</v>
      </c>
      <c r="F83" t="s">
        <v>465</v>
      </c>
      <c r="G83" t="str">
        <f>IF(COUNTIF(CcliTop100Canada!$D$2:$D$101,D83)&gt;0,"","NO")</f>
        <v/>
      </c>
      <c r="H83" t="str">
        <f>IF(COUNTIF(CcliTop100Usa!$D$2:$D$101,D83)&gt;0,"","NO")</f>
        <v/>
      </c>
    </row>
    <row r="84" spans="1:8" x14ac:dyDescent="0.25">
      <c r="A84">
        <v>83</v>
      </c>
      <c r="B84" t="s">
        <v>359</v>
      </c>
      <c r="C84" t="s">
        <v>324</v>
      </c>
      <c r="D84" s="2">
        <v>4930752</v>
      </c>
      <c r="F84" t="s">
        <v>465</v>
      </c>
      <c r="G84" t="str">
        <f>IF(COUNTIF(CcliTop100Canada!$D$2:$D$101,D84)&gt;0,"","NO")</f>
        <v>NO</v>
      </c>
      <c r="H84" t="str">
        <f>IF(COUNTIF(CcliTop100Usa!$D$2:$D$101,D84)&gt;0,"","NO")</f>
        <v>NO</v>
      </c>
    </row>
    <row r="85" spans="1:8" hidden="1" x14ac:dyDescent="0.25">
      <c r="A85">
        <v>84</v>
      </c>
      <c r="B85" t="s">
        <v>123</v>
      </c>
      <c r="C85" t="s">
        <v>124</v>
      </c>
      <c r="D85" s="2">
        <v>6476063</v>
      </c>
      <c r="F85" t="s">
        <v>465</v>
      </c>
      <c r="G85" t="str">
        <f>IF(COUNTIF(CcliTop100Canada!$D$2:$D$101,D85)&gt;0,"","NO")</f>
        <v/>
      </c>
      <c r="H85" t="str">
        <f>IF(COUNTIF(CcliTop100Usa!$D$2:$D$101,D85)&gt;0,"","NO")</f>
        <v/>
      </c>
    </row>
    <row r="86" spans="1:8" x14ac:dyDescent="0.25">
      <c r="A86">
        <v>85</v>
      </c>
      <c r="B86" t="s">
        <v>360</v>
      </c>
      <c r="C86" t="s">
        <v>324</v>
      </c>
      <c r="D86" s="2">
        <v>5469291</v>
      </c>
      <c r="F86" t="s">
        <v>465</v>
      </c>
      <c r="G86" t="str">
        <f>IF(COUNTIF(CcliTop100Canada!$D$2:$D$101,D86)&gt;0,"","NO")</f>
        <v>NO</v>
      </c>
      <c r="H86" t="str">
        <f>IF(COUNTIF(CcliTop100Usa!$D$2:$D$101,D86)&gt;0,"","NO")</f>
        <v>NO</v>
      </c>
    </row>
    <row r="87" spans="1:8" hidden="1" x14ac:dyDescent="0.25">
      <c r="A87">
        <v>86</v>
      </c>
      <c r="B87" t="s">
        <v>110</v>
      </c>
      <c r="C87" t="s">
        <v>111</v>
      </c>
      <c r="D87" s="2">
        <v>4785835</v>
      </c>
      <c r="F87" t="s">
        <v>465</v>
      </c>
      <c r="G87" t="str">
        <f>IF(COUNTIF(CcliTop100Canada!$D$2:$D$101,D87)&gt;0,"","NO")</f>
        <v/>
      </c>
      <c r="H87" t="str">
        <f>IF(COUNTIF(CcliTop100Usa!$D$2:$D$101,D87)&gt;0,"","NO")</f>
        <v/>
      </c>
    </row>
    <row r="88" spans="1:8" x14ac:dyDescent="0.25">
      <c r="A88">
        <v>87</v>
      </c>
      <c r="B88" t="s">
        <v>361</v>
      </c>
      <c r="C88" t="s">
        <v>362</v>
      </c>
      <c r="D88" s="2">
        <v>3994672</v>
      </c>
      <c r="F88" t="s">
        <v>465</v>
      </c>
      <c r="G88" t="str">
        <f>IF(COUNTIF(CcliTop100Canada!$D$2:$D$101,D88)&gt;0,"","NO")</f>
        <v>NO</v>
      </c>
      <c r="H88" t="str">
        <f>IF(COUNTIF(CcliTop100Usa!$D$2:$D$101,D88)&gt;0,"","NO")</f>
        <v>NO</v>
      </c>
    </row>
    <row r="89" spans="1:8" x14ac:dyDescent="0.25">
      <c r="A89">
        <v>88</v>
      </c>
      <c r="B89" t="s">
        <v>363</v>
      </c>
      <c r="C89" t="s">
        <v>364</v>
      </c>
      <c r="D89" s="2">
        <v>5925663</v>
      </c>
      <c r="F89" t="s">
        <v>465</v>
      </c>
      <c r="G89" t="str">
        <f>IF(COUNTIF(CcliTop100Canada!$D$2:$D$101,D89)&gt;0,"","NO")</f>
        <v>NO</v>
      </c>
      <c r="H89" t="str">
        <f>IF(COUNTIF(CcliTop100Usa!$D$2:$D$101,D89)&gt;0,"","NO")</f>
        <v>NO</v>
      </c>
    </row>
    <row r="90" spans="1:8" x14ac:dyDescent="0.25">
      <c r="A90">
        <v>89</v>
      </c>
      <c r="B90" t="s">
        <v>365</v>
      </c>
      <c r="C90" t="s">
        <v>366</v>
      </c>
      <c r="D90" s="2">
        <v>2490706</v>
      </c>
      <c r="F90" t="s">
        <v>465</v>
      </c>
      <c r="G90" t="str">
        <f>IF(COUNTIF(CcliTop100Canada!$D$2:$D$101,D90)&gt;0,"","NO")</f>
        <v>NO</v>
      </c>
      <c r="H90" t="str">
        <f>IF(COUNTIF(CcliTop100Usa!$D$2:$D$101,D90)&gt;0,"","NO")</f>
        <v>NO</v>
      </c>
    </row>
    <row r="91" spans="1:8" x14ac:dyDescent="0.25">
      <c r="A91">
        <v>90</v>
      </c>
      <c r="B91" t="s">
        <v>367</v>
      </c>
      <c r="C91" t="s">
        <v>368</v>
      </c>
      <c r="D91" s="2">
        <v>2650429</v>
      </c>
      <c r="F91" t="s">
        <v>465</v>
      </c>
      <c r="G91" t="str">
        <f>IF(COUNTIF(CcliTop100Canada!$D$2:$D$101,D91)&gt;0,"","NO")</f>
        <v>NO</v>
      </c>
      <c r="H91" t="str">
        <f>IF(COUNTIF(CcliTop100Usa!$D$2:$D$101,D91)&gt;0,"","NO")</f>
        <v>NO</v>
      </c>
    </row>
    <row r="92" spans="1:8" x14ac:dyDescent="0.25">
      <c r="A92">
        <v>91</v>
      </c>
      <c r="B92" t="s">
        <v>329</v>
      </c>
      <c r="C92" t="s">
        <v>369</v>
      </c>
      <c r="D92" s="2">
        <v>5196100</v>
      </c>
      <c r="F92" t="s">
        <v>465</v>
      </c>
      <c r="G92" t="str">
        <f>IF(COUNTIF(CcliTop100Canada!$D$2:$D$101,D92)&gt;0,"","NO")</f>
        <v>NO</v>
      </c>
      <c r="H92" t="str">
        <f>IF(COUNTIF(CcliTop100Usa!$D$2:$D$101,D92)&gt;0,"","NO")</f>
        <v>NO</v>
      </c>
    </row>
    <row r="93" spans="1:8" hidden="1" x14ac:dyDescent="0.25">
      <c r="A93">
        <v>92</v>
      </c>
      <c r="B93" t="s">
        <v>148</v>
      </c>
      <c r="C93" t="s">
        <v>98</v>
      </c>
      <c r="D93" s="2">
        <v>426298</v>
      </c>
      <c r="F93" t="s">
        <v>465</v>
      </c>
      <c r="G93" t="str">
        <f>IF(COUNTIF(CcliTop100Canada!$D$2:$D$101,D93)&gt;0,"","NO")</f>
        <v/>
      </c>
      <c r="H93" t="str">
        <f>IF(COUNTIF(CcliTop100Usa!$D$2:$D$101,D93)&gt;0,"","NO")</f>
        <v>NO</v>
      </c>
    </row>
    <row r="94" spans="1:8" x14ac:dyDescent="0.25">
      <c r="A94">
        <v>93</v>
      </c>
      <c r="B94" t="s">
        <v>370</v>
      </c>
      <c r="C94" t="s">
        <v>343</v>
      </c>
      <c r="D94" s="2">
        <v>1866132</v>
      </c>
      <c r="F94" t="s">
        <v>465</v>
      </c>
      <c r="G94" t="str">
        <f>IF(COUNTIF(CcliTop100Canada!$D$2:$D$101,D94)&gt;0,"","NO")</f>
        <v>NO</v>
      </c>
      <c r="H94" t="str">
        <f>IF(COUNTIF(CcliTop100Usa!$D$2:$D$101,D94)&gt;0,"","NO")</f>
        <v>NO</v>
      </c>
    </row>
    <row r="95" spans="1:8" x14ac:dyDescent="0.25">
      <c r="A95">
        <v>94</v>
      </c>
      <c r="B95" t="s">
        <v>371</v>
      </c>
      <c r="C95" t="s">
        <v>372</v>
      </c>
      <c r="D95" s="2">
        <v>2402653</v>
      </c>
      <c r="F95" t="s">
        <v>465</v>
      </c>
      <c r="G95" t="str">
        <f>IF(COUNTIF(CcliTop100Canada!$D$2:$D$101,D95)&gt;0,"","NO")</f>
        <v>NO</v>
      </c>
      <c r="H95" t="str">
        <f>IF(COUNTIF(CcliTop100Usa!$D$2:$D$101,D95)&gt;0,"","NO")</f>
        <v>NO</v>
      </c>
    </row>
    <row r="96" spans="1:8" x14ac:dyDescent="0.25">
      <c r="A96">
        <v>95</v>
      </c>
      <c r="B96" t="s">
        <v>373</v>
      </c>
      <c r="C96" t="s">
        <v>374</v>
      </c>
      <c r="D96" s="2">
        <v>6058450</v>
      </c>
      <c r="F96" t="s">
        <v>465</v>
      </c>
      <c r="G96" t="str">
        <f>IF(COUNTIF(CcliTop100Canada!$D$2:$D$101,D96)&gt;0,"","NO")</f>
        <v>NO</v>
      </c>
      <c r="H96" t="str">
        <f>IF(COUNTIF(CcliTop100Usa!$D$2:$D$101,D96)&gt;0,"","NO")</f>
        <v>NO</v>
      </c>
    </row>
    <row r="97" spans="1:8" x14ac:dyDescent="0.25">
      <c r="A97">
        <v>96</v>
      </c>
      <c r="B97" t="s">
        <v>375</v>
      </c>
      <c r="C97" t="s">
        <v>25</v>
      </c>
      <c r="D97" s="2">
        <v>4108704</v>
      </c>
      <c r="F97" t="s">
        <v>465</v>
      </c>
      <c r="G97" t="str">
        <f>IF(COUNTIF(CcliTop100Canada!$D$2:$D$101,D97)&gt;0,"","NO")</f>
        <v>NO</v>
      </c>
      <c r="H97" t="str">
        <f>IF(COUNTIF(CcliTop100Usa!$D$2:$D$101,D97)&gt;0,"","NO")</f>
        <v>NO</v>
      </c>
    </row>
    <row r="98" spans="1:8" hidden="1" x14ac:dyDescent="0.25">
      <c r="A98">
        <v>97</v>
      </c>
      <c r="B98" t="s">
        <v>175</v>
      </c>
      <c r="C98" t="s">
        <v>176</v>
      </c>
      <c r="D98" s="2">
        <v>7065049</v>
      </c>
      <c r="F98" t="s">
        <v>465</v>
      </c>
      <c r="G98" t="str">
        <f>IF(COUNTIF(CcliTop100Canada!$D$2:$D$101,D98)&gt;0,"","NO")</f>
        <v/>
      </c>
      <c r="H98" t="str">
        <f>IF(COUNTIF(CcliTop100Usa!$D$2:$D$101,D98)&gt;0,"","NO")</f>
        <v/>
      </c>
    </row>
    <row r="99" spans="1:8" x14ac:dyDescent="0.25">
      <c r="A99">
        <v>98</v>
      </c>
      <c r="B99" t="s">
        <v>376</v>
      </c>
      <c r="C99" t="s">
        <v>62</v>
      </c>
      <c r="D99" s="2">
        <v>3818569</v>
      </c>
      <c r="F99" t="s">
        <v>465</v>
      </c>
      <c r="G99" t="str">
        <f>IF(COUNTIF(CcliTop100Canada!$D$2:$D$101,D99)&gt;0,"","NO")</f>
        <v>NO</v>
      </c>
      <c r="H99" t="str">
        <f>IF(COUNTIF(CcliTop100Usa!$D$2:$D$101,D99)&gt;0,"","NO")</f>
        <v>NO</v>
      </c>
    </row>
    <row r="100" spans="1:8" x14ac:dyDescent="0.25">
      <c r="A100">
        <v>99</v>
      </c>
      <c r="B100" t="s">
        <v>377</v>
      </c>
      <c r="C100" t="s">
        <v>378</v>
      </c>
      <c r="D100" s="2">
        <v>1540719</v>
      </c>
      <c r="F100" t="s">
        <v>465</v>
      </c>
      <c r="G100" t="str">
        <f>IF(COUNTIF(CcliTop100Canada!$D$2:$D$101,D100)&gt;0,"","NO")</f>
        <v>NO</v>
      </c>
      <c r="H100" t="str">
        <f>IF(COUNTIF(CcliTop100Usa!$D$2:$D$101,D100)&gt;0,"","NO")</f>
        <v>NO</v>
      </c>
    </row>
    <row r="101" spans="1:8" x14ac:dyDescent="0.25">
      <c r="A101">
        <v>100</v>
      </c>
      <c r="B101" t="s">
        <v>379</v>
      </c>
      <c r="C101" t="s">
        <v>380</v>
      </c>
      <c r="D101" s="2">
        <v>10769</v>
      </c>
      <c r="F101" t="s">
        <v>465</v>
      </c>
      <c r="G101" t="str">
        <f>IF(COUNTIF(CcliTop100Canada!$D$2:$D$101,D101)&gt;0,"","NO")</f>
        <v>NO</v>
      </c>
      <c r="H101" t="str">
        <f>IF(COUNTIF(CcliTop100Usa!$D$2:$D$101,D101)&gt;0,"","NO")</f>
        <v>NO</v>
      </c>
    </row>
    <row r="102" spans="1:8" x14ac:dyDescent="0.25">
      <c r="G102">
        <f>COUNTIF(G2:G101, "NO")</f>
        <v>39</v>
      </c>
      <c r="H102">
        <f>COUNTIF(H2:H101, "NO")</f>
        <v>48</v>
      </c>
    </row>
  </sheetData>
  <autoFilter ref="A1:H102" xr:uid="{94C285F4-7348-4D2F-9A19-C137927E9205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BD96-3C07-4602-B0BB-99F946D36B6C}">
  <sheetPr filterMode="1"/>
  <dimension ref="A1:H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.140625" bestFit="1" customWidth="1"/>
    <col min="7" max="7" width="38.14062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  <c r="H1" s="1" t="s">
        <v>478</v>
      </c>
    </row>
    <row r="2" spans="1:8" hidden="1" x14ac:dyDescent="0.25">
      <c r="A2">
        <v>1</v>
      </c>
      <c r="B2" t="s">
        <v>8</v>
      </c>
      <c r="C2" t="s">
        <v>381</v>
      </c>
      <c r="D2">
        <v>6016351</v>
      </c>
      <c r="F2" t="s">
        <v>475</v>
      </c>
      <c r="G2" t="str">
        <f>IF(COUNTIF(CcliTop100Canada!$D$2:$D$163,D2)&gt;0,"","NO")</f>
        <v/>
      </c>
    </row>
    <row r="3" spans="1:8" hidden="1" x14ac:dyDescent="0.25">
      <c r="A3">
        <v>2</v>
      </c>
      <c r="B3" t="s">
        <v>46</v>
      </c>
      <c r="C3" t="s">
        <v>76</v>
      </c>
      <c r="D3">
        <v>4768151</v>
      </c>
      <c r="F3" t="s">
        <v>475</v>
      </c>
      <c r="G3" t="str">
        <f>IF(COUNTIF(CcliTop100Canada!$D$2:$D$163,D3)&gt;0,"","NO")</f>
        <v/>
      </c>
    </row>
    <row r="4" spans="1:8" hidden="1" x14ac:dyDescent="0.25">
      <c r="A4">
        <v>29</v>
      </c>
      <c r="B4" t="s">
        <v>400</v>
      </c>
      <c r="C4" t="s">
        <v>76</v>
      </c>
      <c r="D4" t="e">
        <v>#N/A</v>
      </c>
      <c r="F4" t="s">
        <v>475</v>
      </c>
      <c r="G4" t="str">
        <f>IF(COUNTIF(CcliTop100Canada!$D$2:$D$163,D4)&gt;0,"","NO")</f>
        <v>NO</v>
      </c>
      <c r="H4" t="s">
        <v>474</v>
      </c>
    </row>
    <row r="5" spans="1:8" x14ac:dyDescent="0.25">
      <c r="A5">
        <v>73</v>
      </c>
      <c r="B5" t="s">
        <v>435</v>
      </c>
      <c r="C5" t="s">
        <v>382</v>
      </c>
      <c r="D5">
        <v>29499</v>
      </c>
      <c r="F5" t="s">
        <v>475</v>
      </c>
      <c r="G5" t="str">
        <f>IF(COUNTIF(CcliTop100Canada!$D$2:$D$163,D5)&gt;0,"","NO")</f>
        <v>NO</v>
      </c>
    </row>
    <row r="6" spans="1:8" hidden="1" x14ac:dyDescent="0.25">
      <c r="A6">
        <v>84</v>
      </c>
      <c r="B6" t="s">
        <v>161</v>
      </c>
      <c r="C6" t="s">
        <v>76</v>
      </c>
      <c r="D6">
        <v>7017786</v>
      </c>
      <c r="F6" t="s">
        <v>475</v>
      </c>
      <c r="G6" t="str">
        <f>IF(COUNTIF(CcliTop100Canada!$D$2:$D$163,D6)&gt;0,"","NO")</f>
        <v/>
      </c>
    </row>
    <row r="7" spans="1:8" x14ac:dyDescent="0.25">
      <c r="A7">
        <v>98</v>
      </c>
      <c r="B7" t="s">
        <v>454</v>
      </c>
      <c r="C7" t="s">
        <v>455</v>
      </c>
      <c r="D7">
        <v>5665521</v>
      </c>
      <c r="F7" t="s">
        <v>475</v>
      </c>
      <c r="G7" t="str">
        <f>IF(COUNTIF(CcliTop100Canada!$D$2:$D$163,D7)&gt;0,"","NO")</f>
        <v>NO</v>
      </c>
    </row>
    <row r="8" spans="1:8" x14ac:dyDescent="0.25">
      <c r="A8">
        <v>25</v>
      </c>
      <c r="B8" t="s">
        <v>301</v>
      </c>
      <c r="C8" t="s">
        <v>100</v>
      </c>
      <c r="D8">
        <v>7027887</v>
      </c>
      <c r="F8" t="s">
        <v>475</v>
      </c>
      <c r="G8" t="str">
        <f>IF(COUNTIF(CcliTop100Canada!$D$2:$D$163,D8)&gt;0,"","NO")</f>
        <v>NO</v>
      </c>
    </row>
    <row r="9" spans="1:8" hidden="1" x14ac:dyDescent="0.25">
      <c r="A9">
        <v>83</v>
      </c>
      <c r="B9" t="s">
        <v>36</v>
      </c>
      <c r="C9" t="s">
        <v>119</v>
      </c>
      <c r="D9">
        <v>3798438</v>
      </c>
      <c r="F9" t="s">
        <v>475</v>
      </c>
      <c r="G9" t="str">
        <f>IF(COUNTIF(CcliTop100Canada!$D$2:$D$163,D9)&gt;0,"","NO")</f>
        <v/>
      </c>
    </row>
    <row r="10" spans="1:8" hidden="1" x14ac:dyDescent="0.25">
      <c r="A10">
        <v>63</v>
      </c>
      <c r="B10" t="s">
        <v>4</v>
      </c>
      <c r="C10" t="s">
        <v>424</v>
      </c>
      <c r="D10">
        <v>7070345</v>
      </c>
      <c r="F10" t="s">
        <v>475</v>
      </c>
      <c r="G10" t="str">
        <f>IF(COUNTIF(CcliTop100Canada!$D$2:$D$163,D10)&gt;0,"","NO")</f>
        <v/>
      </c>
    </row>
    <row r="11" spans="1:8" hidden="1" x14ac:dyDescent="0.25">
      <c r="A11">
        <v>71</v>
      </c>
      <c r="B11" t="s">
        <v>89</v>
      </c>
      <c r="C11" t="s">
        <v>432</v>
      </c>
      <c r="D11">
        <v>6186078</v>
      </c>
      <c r="F11" t="s">
        <v>475</v>
      </c>
      <c r="G11" t="str">
        <f>IF(COUNTIF(CcliTop100Canada!$D$2:$D$163,D11)&gt;0,"","NO")</f>
        <v/>
      </c>
    </row>
    <row r="12" spans="1:8" x14ac:dyDescent="0.25">
      <c r="A12">
        <v>65</v>
      </c>
      <c r="B12" t="s">
        <v>426</v>
      </c>
      <c r="C12" t="s">
        <v>427</v>
      </c>
      <c r="D12">
        <v>7060031</v>
      </c>
      <c r="F12" t="s">
        <v>475</v>
      </c>
      <c r="G12" t="str">
        <f>IF(COUNTIF(CcliTop100Canada!$D$2:$D$163,D12)&gt;0,"","NO")</f>
        <v>NO</v>
      </c>
    </row>
    <row r="13" spans="1:8" x14ac:dyDescent="0.25">
      <c r="A13">
        <v>44</v>
      </c>
      <c r="B13" t="s">
        <v>410</v>
      </c>
      <c r="C13" t="s">
        <v>100</v>
      </c>
      <c r="D13">
        <v>5242683</v>
      </c>
      <c r="F13" t="s">
        <v>475</v>
      </c>
      <c r="G13" t="str">
        <f>IF(COUNTIF(CcliTop100Canada!$D$2:$D$163,D13)&gt;0,"","NO")</f>
        <v>NO</v>
      </c>
    </row>
    <row r="14" spans="1:8" x14ac:dyDescent="0.25">
      <c r="A14">
        <v>41</v>
      </c>
      <c r="B14" t="s">
        <v>408</v>
      </c>
      <c r="C14" t="s">
        <v>395</v>
      </c>
      <c r="D14">
        <v>4775010</v>
      </c>
      <c r="F14" t="s">
        <v>475</v>
      </c>
      <c r="G14" t="str">
        <f>IF(COUNTIF(CcliTop100Canada!$D$2:$D$163,D14)&gt;0,"","NO")</f>
        <v>NO</v>
      </c>
    </row>
    <row r="15" spans="1:8" hidden="1" x14ac:dyDescent="0.25">
      <c r="A15">
        <v>3</v>
      </c>
      <c r="B15" t="s">
        <v>20</v>
      </c>
      <c r="C15" t="s">
        <v>382</v>
      </c>
      <c r="D15">
        <v>6158927</v>
      </c>
      <c r="F15" t="s">
        <v>475</v>
      </c>
      <c r="G15" t="str">
        <f>IF(COUNTIF(CcliTop100Canada!$D$2:$D$163,D15)&gt;0,"","NO")</f>
        <v/>
      </c>
    </row>
    <row r="16" spans="1:8" x14ac:dyDescent="0.25">
      <c r="A16">
        <v>54</v>
      </c>
      <c r="B16" t="s">
        <v>418</v>
      </c>
      <c r="C16" t="s">
        <v>76</v>
      </c>
      <c r="D16">
        <v>6463818</v>
      </c>
      <c r="F16" t="s">
        <v>475</v>
      </c>
      <c r="G16" t="str">
        <f>IF(COUNTIF(CcliTop100Canada!$D$2:$D$163,D16)&gt;0,"","NO")</f>
        <v>NO</v>
      </c>
    </row>
    <row r="17" spans="1:7" hidden="1" x14ac:dyDescent="0.25">
      <c r="A17">
        <v>60</v>
      </c>
      <c r="B17" t="s">
        <v>115</v>
      </c>
      <c r="C17" t="s">
        <v>422</v>
      </c>
      <c r="D17">
        <v>7046448</v>
      </c>
      <c r="F17" t="s">
        <v>475</v>
      </c>
      <c r="G17" t="str">
        <f>IF(COUNTIF(CcliTop100Canada!$D$2:$D$163,D17)&gt;0,"","NO")</f>
        <v/>
      </c>
    </row>
    <row r="18" spans="1:7" x14ac:dyDescent="0.25">
      <c r="A18">
        <v>72</v>
      </c>
      <c r="B18" t="s">
        <v>433</v>
      </c>
      <c r="C18" t="s">
        <v>434</v>
      </c>
      <c r="D18">
        <v>7036288</v>
      </c>
      <c r="F18" t="s">
        <v>475</v>
      </c>
      <c r="G18" t="str">
        <f>IF(COUNTIF(CcliTop100Canada!$D$2:$D$163,D18)&gt;0,"","NO")</f>
        <v>NO</v>
      </c>
    </row>
    <row r="19" spans="1:7" hidden="1" x14ac:dyDescent="0.25">
      <c r="A19">
        <v>46</v>
      </c>
      <c r="B19" t="s">
        <v>73</v>
      </c>
      <c r="C19" t="s">
        <v>412</v>
      </c>
      <c r="D19">
        <v>4556538</v>
      </c>
      <c r="F19" t="s">
        <v>475</v>
      </c>
      <c r="G19" t="str">
        <f>IF(COUNTIF(CcliTop100Canada!$D$2:$D$163,D19)&gt;0,"","NO")</f>
        <v/>
      </c>
    </row>
    <row r="20" spans="1:7" hidden="1" x14ac:dyDescent="0.25">
      <c r="A20">
        <v>9</v>
      </c>
      <c r="B20" t="s">
        <v>141</v>
      </c>
      <c r="C20" t="s">
        <v>385</v>
      </c>
      <c r="D20">
        <v>7001228</v>
      </c>
      <c r="F20" t="s">
        <v>475</v>
      </c>
      <c r="G20" t="str">
        <f>IF(COUNTIF(CcliTop100Canada!$D$2:$D$163,D20)&gt;0,"","NO")</f>
        <v/>
      </c>
    </row>
    <row r="21" spans="1:7" x14ac:dyDescent="0.25">
      <c r="A21">
        <v>40</v>
      </c>
      <c r="B21" t="s">
        <v>303</v>
      </c>
      <c r="C21" t="s">
        <v>382</v>
      </c>
      <c r="D21">
        <v>5639997</v>
      </c>
      <c r="F21" t="s">
        <v>475</v>
      </c>
      <c r="G21" t="str">
        <f>IF(COUNTIF(CcliTop100Canada!$D$2:$D$163,D21)&gt;0,"","NO")</f>
        <v>NO</v>
      </c>
    </row>
    <row r="22" spans="1:7" x14ac:dyDescent="0.25">
      <c r="A22">
        <v>45</v>
      </c>
      <c r="B22" t="s">
        <v>411</v>
      </c>
      <c r="C22" t="s">
        <v>382</v>
      </c>
      <c r="D22">
        <v>4705176</v>
      </c>
      <c r="F22" t="s">
        <v>475</v>
      </c>
      <c r="G22" t="str">
        <f>IF(COUNTIF(CcliTop100Canada!$D$2:$D$163,D22)&gt;0,"","NO")</f>
        <v>NO</v>
      </c>
    </row>
    <row r="23" spans="1:7" hidden="1" x14ac:dyDescent="0.25">
      <c r="A23">
        <v>27</v>
      </c>
      <c r="B23" t="s">
        <v>44</v>
      </c>
      <c r="C23" t="s">
        <v>399</v>
      </c>
      <c r="D23">
        <v>7081388</v>
      </c>
      <c r="F23" t="s">
        <v>475</v>
      </c>
      <c r="G23" t="str">
        <f>IF(COUNTIF(CcliTop100Canada!$D$2:$D$163,D23)&gt;0,"","NO")</f>
        <v/>
      </c>
    </row>
    <row r="24" spans="1:7" hidden="1" x14ac:dyDescent="0.25">
      <c r="A24">
        <v>17</v>
      </c>
      <c r="B24" t="s">
        <v>166</v>
      </c>
      <c r="C24" t="s">
        <v>390</v>
      </c>
      <c r="D24">
        <v>5638022</v>
      </c>
      <c r="F24" t="s">
        <v>475</v>
      </c>
      <c r="G24" t="str">
        <f>IF(COUNTIF(CcliTop100Canada!$D$2:$D$163,D24)&gt;0,"","NO")</f>
        <v/>
      </c>
    </row>
    <row r="25" spans="1:7" x14ac:dyDescent="0.25">
      <c r="A25">
        <v>85</v>
      </c>
      <c r="B25" t="s">
        <v>442</v>
      </c>
      <c r="C25" t="s">
        <v>443</v>
      </c>
      <c r="D25">
        <v>5384338</v>
      </c>
      <c r="F25" t="s">
        <v>475</v>
      </c>
      <c r="G25" t="str">
        <f>IF(COUNTIF(CcliTop100Canada!$D$2:$D$163,D25)&gt;0,"","NO")</f>
        <v>NO</v>
      </c>
    </row>
    <row r="26" spans="1:7" x14ac:dyDescent="0.25">
      <c r="A26">
        <v>67</v>
      </c>
      <c r="B26" t="s">
        <v>429</v>
      </c>
      <c r="C26" t="s">
        <v>382</v>
      </c>
      <c r="D26">
        <v>5894275</v>
      </c>
      <c r="F26" t="s">
        <v>475</v>
      </c>
      <c r="G26" t="str">
        <f>IF(COUNTIF(CcliTop100Canada!$D$2:$D$163,D26)&gt;0,"","NO")</f>
        <v>NO</v>
      </c>
    </row>
    <row r="27" spans="1:7" hidden="1" x14ac:dyDescent="0.25">
      <c r="A27">
        <v>23</v>
      </c>
      <c r="B27" t="s">
        <v>22</v>
      </c>
      <c r="C27" t="s">
        <v>76</v>
      </c>
      <c r="D27">
        <v>7036612</v>
      </c>
      <c r="F27" t="s">
        <v>475</v>
      </c>
      <c r="G27" t="str">
        <f>IF(COUNTIF(CcliTop100Canada!$D$2:$D$163,D27)&gt;0,"","NO")</f>
        <v/>
      </c>
    </row>
    <row r="28" spans="1:7" hidden="1" x14ac:dyDescent="0.25">
      <c r="A28">
        <v>76</v>
      </c>
      <c r="B28" t="s">
        <v>18</v>
      </c>
      <c r="C28" t="s">
        <v>436</v>
      </c>
      <c r="D28">
        <v>7117726</v>
      </c>
      <c r="F28" t="s">
        <v>475</v>
      </c>
      <c r="G28" t="str">
        <f>IF(COUNTIF(CcliTop100Canada!$D$2:$D$163,D28)&gt;0,"","NO")</f>
        <v/>
      </c>
    </row>
    <row r="29" spans="1:7" hidden="1" x14ac:dyDescent="0.25">
      <c r="A29">
        <v>22</v>
      </c>
      <c r="B29" t="s">
        <v>12</v>
      </c>
      <c r="C29" t="s">
        <v>396</v>
      </c>
      <c r="D29">
        <v>6460220</v>
      </c>
      <c r="F29" t="s">
        <v>475</v>
      </c>
      <c r="G29" t="str">
        <f>IF(COUNTIF(CcliTop100Canada!$D$2:$D$163,D29)&gt;0,"","NO")</f>
        <v/>
      </c>
    </row>
    <row r="30" spans="1:7" x14ac:dyDescent="0.25">
      <c r="A30">
        <v>37</v>
      </c>
      <c r="B30" t="s">
        <v>305</v>
      </c>
      <c r="C30" t="s">
        <v>406</v>
      </c>
      <c r="D30">
        <v>5881491</v>
      </c>
      <c r="F30" t="s">
        <v>475</v>
      </c>
      <c r="G30" t="str">
        <f>IF(COUNTIF(CcliTop100Canada!$D$2:$D$163,D30)&gt;0,"","NO")</f>
        <v>NO</v>
      </c>
    </row>
    <row r="31" spans="1:7" x14ac:dyDescent="0.25">
      <c r="A31">
        <v>91</v>
      </c>
      <c r="B31" t="s">
        <v>53</v>
      </c>
      <c r="C31" t="s">
        <v>383</v>
      </c>
      <c r="D31">
        <v>7076958</v>
      </c>
      <c r="F31" t="s">
        <v>475</v>
      </c>
      <c r="G31" t="str">
        <f>IF(COUNTIF(CcliTop100Canada!$D$2:$D$163,D31)&gt;0,"","NO")</f>
        <v>NO</v>
      </c>
    </row>
    <row r="32" spans="1:7" x14ac:dyDescent="0.25">
      <c r="A32">
        <v>56</v>
      </c>
      <c r="B32" t="s">
        <v>339</v>
      </c>
      <c r="C32" t="s">
        <v>62</v>
      </c>
      <c r="D32">
        <v>4847027</v>
      </c>
      <c r="F32" t="s">
        <v>475</v>
      </c>
      <c r="G32" t="str">
        <f>IF(COUNTIF(CcliTop100Canada!$D$2:$D$163,D32)&gt;0,"","NO")</f>
        <v>NO</v>
      </c>
    </row>
    <row r="33" spans="1:8" hidden="1" x14ac:dyDescent="0.25">
      <c r="A33">
        <v>59</v>
      </c>
      <c r="B33" t="s">
        <v>421</v>
      </c>
      <c r="C33" t="s">
        <v>78</v>
      </c>
      <c r="D33" t="e">
        <v>#N/A</v>
      </c>
      <c r="F33" t="s">
        <v>475</v>
      </c>
      <c r="G33" t="str">
        <f>IF(COUNTIF(CcliTop100Canada!$D$2:$D$163,D33)&gt;0,"","NO")</f>
        <v>NO</v>
      </c>
      <c r="H33" t="s">
        <v>474</v>
      </c>
    </row>
    <row r="34" spans="1:8" x14ac:dyDescent="0.25">
      <c r="A34">
        <v>70</v>
      </c>
      <c r="B34" t="s">
        <v>431</v>
      </c>
      <c r="C34" t="s">
        <v>76</v>
      </c>
      <c r="D34">
        <v>7050416</v>
      </c>
      <c r="F34" t="s">
        <v>475</v>
      </c>
      <c r="G34" t="str">
        <f>IF(COUNTIF(CcliTop100Canada!$D$2:$D$163,D34)&gt;0,"","NO")</f>
        <v>NO</v>
      </c>
    </row>
    <row r="35" spans="1:8" x14ac:dyDescent="0.25">
      <c r="A35">
        <v>86</v>
      </c>
      <c r="B35" t="s">
        <v>444</v>
      </c>
      <c r="C35" t="s">
        <v>386</v>
      </c>
      <c r="D35">
        <v>4158039</v>
      </c>
      <c r="F35" t="s">
        <v>475</v>
      </c>
      <c r="G35" t="str">
        <f>IF(COUNTIF(CcliTop100Canada!$D$2:$D$163,D35)&gt;0,"","NO")</f>
        <v>NO</v>
      </c>
    </row>
    <row r="36" spans="1:8" hidden="1" x14ac:dyDescent="0.25">
      <c r="A36">
        <v>87</v>
      </c>
      <c r="B36" t="s">
        <v>458</v>
      </c>
      <c r="C36" t="s">
        <v>445</v>
      </c>
      <c r="D36">
        <v>6087919</v>
      </c>
      <c r="F36" t="s">
        <v>475</v>
      </c>
      <c r="G36" t="str">
        <f>IF(COUNTIF(CcliTop100Canada!$D$2:$D$163,D36)&gt;0,"","NO")</f>
        <v/>
      </c>
    </row>
    <row r="37" spans="1:8" x14ac:dyDescent="0.25">
      <c r="A37">
        <v>39</v>
      </c>
      <c r="B37" t="s">
        <v>110</v>
      </c>
      <c r="C37" t="s">
        <v>407</v>
      </c>
      <c r="D37">
        <v>21545</v>
      </c>
      <c r="F37" t="s">
        <v>475</v>
      </c>
      <c r="G37" t="str">
        <f>IF(COUNTIF(CcliTop100Canada!$D$2:$D$163,D37)&gt;0,"","NO")</f>
        <v>NO</v>
      </c>
    </row>
    <row r="38" spans="1:8" hidden="1" x14ac:dyDescent="0.25">
      <c r="A38">
        <v>31</v>
      </c>
      <c r="B38" t="s">
        <v>32</v>
      </c>
      <c r="C38" t="s">
        <v>78</v>
      </c>
      <c r="D38">
        <v>4662491</v>
      </c>
      <c r="F38" t="s">
        <v>475</v>
      </c>
      <c r="G38" t="str">
        <f>IF(COUNTIF(CcliTop100Canada!$D$2:$D$163,D38)&gt;0,"","NO")</f>
        <v/>
      </c>
    </row>
    <row r="39" spans="1:8" hidden="1" x14ac:dyDescent="0.25">
      <c r="A39">
        <v>92</v>
      </c>
      <c r="B39" t="s">
        <v>40</v>
      </c>
      <c r="C39" t="s">
        <v>41</v>
      </c>
      <c r="D39">
        <v>1558110</v>
      </c>
      <c r="F39" t="s">
        <v>475</v>
      </c>
      <c r="G39" t="str">
        <f>IF(COUNTIF(CcliTop100Canada!$D$2:$D$163,D39)&gt;0,"","NO")</f>
        <v/>
      </c>
    </row>
    <row r="40" spans="1:8" hidden="1" x14ac:dyDescent="0.25">
      <c r="A40">
        <v>8</v>
      </c>
      <c r="B40" t="s">
        <v>28</v>
      </c>
      <c r="C40" t="s">
        <v>76</v>
      </c>
      <c r="D40">
        <v>4348399</v>
      </c>
      <c r="F40" t="s">
        <v>475</v>
      </c>
      <c r="G40" t="str">
        <f>IF(COUNTIF(CcliTop100Canada!$D$2:$D$163,D40)&gt;0,"","NO")</f>
        <v/>
      </c>
    </row>
    <row r="41" spans="1:8" hidden="1" x14ac:dyDescent="0.25">
      <c r="A41">
        <v>43</v>
      </c>
      <c r="B41" t="s">
        <v>69</v>
      </c>
      <c r="C41" t="s">
        <v>78</v>
      </c>
      <c r="D41">
        <v>14181</v>
      </c>
      <c r="F41" t="s">
        <v>475</v>
      </c>
      <c r="G41" t="str">
        <f>IF(COUNTIF(CcliTop100Canada!$D$2:$D$163,D41)&gt;0,"","NO")</f>
        <v/>
      </c>
    </row>
    <row r="42" spans="1:8" hidden="1" x14ac:dyDescent="0.25">
      <c r="A42">
        <v>64</v>
      </c>
      <c r="B42" t="s">
        <v>425</v>
      </c>
      <c r="C42" t="s">
        <v>386</v>
      </c>
      <c r="D42">
        <v>4674207</v>
      </c>
      <c r="F42" t="s">
        <v>475</v>
      </c>
      <c r="G42" t="str">
        <f>IF(COUNTIF(CcliTop100Canada!$D$2:$D$163,D42)&gt;0,"","NO")</f>
        <v/>
      </c>
    </row>
    <row r="43" spans="1:8" x14ac:dyDescent="0.25">
      <c r="A43">
        <v>97</v>
      </c>
      <c r="B43" t="s">
        <v>452</v>
      </c>
      <c r="C43" t="s">
        <v>453</v>
      </c>
      <c r="D43">
        <v>2978857</v>
      </c>
      <c r="F43" t="s">
        <v>475</v>
      </c>
      <c r="G43" t="str">
        <f>IF(COUNTIF(CcliTop100Canada!$D$2:$D$163,D43)&gt;0,"","NO")</f>
        <v>NO</v>
      </c>
    </row>
    <row r="44" spans="1:8" hidden="1" x14ac:dyDescent="0.25">
      <c r="A44">
        <v>48</v>
      </c>
      <c r="B44" t="s">
        <v>413</v>
      </c>
      <c r="C44" t="s">
        <v>390</v>
      </c>
      <c r="D44">
        <v>5466490</v>
      </c>
      <c r="F44" t="s">
        <v>475</v>
      </c>
      <c r="G44" t="str">
        <f>IF(COUNTIF(CcliTop100Canada!$D$2:$D$163,D44)&gt;0,"","NO")</f>
        <v>NO</v>
      </c>
      <c r="H44" t="s">
        <v>474</v>
      </c>
    </row>
    <row r="45" spans="1:8" x14ac:dyDescent="0.25">
      <c r="A45">
        <v>78</v>
      </c>
      <c r="B45" t="s">
        <v>437</v>
      </c>
      <c r="C45" t="s">
        <v>76</v>
      </c>
      <c r="D45">
        <v>5806878</v>
      </c>
      <c r="F45" t="s">
        <v>475</v>
      </c>
      <c r="G45" t="str">
        <f>IF(COUNTIF(CcliTop100Canada!$D$2:$D$163,D45)&gt;0,"","NO")</f>
        <v>NO</v>
      </c>
    </row>
    <row r="46" spans="1:8" x14ac:dyDescent="0.25">
      <c r="A46">
        <v>20</v>
      </c>
      <c r="B46" t="s">
        <v>394</v>
      </c>
      <c r="C46" t="s">
        <v>76</v>
      </c>
      <c r="D46">
        <v>5183450</v>
      </c>
      <c r="F46" t="s">
        <v>475</v>
      </c>
      <c r="G46" t="str">
        <f>IF(COUNTIF(CcliTop100Canada!$D$2:$D$163,D46)&gt;0,"","NO")</f>
        <v>NO</v>
      </c>
    </row>
    <row r="47" spans="1:8" hidden="1" x14ac:dyDescent="0.25">
      <c r="A47">
        <v>15</v>
      </c>
      <c r="B47" t="s">
        <v>24</v>
      </c>
      <c r="C47" t="s">
        <v>389</v>
      </c>
      <c r="D47">
        <v>3350395</v>
      </c>
      <c r="F47" t="s">
        <v>475</v>
      </c>
      <c r="G47" t="str">
        <f>IF(COUNTIF(CcliTop100Canada!$D$2:$D$163,D47)&gt;0,"","NO")</f>
        <v/>
      </c>
      <c r="H47" t="s">
        <v>473</v>
      </c>
    </row>
    <row r="48" spans="1:8" hidden="1" x14ac:dyDescent="0.25">
      <c r="A48">
        <v>38</v>
      </c>
      <c r="B48" t="s">
        <v>24</v>
      </c>
      <c r="C48" t="s">
        <v>388</v>
      </c>
      <c r="D48">
        <v>3350395</v>
      </c>
      <c r="F48" t="s">
        <v>475</v>
      </c>
      <c r="G48" t="str">
        <f>IF(COUNTIF(CcliTop100Canada!$D$2:$D$163,D48)&gt;0,"","NO")</f>
        <v/>
      </c>
    </row>
    <row r="49" spans="1:8" x14ac:dyDescent="0.25">
      <c r="A49">
        <v>75</v>
      </c>
      <c r="B49" t="s">
        <v>347</v>
      </c>
      <c r="C49" t="s">
        <v>386</v>
      </c>
      <c r="D49">
        <v>4403076</v>
      </c>
      <c r="F49" t="s">
        <v>475</v>
      </c>
      <c r="G49" t="str">
        <f>IF(COUNTIF(CcliTop100Canada!$D$2:$D$163,D49)&gt;0,"","NO")</f>
        <v>NO</v>
      </c>
    </row>
    <row r="50" spans="1:8" hidden="1" x14ac:dyDescent="0.25">
      <c r="A50">
        <v>42</v>
      </c>
      <c r="B50" t="s">
        <v>470</v>
      </c>
      <c r="C50" t="s">
        <v>409</v>
      </c>
      <c r="D50">
        <v>7021972</v>
      </c>
      <c r="F50" t="s">
        <v>475</v>
      </c>
      <c r="G50" t="str">
        <f>IF(COUNTIF(CcliTop100Canada!$D$2:$D$163,D50)&gt;0,"","NO")</f>
        <v/>
      </c>
    </row>
    <row r="51" spans="1:8" hidden="1" x14ac:dyDescent="0.25">
      <c r="A51">
        <v>68</v>
      </c>
      <c r="B51" t="s">
        <v>430</v>
      </c>
      <c r="C51" t="s">
        <v>76</v>
      </c>
      <c r="D51" t="e">
        <v>#N/A</v>
      </c>
      <c r="F51" t="s">
        <v>475</v>
      </c>
      <c r="G51" t="str">
        <f>IF(COUNTIF(CcliTop100Canada!$D$2:$D$163,D51)&gt;0,"","NO")</f>
        <v>NO</v>
      </c>
      <c r="H51" t="s">
        <v>474</v>
      </c>
    </row>
    <row r="52" spans="1:8" x14ac:dyDescent="0.25">
      <c r="A52">
        <v>89</v>
      </c>
      <c r="B52" t="s">
        <v>447</v>
      </c>
      <c r="C52" t="s">
        <v>76</v>
      </c>
      <c r="D52">
        <v>7067249</v>
      </c>
      <c r="F52" t="s">
        <v>475</v>
      </c>
      <c r="G52" t="str">
        <f>IF(COUNTIF(CcliTop100Canada!$D$2:$D$163,D52)&gt;0,"","NO")</f>
        <v>NO</v>
      </c>
    </row>
    <row r="53" spans="1:8" hidden="1" x14ac:dyDescent="0.25">
      <c r="A53">
        <v>10</v>
      </c>
      <c r="B53" t="s">
        <v>81</v>
      </c>
      <c r="C53" t="s">
        <v>76</v>
      </c>
      <c r="D53">
        <v>5183443</v>
      </c>
      <c r="F53" t="s">
        <v>475</v>
      </c>
      <c r="G53" t="str">
        <f>IF(COUNTIF(CcliTop100Canada!$D$2:$D$163,D53)&gt;0,"","NO")</f>
        <v/>
      </c>
    </row>
    <row r="54" spans="1:8" x14ac:dyDescent="0.25">
      <c r="A54">
        <v>14</v>
      </c>
      <c r="B54" t="s">
        <v>282</v>
      </c>
      <c r="C54" t="s">
        <v>388</v>
      </c>
      <c r="D54">
        <v>22331</v>
      </c>
      <c r="F54" t="s">
        <v>475</v>
      </c>
      <c r="G54" t="str">
        <f>IF(COUNTIF(CcliTop100Canada!$D$2:$D$163,D54)&gt;0,"","NO")</f>
        <v>NO</v>
      </c>
    </row>
    <row r="55" spans="1:8" hidden="1" x14ac:dyDescent="0.25">
      <c r="A55">
        <v>6</v>
      </c>
      <c r="B55" t="s">
        <v>384</v>
      </c>
      <c r="C55" t="s">
        <v>76</v>
      </c>
      <c r="D55" t="e">
        <v>#N/A</v>
      </c>
      <c r="F55" t="s">
        <v>475</v>
      </c>
      <c r="G55" t="str">
        <f>IF(COUNTIF(CcliTop100Canada!$D$2:$D$163,D55)&gt;0,"","NO")</f>
        <v>NO</v>
      </c>
      <c r="H55" t="s">
        <v>474</v>
      </c>
    </row>
    <row r="56" spans="1:8" hidden="1" x14ac:dyDescent="0.25">
      <c r="A56">
        <v>30</v>
      </c>
      <c r="B56" t="s">
        <v>26</v>
      </c>
      <c r="C56" t="s">
        <v>382</v>
      </c>
      <c r="D56">
        <v>7127647</v>
      </c>
      <c r="F56" t="s">
        <v>475</v>
      </c>
      <c r="G56" t="str">
        <f>IF(COUNTIF(CcliTop100Canada!$D$2:$D$163,D56)&gt;0,"","NO")</f>
        <v/>
      </c>
    </row>
    <row r="57" spans="1:8" x14ac:dyDescent="0.25">
      <c r="A57">
        <v>58</v>
      </c>
      <c r="B57" t="s">
        <v>472</v>
      </c>
      <c r="C57" t="s">
        <v>407</v>
      </c>
      <c r="D57">
        <v>4785828</v>
      </c>
      <c r="F57" t="s">
        <v>475</v>
      </c>
      <c r="G57" t="str">
        <f>IF(COUNTIF(CcliTop100Canada!$D$2:$D$163,D57)&gt;0,"","NO")</f>
        <v>NO</v>
      </c>
    </row>
    <row r="58" spans="1:8" x14ac:dyDescent="0.25">
      <c r="A58">
        <v>82</v>
      </c>
      <c r="B58" t="s">
        <v>441</v>
      </c>
      <c r="C58" t="s">
        <v>392</v>
      </c>
      <c r="D58">
        <v>7023299</v>
      </c>
      <c r="F58" t="s">
        <v>475</v>
      </c>
      <c r="G58" t="str">
        <f>IF(COUNTIF(CcliTop100Canada!$D$2:$D$163,D58)&gt;0,"","NO")</f>
        <v>NO</v>
      </c>
    </row>
    <row r="59" spans="1:8" hidden="1" x14ac:dyDescent="0.25">
      <c r="A59">
        <v>32</v>
      </c>
      <c r="B59" t="s">
        <v>401</v>
      </c>
      <c r="C59" t="s">
        <v>402</v>
      </c>
      <c r="D59">
        <v>7038281</v>
      </c>
      <c r="F59" t="s">
        <v>475</v>
      </c>
      <c r="G59" t="str">
        <f>IF(COUNTIF(CcliTop100Canada!$D$2:$D$163,D59)&gt;0,"","NO")</f>
        <v/>
      </c>
    </row>
    <row r="60" spans="1:8" hidden="1" x14ac:dyDescent="0.25">
      <c r="A60">
        <v>16</v>
      </c>
      <c r="B60" t="s">
        <v>2</v>
      </c>
      <c r="C60" t="s">
        <v>383</v>
      </c>
      <c r="D60">
        <v>7106807</v>
      </c>
      <c r="F60" t="s">
        <v>475</v>
      </c>
      <c r="G60" t="str">
        <f>IF(COUNTIF(CcliTop100Canada!$D$2:$D$163,D60)&gt;0,"","NO")</f>
        <v/>
      </c>
    </row>
    <row r="61" spans="1:8" hidden="1" x14ac:dyDescent="0.25">
      <c r="A61">
        <v>13</v>
      </c>
      <c r="B61" t="s">
        <v>16</v>
      </c>
      <c r="C61" t="s">
        <v>100</v>
      </c>
      <c r="D61">
        <v>5925687</v>
      </c>
      <c r="F61" t="s">
        <v>475</v>
      </c>
      <c r="G61" t="str">
        <f>IF(COUNTIF(CcliTop100Canada!$D$2:$D$163,D61)&gt;0,"","NO")</f>
        <v/>
      </c>
    </row>
    <row r="62" spans="1:8" x14ac:dyDescent="0.25">
      <c r="A62">
        <v>93</v>
      </c>
      <c r="B62" t="s">
        <v>448</v>
      </c>
      <c r="C62" t="s">
        <v>412</v>
      </c>
      <c r="D62">
        <v>4572938</v>
      </c>
      <c r="F62" t="s">
        <v>475</v>
      </c>
      <c r="G62" t="str">
        <f>IF(COUNTIF(CcliTop100Canada!$D$2:$D$163,D62)&gt;0,"","NO")</f>
        <v>NO</v>
      </c>
    </row>
    <row r="63" spans="1:8" hidden="1" x14ac:dyDescent="0.25">
      <c r="A63">
        <v>61</v>
      </c>
      <c r="B63" t="s">
        <v>123</v>
      </c>
      <c r="C63" t="s">
        <v>382</v>
      </c>
      <c r="D63">
        <v>6476063</v>
      </c>
      <c r="F63" t="s">
        <v>475</v>
      </c>
      <c r="G63" t="str">
        <f>IF(COUNTIF(CcliTop100Canada!$D$2:$D$163,D63)&gt;0,"","NO")</f>
        <v/>
      </c>
    </row>
    <row r="64" spans="1:8" hidden="1" x14ac:dyDescent="0.25">
      <c r="A64">
        <v>4</v>
      </c>
      <c r="B64" t="s">
        <v>52</v>
      </c>
      <c r="C64" t="s">
        <v>382</v>
      </c>
      <c r="D64">
        <v>4591782</v>
      </c>
      <c r="F64" t="s">
        <v>475</v>
      </c>
      <c r="G64" t="str">
        <f>IF(COUNTIF(CcliTop100Canada!$D$2:$D$163,D64)&gt;0,"","NO")</f>
        <v/>
      </c>
    </row>
    <row r="65" spans="1:8" x14ac:dyDescent="0.25">
      <c r="A65">
        <v>88</v>
      </c>
      <c r="B65" t="s">
        <v>446</v>
      </c>
      <c r="C65" t="s">
        <v>395</v>
      </c>
      <c r="D65">
        <v>5075025</v>
      </c>
      <c r="F65" t="s">
        <v>475</v>
      </c>
      <c r="G65" t="str">
        <f>IF(COUNTIF(CcliTop100Canada!$D$2:$D$163,D65)&gt;0,"","NO")</f>
        <v>NO</v>
      </c>
    </row>
    <row r="66" spans="1:8" hidden="1" x14ac:dyDescent="0.25">
      <c r="A66">
        <v>55</v>
      </c>
      <c r="B66" t="s">
        <v>42</v>
      </c>
      <c r="C66" t="s">
        <v>419</v>
      </c>
      <c r="D66">
        <v>7030123</v>
      </c>
      <c r="F66" t="s">
        <v>475</v>
      </c>
      <c r="G66" t="str">
        <f>IF(COUNTIF(CcliTop100Canada!$D$2:$D$163,D66)&gt;0,"","NO")</f>
        <v/>
      </c>
    </row>
    <row r="67" spans="1:8" hidden="1" x14ac:dyDescent="0.25">
      <c r="A67">
        <v>18</v>
      </c>
      <c r="B67" t="s">
        <v>391</v>
      </c>
      <c r="C67" t="s">
        <v>392</v>
      </c>
      <c r="D67" t="e">
        <v>#N/A</v>
      </c>
      <c r="F67" t="s">
        <v>475</v>
      </c>
      <c r="G67" t="str">
        <f>IF(COUNTIF(CcliTop100Canada!$D$2:$D$163,D67)&gt;0,"","NO")</f>
        <v>NO</v>
      </c>
      <c r="H67" t="s">
        <v>474</v>
      </c>
    </row>
    <row r="68" spans="1:8" hidden="1" x14ac:dyDescent="0.25">
      <c r="A68">
        <v>50</v>
      </c>
      <c r="B68" t="s">
        <v>414</v>
      </c>
      <c r="C68" t="s">
        <v>76</v>
      </c>
      <c r="D68" t="e">
        <v>#N/A</v>
      </c>
      <c r="F68" t="s">
        <v>475</v>
      </c>
      <c r="G68" t="str">
        <f>IF(COUNTIF(CcliTop100Canada!$D$2:$D$163,D68)&gt;0,"","NO")</f>
        <v>NO</v>
      </c>
      <c r="H68" t="s">
        <v>474</v>
      </c>
    </row>
    <row r="69" spans="1:8" hidden="1" x14ac:dyDescent="0.25">
      <c r="A69">
        <v>12</v>
      </c>
      <c r="B69" t="s">
        <v>59</v>
      </c>
      <c r="C69" t="s">
        <v>387</v>
      </c>
      <c r="D69">
        <v>7051511</v>
      </c>
      <c r="F69" t="s">
        <v>475</v>
      </c>
      <c r="G69" t="str">
        <f>IF(COUNTIF(CcliTop100Canada!$D$2:$D$163,D69)&gt;0,"","NO")</f>
        <v/>
      </c>
    </row>
    <row r="70" spans="1:8" hidden="1" x14ac:dyDescent="0.25">
      <c r="A70">
        <v>66</v>
      </c>
      <c r="B70" t="s">
        <v>428</v>
      </c>
      <c r="C70" t="s">
        <v>76</v>
      </c>
      <c r="D70" t="e">
        <v>#N/A</v>
      </c>
      <c r="F70" t="s">
        <v>475</v>
      </c>
      <c r="G70" t="str">
        <f>IF(COUNTIF(CcliTop100Canada!$D$2:$D$163,D70)&gt;0,"","NO")</f>
        <v>NO</v>
      </c>
      <c r="H70" t="s">
        <v>474</v>
      </c>
    </row>
    <row r="71" spans="1:8" hidden="1" x14ac:dyDescent="0.25">
      <c r="A71">
        <v>35</v>
      </c>
      <c r="B71" t="s">
        <v>471</v>
      </c>
      <c r="C71" t="s">
        <v>382</v>
      </c>
      <c r="D71">
        <v>7037787</v>
      </c>
      <c r="F71" t="s">
        <v>475</v>
      </c>
      <c r="G71" t="str">
        <f>IF(COUNTIF(CcliTop100Canada!$D$2:$D$163,D71)&gt;0,"","NO")</f>
        <v/>
      </c>
    </row>
    <row r="72" spans="1:8" x14ac:dyDescent="0.25">
      <c r="A72">
        <v>57</v>
      </c>
      <c r="B72" t="s">
        <v>420</v>
      </c>
      <c r="C72" t="s">
        <v>395</v>
      </c>
      <c r="D72">
        <v>5783630</v>
      </c>
      <c r="F72" t="s">
        <v>475</v>
      </c>
      <c r="G72" t="str">
        <f>IF(COUNTIF(CcliTop100Canada!$D$2:$D$163,D72)&gt;0,"","NO")</f>
        <v>NO</v>
      </c>
    </row>
    <row r="73" spans="1:8" hidden="1" x14ac:dyDescent="0.25">
      <c r="A73">
        <v>19</v>
      </c>
      <c r="B73" t="s">
        <v>102</v>
      </c>
      <c r="C73" t="s">
        <v>393</v>
      </c>
      <c r="D73">
        <v>6428767</v>
      </c>
      <c r="F73" t="s">
        <v>475</v>
      </c>
      <c r="G73" t="str">
        <f>IF(COUNTIF(CcliTop100Canada!$D$2:$D$163,D73)&gt;0,"","NO")</f>
        <v/>
      </c>
    </row>
    <row r="74" spans="1:8" x14ac:dyDescent="0.25">
      <c r="A74">
        <v>74</v>
      </c>
      <c r="B74" t="s">
        <v>286</v>
      </c>
      <c r="C74" t="s">
        <v>387</v>
      </c>
      <c r="D74">
        <v>7011438</v>
      </c>
      <c r="F74" t="s">
        <v>475</v>
      </c>
      <c r="G74" t="str">
        <f>IF(COUNTIF(CcliTop100Canada!$D$2:$D$163,D74)&gt;0,"","NO")</f>
        <v>NO</v>
      </c>
    </row>
    <row r="75" spans="1:8" hidden="1" x14ac:dyDescent="0.25">
      <c r="A75">
        <v>79</v>
      </c>
      <c r="B75" t="s">
        <v>120</v>
      </c>
      <c r="C75" t="s">
        <v>438</v>
      </c>
      <c r="D75">
        <v>6304702</v>
      </c>
      <c r="F75" t="s">
        <v>475</v>
      </c>
      <c r="G75" t="str">
        <f>IF(COUNTIF(CcliTop100Canada!$D$2:$D$163,D75)&gt;0,"","NO")</f>
        <v/>
      </c>
    </row>
    <row r="76" spans="1:8" hidden="1" x14ac:dyDescent="0.25">
      <c r="A76">
        <v>69</v>
      </c>
      <c r="B76" t="s">
        <v>469</v>
      </c>
      <c r="C76" t="s">
        <v>76</v>
      </c>
      <c r="D76">
        <v>5677416</v>
      </c>
      <c r="F76" t="s">
        <v>475</v>
      </c>
      <c r="G76" t="str">
        <f>IF(COUNTIF(CcliTop100Canada!$D$2:$D$163,D76)&gt;0,"","NO")</f>
        <v/>
      </c>
      <c r="H76" t="s">
        <v>473</v>
      </c>
    </row>
    <row r="77" spans="1:8" hidden="1" x14ac:dyDescent="0.25">
      <c r="A77">
        <v>11</v>
      </c>
      <c r="B77" t="s">
        <v>469</v>
      </c>
      <c r="C77" t="s">
        <v>386</v>
      </c>
      <c r="D77">
        <v>5677416</v>
      </c>
      <c r="F77" t="s">
        <v>475</v>
      </c>
      <c r="G77" t="str">
        <f>IF(COUNTIF(CcliTop100Canada!$D$2:$D$163,D77)&gt;0,"","NO")</f>
        <v/>
      </c>
    </row>
    <row r="78" spans="1:8" x14ac:dyDescent="0.25">
      <c r="A78">
        <v>99</v>
      </c>
      <c r="B78" t="s">
        <v>456</v>
      </c>
      <c r="C78" t="s">
        <v>78</v>
      </c>
      <c r="D78">
        <v>4972837</v>
      </c>
      <c r="F78" t="s">
        <v>475</v>
      </c>
      <c r="G78" t="str">
        <f>IF(COUNTIF(CcliTop100Canada!$D$2:$D$163,D78)&gt;0,"","NO")</f>
        <v>NO</v>
      </c>
    </row>
    <row r="79" spans="1:8" hidden="1" x14ac:dyDescent="0.25">
      <c r="A79">
        <v>52</v>
      </c>
      <c r="B79" t="s">
        <v>30</v>
      </c>
      <c r="C79" t="s">
        <v>416</v>
      </c>
      <c r="D79">
        <v>7119315</v>
      </c>
      <c r="F79" t="s">
        <v>475</v>
      </c>
      <c r="G79" t="str">
        <f>IF(COUNTIF(CcliTop100Canada!$D$2:$D$163,D79)&gt;0,"","NO")</f>
        <v/>
      </c>
    </row>
    <row r="80" spans="1:8" hidden="1" x14ac:dyDescent="0.25">
      <c r="A80">
        <v>34</v>
      </c>
      <c r="B80" t="s">
        <v>67</v>
      </c>
      <c r="C80" t="s">
        <v>404</v>
      </c>
      <c r="D80">
        <v>7089641</v>
      </c>
      <c r="F80" t="s">
        <v>475</v>
      </c>
      <c r="G80" t="str">
        <f>IF(COUNTIF(CcliTop100Canada!$D$2:$D$163,D80)&gt;0,"","NO")</f>
        <v/>
      </c>
    </row>
    <row r="81" spans="1:7" hidden="1" x14ac:dyDescent="0.25">
      <c r="A81">
        <v>47</v>
      </c>
      <c r="B81" t="s">
        <v>137</v>
      </c>
      <c r="C81" t="s">
        <v>387</v>
      </c>
      <c r="D81">
        <v>7051507</v>
      </c>
      <c r="F81" t="s">
        <v>475</v>
      </c>
      <c r="G81" t="str">
        <f>IF(COUNTIF(CcliTop100Canada!$D$2:$D$163,D81)&gt;0,"","NO")</f>
        <v/>
      </c>
    </row>
    <row r="82" spans="1:7" hidden="1" x14ac:dyDescent="0.25">
      <c r="A82">
        <v>21</v>
      </c>
      <c r="B82" t="s">
        <v>63</v>
      </c>
      <c r="C82" t="s">
        <v>395</v>
      </c>
      <c r="D82">
        <v>4447960</v>
      </c>
      <c r="F82" t="s">
        <v>475</v>
      </c>
      <c r="G82" t="str">
        <f>IF(COUNTIF(CcliTop100Canada!$D$2:$D$163,D82)&gt;0,"","NO")</f>
        <v/>
      </c>
    </row>
    <row r="83" spans="1:7" hidden="1" x14ac:dyDescent="0.25">
      <c r="A83">
        <v>77</v>
      </c>
      <c r="B83" t="s">
        <v>108</v>
      </c>
      <c r="C83" t="s">
        <v>382</v>
      </c>
      <c r="D83">
        <v>1406918</v>
      </c>
      <c r="F83" t="s">
        <v>475</v>
      </c>
      <c r="G83" t="str">
        <f>IF(COUNTIF(CcliTop100Canada!$D$2:$D$163,D83)&gt;0,"","NO")</f>
        <v/>
      </c>
    </row>
    <row r="84" spans="1:7" x14ac:dyDescent="0.25">
      <c r="A84">
        <v>94</v>
      </c>
      <c r="B84" t="s">
        <v>449</v>
      </c>
      <c r="C84" t="s">
        <v>382</v>
      </c>
      <c r="D84">
        <v>5060810</v>
      </c>
      <c r="F84" t="s">
        <v>475</v>
      </c>
      <c r="G84" t="str">
        <f>IF(COUNTIF(CcliTop100Canada!$D$2:$D$163,D84)&gt;0,"","NO")</f>
        <v>NO</v>
      </c>
    </row>
    <row r="85" spans="1:7" hidden="1" x14ac:dyDescent="0.25">
      <c r="A85">
        <v>49</v>
      </c>
      <c r="B85" t="s">
        <v>157</v>
      </c>
      <c r="C85" t="s">
        <v>407</v>
      </c>
      <c r="D85">
        <v>4705248</v>
      </c>
      <c r="F85" t="s">
        <v>475</v>
      </c>
      <c r="G85" t="str">
        <f>IF(COUNTIF(CcliTop100Canada!$D$2:$D$163,D85)&gt;0,"","NO")</f>
        <v/>
      </c>
    </row>
    <row r="86" spans="1:7" x14ac:dyDescent="0.25">
      <c r="A86">
        <v>95</v>
      </c>
      <c r="B86" t="s">
        <v>450</v>
      </c>
      <c r="C86" t="s">
        <v>76</v>
      </c>
      <c r="D86">
        <v>3148435</v>
      </c>
      <c r="F86" t="s">
        <v>475</v>
      </c>
      <c r="G86" t="str">
        <f>IF(COUNTIF(CcliTop100Canada!$D$2:$D$163,D86)&gt;0,"","NO")</f>
        <v>NO</v>
      </c>
    </row>
    <row r="87" spans="1:7" hidden="1" x14ac:dyDescent="0.25">
      <c r="A87">
        <v>24</v>
      </c>
      <c r="B87" t="s">
        <v>79</v>
      </c>
      <c r="C87" t="s">
        <v>382</v>
      </c>
      <c r="D87">
        <v>7018338</v>
      </c>
      <c r="F87" t="s">
        <v>475</v>
      </c>
      <c r="G87" t="str">
        <f>IF(COUNTIF(CcliTop100Canada!$D$2:$D$163,D87)&gt;0,"","NO")</f>
        <v/>
      </c>
    </row>
    <row r="88" spans="1:7" hidden="1" x14ac:dyDescent="0.25">
      <c r="A88">
        <v>5</v>
      </c>
      <c r="B88" t="s">
        <v>14</v>
      </c>
      <c r="C88" t="s">
        <v>383</v>
      </c>
      <c r="D88">
        <v>6333821</v>
      </c>
      <c r="F88" t="s">
        <v>475</v>
      </c>
      <c r="G88" t="str">
        <f>IF(COUNTIF(CcliTop100Canada!$D$2:$D$163,D88)&gt;0,"","NO")</f>
        <v/>
      </c>
    </row>
    <row r="89" spans="1:7" x14ac:dyDescent="0.25">
      <c r="A89">
        <v>62</v>
      </c>
      <c r="B89" t="s">
        <v>423</v>
      </c>
      <c r="C89" t="s">
        <v>412</v>
      </c>
      <c r="D89">
        <v>5200924</v>
      </c>
      <c r="F89" t="s">
        <v>475</v>
      </c>
      <c r="G89" t="str">
        <f>IF(COUNTIF(CcliTop100Canada!$D$2:$D$163,D89)&gt;0,"","NO")</f>
        <v>NO</v>
      </c>
    </row>
    <row r="90" spans="1:7" x14ac:dyDescent="0.25">
      <c r="A90">
        <v>80</v>
      </c>
      <c r="B90" t="s">
        <v>439</v>
      </c>
      <c r="C90" t="s">
        <v>109</v>
      </c>
      <c r="D90">
        <v>6454621</v>
      </c>
      <c r="F90" t="s">
        <v>475</v>
      </c>
      <c r="G90" t="str">
        <f>IF(COUNTIF(CcliTop100Canada!$D$2:$D$163,D90)&gt;0,"","NO")</f>
        <v>NO</v>
      </c>
    </row>
    <row r="91" spans="1:7" hidden="1" x14ac:dyDescent="0.25">
      <c r="A91">
        <v>53</v>
      </c>
      <c r="B91" t="s">
        <v>0</v>
      </c>
      <c r="C91" t="s">
        <v>417</v>
      </c>
      <c r="D91">
        <v>7115744</v>
      </c>
      <c r="F91" t="s">
        <v>475</v>
      </c>
      <c r="G91" t="str">
        <f>IF(COUNTIF(CcliTop100Canada!$D$2:$D$163,D91)&gt;0,"","NO")</f>
        <v/>
      </c>
    </row>
    <row r="92" spans="1:7" x14ac:dyDescent="0.25">
      <c r="A92">
        <v>51</v>
      </c>
      <c r="B92" t="s">
        <v>316</v>
      </c>
      <c r="C92" t="s">
        <v>415</v>
      </c>
      <c r="D92">
        <v>6367165</v>
      </c>
      <c r="F92" t="s">
        <v>475</v>
      </c>
      <c r="G92" t="str">
        <f>IF(COUNTIF(CcliTop100Canada!$D$2:$D$163,D92)&gt;0,"","NO")</f>
        <v>NO</v>
      </c>
    </row>
    <row r="93" spans="1:7" hidden="1" x14ac:dyDescent="0.25">
      <c r="A93">
        <v>7</v>
      </c>
      <c r="B93" t="s">
        <v>6</v>
      </c>
      <c r="C93" t="s">
        <v>382</v>
      </c>
      <c r="D93">
        <v>7068424</v>
      </c>
      <c r="F93" t="s">
        <v>475</v>
      </c>
      <c r="G93" t="str">
        <f>IF(COUNTIF(CcliTop100Canada!$D$2:$D$163,D93)&gt;0,"","NO")</f>
        <v/>
      </c>
    </row>
    <row r="94" spans="1:7" hidden="1" x14ac:dyDescent="0.25">
      <c r="A94">
        <v>36</v>
      </c>
      <c r="B94" t="s">
        <v>405</v>
      </c>
      <c r="C94" t="s">
        <v>76</v>
      </c>
      <c r="D94">
        <v>6440288</v>
      </c>
      <c r="F94" t="s">
        <v>475</v>
      </c>
      <c r="G94" t="str">
        <f>IF(COUNTIF(CcliTop100Canada!$D$2:$D$163,D94)&gt;0,"","NO")</f>
        <v/>
      </c>
    </row>
    <row r="95" spans="1:7" x14ac:dyDescent="0.25">
      <c r="A95">
        <v>81</v>
      </c>
      <c r="B95" t="s">
        <v>440</v>
      </c>
      <c r="C95" t="s">
        <v>382</v>
      </c>
      <c r="D95">
        <v>3217555</v>
      </c>
      <c r="F95" t="s">
        <v>475</v>
      </c>
      <c r="G95" t="str">
        <f>IF(COUNTIF(CcliTop100Canada!$D$2:$D$163,D95)&gt;0,"","NO")</f>
        <v>NO</v>
      </c>
    </row>
    <row r="96" spans="1:7" x14ac:dyDescent="0.25">
      <c r="A96">
        <v>33</v>
      </c>
      <c r="B96" t="s">
        <v>457</v>
      </c>
      <c r="C96" t="s">
        <v>403</v>
      </c>
      <c r="D96">
        <v>3383788</v>
      </c>
      <c r="F96" t="s">
        <v>475</v>
      </c>
      <c r="G96" t="str">
        <f>IF(COUNTIF(CcliTop100Canada!$D$2:$D$163,D96)&gt;0,"","NO")</f>
        <v>NO</v>
      </c>
    </row>
    <row r="97" spans="1:7" x14ac:dyDescent="0.25">
      <c r="A97">
        <v>96</v>
      </c>
      <c r="B97" t="s">
        <v>451</v>
      </c>
      <c r="C97" t="s">
        <v>381</v>
      </c>
      <c r="D97">
        <v>4674166</v>
      </c>
      <c r="F97" t="s">
        <v>475</v>
      </c>
      <c r="G97" t="str">
        <f>IF(COUNTIF(CcliTop100Canada!$D$2:$D$163,D97)&gt;0,"","NO")</f>
        <v>NO</v>
      </c>
    </row>
    <row r="98" spans="1:7" hidden="1" x14ac:dyDescent="0.25">
      <c r="A98">
        <v>28</v>
      </c>
      <c r="B98" t="s">
        <v>99</v>
      </c>
      <c r="C98" t="s">
        <v>76</v>
      </c>
      <c r="D98">
        <v>4477026</v>
      </c>
      <c r="F98" t="s">
        <v>475</v>
      </c>
      <c r="G98" t="str">
        <f>IF(COUNTIF(CcliTop100Canada!$D$2:$D$163,D98)&gt;0,"","NO")</f>
        <v/>
      </c>
    </row>
    <row r="99" spans="1:7" x14ac:dyDescent="0.25">
      <c r="A99">
        <v>26</v>
      </c>
      <c r="B99" t="s">
        <v>397</v>
      </c>
      <c r="C99" t="s">
        <v>398</v>
      </c>
      <c r="D99">
        <v>5393329</v>
      </c>
      <c r="F99" t="s">
        <v>475</v>
      </c>
      <c r="G99" t="str">
        <f>IF(COUNTIF(CcliTop100Canada!$D$2:$D$163,D99)&gt;0,"","NO")</f>
        <v>NO</v>
      </c>
    </row>
    <row r="100" spans="1:7" hidden="1" x14ac:dyDescent="0.25">
      <c r="A100">
        <v>90</v>
      </c>
      <c r="B100" t="s">
        <v>143</v>
      </c>
      <c r="C100" t="s">
        <v>78</v>
      </c>
      <c r="D100">
        <v>4611679</v>
      </c>
      <c r="F100" t="s">
        <v>475</v>
      </c>
      <c r="G100" t="str">
        <f>IF(COUNTIF(CcliTop100Canada!$D$2:$D$163,D100)&gt;0,"","NO")</f>
        <v/>
      </c>
    </row>
  </sheetData>
  <autoFilter ref="A1:H100" xr:uid="{5D7A4B47-39E2-475A-90B5-8AB280129B76}">
    <filterColumn colId="6">
      <customFilters>
        <customFilter operator="notEqual" val=" "/>
      </customFilters>
    </filterColumn>
    <filterColumn colId="7">
      <filters blank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09F1-8EA2-4B66-B5AC-F15E14EE6D1B}">
  <sheetPr codeName="Sheet1"/>
  <dimension ref="A1:F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42.42578125" bestFit="1" customWidth="1"/>
    <col min="3" max="3" width="28.28515625" bestFit="1" customWidth="1"/>
  </cols>
  <sheetData>
    <row r="1" spans="1:6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</row>
    <row r="2" spans="1:6" x14ac:dyDescent="0.25">
      <c r="A2">
        <v>1</v>
      </c>
      <c r="B2" t="s">
        <v>479</v>
      </c>
      <c r="C2" t="s">
        <v>383</v>
      </c>
      <c r="F2" t="s">
        <v>575</v>
      </c>
    </row>
    <row r="3" spans="1:6" x14ac:dyDescent="0.25">
      <c r="A3">
        <v>2</v>
      </c>
      <c r="B3" t="s">
        <v>93</v>
      </c>
      <c r="C3" t="s">
        <v>387</v>
      </c>
      <c r="F3" t="s">
        <v>575</v>
      </c>
    </row>
    <row r="4" spans="1:6" x14ac:dyDescent="0.25">
      <c r="A4">
        <v>3</v>
      </c>
      <c r="B4" t="s">
        <v>480</v>
      </c>
      <c r="C4" t="s">
        <v>419</v>
      </c>
      <c r="F4" t="s">
        <v>575</v>
      </c>
    </row>
    <row r="5" spans="1:6" x14ac:dyDescent="0.25">
      <c r="A5">
        <v>4</v>
      </c>
      <c r="B5" t="s">
        <v>38</v>
      </c>
      <c r="C5" t="s">
        <v>387</v>
      </c>
      <c r="F5" t="s">
        <v>575</v>
      </c>
    </row>
    <row r="6" spans="1:6" x14ac:dyDescent="0.25">
      <c r="A6">
        <v>5</v>
      </c>
      <c r="B6" t="s">
        <v>481</v>
      </c>
      <c r="C6" t="s">
        <v>387</v>
      </c>
      <c r="F6" t="s">
        <v>575</v>
      </c>
    </row>
    <row r="7" spans="1:6" x14ac:dyDescent="0.25">
      <c r="A7">
        <v>6</v>
      </c>
      <c r="B7" t="s">
        <v>482</v>
      </c>
      <c r="C7" t="s">
        <v>497</v>
      </c>
      <c r="F7" t="s">
        <v>575</v>
      </c>
    </row>
    <row r="8" spans="1:6" x14ac:dyDescent="0.25">
      <c r="A8">
        <v>7</v>
      </c>
      <c r="B8" t="s">
        <v>483</v>
      </c>
      <c r="C8" t="s">
        <v>419</v>
      </c>
      <c r="F8" t="s">
        <v>575</v>
      </c>
    </row>
    <row r="9" spans="1:6" x14ac:dyDescent="0.25">
      <c r="A9">
        <v>8</v>
      </c>
      <c r="B9" t="s">
        <v>309</v>
      </c>
      <c r="C9" t="s">
        <v>498</v>
      </c>
      <c r="F9" t="s">
        <v>575</v>
      </c>
    </row>
    <row r="10" spans="1:6" x14ac:dyDescent="0.25">
      <c r="A10">
        <v>9</v>
      </c>
      <c r="B10" t="s">
        <v>484</v>
      </c>
      <c r="C10" t="s">
        <v>387</v>
      </c>
      <c r="F10" t="s">
        <v>575</v>
      </c>
    </row>
    <row r="11" spans="1:6" x14ac:dyDescent="0.25">
      <c r="A11">
        <v>10</v>
      </c>
      <c r="B11" t="s">
        <v>485</v>
      </c>
      <c r="C11" t="s">
        <v>387</v>
      </c>
      <c r="F11" t="s">
        <v>575</v>
      </c>
    </row>
    <row r="12" spans="1:6" x14ac:dyDescent="0.25">
      <c r="A12">
        <v>11</v>
      </c>
      <c r="B12" t="s">
        <v>112</v>
      </c>
      <c r="C12" t="s">
        <v>419</v>
      </c>
      <c r="F12" t="s">
        <v>575</v>
      </c>
    </row>
    <row r="13" spans="1:6" x14ac:dyDescent="0.25">
      <c r="A13">
        <v>12</v>
      </c>
      <c r="B13" t="s">
        <v>486</v>
      </c>
      <c r="C13" t="s">
        <v>499</v>
      </c>
      <c r="F13" t="s">
        <v>575</v>
      </c>
    </row>
    <row r="14" spans="1:6" x14ac:dyDescent="0.25">
      <c r="A14">
        <v>13</v>
      </c>
      <c r="B14" t="s">
        <v>487</v>
      </c>
      <c r="C14" t="s">
        <v>382</v>
      </c>
      <c r="F14" t="s">
        <v>575</v>
      </c>
    </row>
    <row r="15" spans="1:6" x14ac:dyDescent="0.25">
      <c r="A15">
        <v>14</v>
      </c>
      <c r="B15" t="s">
        <v>10</v>
      </c>
      <c r="C15" t="s">
        <v>382</v>
      </c>
      <c r="F15" t="s">
        <v>575</v>
      </c>
    </row>
    <row r="16" spans="1:6" x14ac:dyDescent="0.25">
      <c r="A16">
        <v>15</v>
      </c>
      <c r="B16" t="s">
        <v>488</v>
      </c>
      <c r="C16" t="s">
        <v>382</v>
      </c>
      <c r="F16" t="s">
        <v>575</v>
      </c>
    </row>
    <row r="17" spans="1:6" x14ac:dyDescent="0.25">
      <c r="A17">
        <v>16</v>
      </c>
      <c r="B17" t="s">
        <v>489</v>
      </c>
      <c r="C17" t="s">
        <v>387</v>
      </c>
      <c r="F17" t="s">
        <v>575</v>
      </c>
    </row>
    <row r="18" spans="1:6" x14ac:dyDescent="0.25">
      <c r="A18">
        <v>17</v>
      </c>
      <c r="B18" t="s">
        <v>0</v>
      </c>
      <c r="C18" t="s">
        <v>417</v>
      </c>
      <c r="F18" t="s">
        <v>575</v>
      </c>
    </row>
    <row r="19" spans="1:6" x14ac:dyDescent="0.25">
      <c r="A19">
        <v>18</v>
      </c>
      <c r="B19" t="s">
        <v>145</v>
      </c>
      <c r="C19" t="s">
        <v>500</v>
      </c>
      <c r="F19" t="s">
        <v>575</v>
      </c>
    </row>
    <row r="20" spans="1:6" x14ac:dyDescent="0.25">
      <c r="A20">
        <v>19</v>
      </c>
      <c r="B20" t="s">
        <v>490</v>
      </c>
      <c r="C20" t="s">
        <v>419</v>
      </c>
      <c r="F20" t="s">
        <v>575</v>
      </c>
    </row>
    <row r="21" spans="1:6" x14ac:dyDescent="0.25">
      <c r="A21">
        <v>20</v>
      </c>
      <c r="B21" t="s">
        <v>491</v>
      </c>
      <c r="C21" t="s">
        <v>497</v>
      </c>
      <c r="F21" t="s">
        <v>575</v>
      </c>
    </row>
    <row r="22" spans="1:6" x14ac:dyDescent="0.25">
      <c r="A22">
        <v>21</v>
      </c>
      <c r="B22" t="s">
        <v>492</v>
      </c>
      <c r="C22" t="s">
        <v>385</v>
      </c>
      <c r="F22" t="s">
        <v>575</v>
      </c>
    </row>
    <row r="23" spans="1:6" x14ac:dyDescent="0.25">
      <c r="A23">
        <v>22</v>
      </c>
      <c r="B23" t="s">
        <v>300</v>
      </c>
      <c r="C23" t="s">
        <v>419</v>
      </c>
      <c r="F23" t="s">
        <v>575</v>
      </c>
    </row>
    <row r="24" spans="1:6" x14ac:dyDescent="0.25">
      <c r="A24">
        <v>23</v>
      </c>
      <c r="B24" t="s">
        <v>44</v>
      </c>
      <c r="C24" t="s">
        <v>499</v>
      </c>
      <c r="F24" t="s">
        <v>575</v>
      </c>
    </row>
    <row r="25" spans="1:6" x14ac:dyDescent="0.25">
      <c r="A25">
        <v>24</v>
      </c>
      <c r="B25" t="s">
        <v>493</v>
      </c>
      <c r="C25" t="s">
        <v>501</v>
      </c>
      <c r="F25" t="s">
        <v>575</v>
      </c>
    </row>
    <row r="26" spans="1:6" x14ac:dyDescent="0.25">
      <c r="A26">
        <v>25</v>
      </c>
      <c r="B26" t="s">
        <v>4</v>
      </c>
      <c r="C26" t="s">
        <v>499</v>
      </c>
      <c r="F26" t="s">
        <v>575</v>
      </c>
    </row>
    <row r="27" spans="1:6" x14ac:dyDescent="0.25">
      <c r="A27">
        <v>26</v>
      </c>
      <c r="B27" t="s">
        <v>65</v>
      </c>
      <c r="C27" t="s">
        <v>438</v>
      </c>
      <c r="F27" t="s">
        <v>575</v>
      </c>
    </row>
    <row r="28" spans="1:6" x14ac:dyDescent="0.25">
      <c r="A28">
        <v>27</v>
      </c>
      <c r="B28" t="s">
        <v>494</v>
      </c>
      <c r="C28" t="s">
        <v>419</v>
      </c>
      <c r="F28" t="s">
        <v>575</v>
      </c>
    </row>
    <row r="29" spans="1:6" x14ac:dyDescent="0.25">
      <c r="A29">
        <v>28</v>
      </c>
      <c r="B29" t="s">
        <v>53</v>
      </c>
      <c r="C29" t="s">
        <v>383</v>
      </c>
      <c r="F29" t="s">
        <v>575</v>
      </c>
    </row>
    <row r="30" spans="1:6" x14ac:dyDescent="0.25">
      <c r="A30">
        <v>29</v>
      </c>
      <c r="B30" t="s">
        <v>495</v>
      </c>
      <c r="C30" t="s">
        <v>387</v>
      </c>
      <c r="F30" t="s">
        <v>575</v>
      </c>
    </row>
    <row r="31" spans="1:6" x14ac:dyDescent="0.25">
      <c r="A31">
        <v>30</v>
      </c>
      <c r="B31" t="s">
        <v>496</v>
      </c>
      <c r="C31" t="s">
        <v>438</v>
      </c>
      <c r="F31" t="s">
        <v>575</v>
      </c>
    </row>
    <row r="32" spans="1:6" x14ac:dyDescent="0.25">
      <c r="A32">
        <v>31</v>
      </c>
      <c r="B32" t="s">
        <v>177</v>
      </c>
      <c r="C32" t="s">
        <v>387</v>
      </c>
      <c r="F32" t="s">
        <v>575</v>
      </c>
    </row>
    <row r="33" spans="1:6" x14ac:dyDescent="0.25">
      <c r="A33">
        <v>32</v>
      </c>
      <c r="B33" t="s">
        <v>67</v>
      </c>
      <c r="C33" t="s">
        <v>502</v>
      </c>
      <c r="F33" t="s">
        <v>575</v>
      </c>
    </row>
    <row r="34" spans="1:6" x14ac:dyDescent="0.25">
      <c r="A34">
        <v>33</v>
      </c>
      <c r="B34" t="s">
        <v>91</v>
      </c>
      <c r="C34" t="s">
        <v>387</v>
      </c>
      <c r="F34" t="s">
        <v>575</v>
      </c>
    </row>
    <row r="35" spans="1:6" x14ac:dyDescent="0.25">
      <c r="A35">
        <v>34</v>
      </c>
      <c r="B35" t="s">
        <v>291</v>
      </c>
      <c r="C35" t="s">
        <v>503</v>
      </c>
      <c r="F35" t="s">
        <v>575</v>
      </c>
    </row>
    <row r="36" spans="1:6" x14ac:dyDescent="0.25">
      <c r="A36">
        <v>35</v>
      </c>
      <c r="B36" t="s">
        <v>504</v>
      </c>
      <c r="C36" t="s">
        <v>419</v>
      </c>
      <c r="F36" t="s">
        <v>575</v>
      </c>
    </row>
    <row r="37" spans="1:6" x14ac:dyDescent="0.25">
      <c r="A37">
        <v>36</v>
      </c>
      <c r="B37" t="s">
        <v>296</v>
      </c>
      <c r="C37" t="s">
        <v>387</v>
      </c>
      <c r="F37" t="s">
        <v>575</v>
      </c>
    </row>
    <row r="38" spans="1:6" x14ac:dyDescent="0.25">
      <c r="A38">
        <v>37</v>
      </c>
      <c r="B38" t="s">
        <v>280</v>
      </c>
      <c r="C38" t="s">
        <v>505</v>
      </c>
      <c r="F38" t="s">
        <v>575</v>
      </c>
    </row>
    <row r="39" spans="1:6" x14ac:dyDescent="0.25">
      <c r="A39">
        <v>38</v>
      </c>
      <c r="B39" t="s">
        <v>506</v>
      </c>
      <c r="C39" t="s">
        <v>507</v>
      </c>
      <c r="F39" t="s">
        <v>575</v>
      </c>
    </row>
    <row r="40" spans="1:6" x14ac:dyDescent="0.25">
      <c r="A40">
        <v>39</v>
      </c>
      <c r="B40" t="s">
        <v>508</v>
      </c>
      <c r="C40" t="s">
        <v>497</v>
      </c>
      <c r="F40" t="s">
        <v>575</v>
      </c>
    </row>
    <row r="41" spans="1:6" x14ac:dyDescent="0.25">
      <c r="A41">
        <v>40</v>
      </c>
      <c r="B41" t="s">
        <v>509</v>
      </c>
      <c r="C41" t="s">
        <v>497</v>
      </c>
      <c r="F41" t="s">
        <v>575</v>
      </c>
    </row>
    <row r="42" spans="1:6" x14ac:dyDescent="0.25">
      <c r="A42">
        <v>41</v>
      </c>
      <c r="B42" t="s">
        <v>510</v>
      </c>
      <c r="C42" t="s">
        <v>385</v>
      </c>
      <c r="F42" t="s">
        <v>575</v>
      </c>
    </row>
    <row r="43" spans="1:6" x14ac:dyDescent="0.25">
      <c r="A43">
        <v>42</v>
      </c>
      <c r="B43" t="s">
        <v>2</v>
      </c>
      <c r="C43" t="s">
        <v>383</v>
      </c>
      <c r="F43" t="s">
        <v>575</v>
      </c>
    </row>
    <row r="44" spans="1:6" x14ac:dyDescent="0.25">
      <c r="A44">
        <v>43</v>
      </c>
      <c r="B44" t="s">
        <v>511</v>
      </c>
      <c r="C44" t="s">
        <v>512</v>
      </c>
      <c r="F44" t="s">
        <v>575</v>
      </c>
    </row>
    <row r="45" spans="1:6" x14ac:dyDescent="0.25">
      <c r="A45">
        <v>44</v>
      </c>
      <c r="B45" t="s">
        <v>513</v>
      </c>
      <c r="C45" t="s">
        <v>514</v>
      </c>
      <c r="F45" t="s">
        <v>575</v>
      </c>
    </row>
    <row r="46" spans="1:6" x14ac:dyDescent="0.25">
      <c r="A46">
        <v>45</v>
      </c>
      <c r="B46" t="s">
        <v>296</v>
      </c>
      <c r="C46" t="s">
        <v>387</v>
      </c>
      <c r="F46" t="s">
        <v>575</v>
      </c>
    </row>
    <row r="47" spans="1:6" x14ac:dyDescent="0.25">
      <c r="A47">
        <v>46</v>
      </c>
      <c r="B47" t="s">
        <v>12</v>
      </c>
      <c r="C47" t="s">
        <v>396</v>
      </c>
      <c r="F47" t="s">
        <v>575</v>
      </c>
    </row>
    <row r="48" spans="1:6" x14ac:dyDescent="0.25">
      <c r="A48">
        <v>47</v>
      </c>
      <c r="B48" t="s">
        <v>309</v>
      </c>
      <c r="C48" t="s">
        <v>498</v>
      </c>
      <c r="F48" t="s">
        <v>575</v>
      </c>
    </row>
    <row r="49" spans="1:6" x14ac:dyDescent="0.25">
      <c r="A49">
        <v>48</v>
      </c>
      <c r="B49" t="s">
        <v>515</v>
      </c>
      <c r="C49" t="s">
        <v>382</v>
      </c>
      <c r="F49" t="s">
        <v>575</v>
      </c>
    </row>
    <row r="50" spans="1:6" x14ac:dyDescent="0.25">
      <c r="A50">
        <v>49</v>
      </c>
      <c r="B50" t="s">
        <v>516</v>
      </c>
      <c r="C50" t="s">
        <v>517</v>
      </c>
      <c r="F50" t="s">
        <v>575</v>
      </c>
    </row>
    <row r="51" spans="1:6" x14ac:dyDescent="0.25">
      <c r="A51">
        <v>50</v>
      </c>
      <c r="B51" t="s">
        <v>22</v>
      </c>
      <c r="C51" t="s">
        <v>76</v>
      </c>
      <c r="F51" t="s">
        <v>575</v>
      </c>
    </row>
    <row r="52" spans="1:6" x14ac:dyDescent="0.25">
      <c r="A52">
        <v>51</v>
      </c>
      <c r="B52" t="s">
        <v>518</v>
      </c>
      <c r="C52" t="s">
        <v>519</v>
      </c>
      <c r="F52" t="s">
        <v>575</v>
      </c>
    </row>
    <row r="53" spans="1:6" x14ac:dyDescent="0.25">
      <c r="A53">
        <v>52</v>
      </c>
      <c r="B53" t="s">
        <v>520</v>
      </c>
      <c r="C53" t="s">
        <v>387</v>
      </c>
      <c r="F53" t="s">
        <v>575</v>
      </c>
    </row>
    <row r="54" spans="1:6" x14ac:dyDescent="0.25">
      <c r="A54">
        <v>53</v>
      </c>
      <c r="B54" t="s">
        <v>521</v>
      </c>
      <c r="C54" t="s">
        <v>497</v>
      </c>
      <c r="F54" t="s">
        <v>575</v>
      </c>
    </row>
    <row r="55" spans="1:6" x14ac:dyDescent="0.25">
      <c r="A55">
        <v>54</v>
      </c>
      <c r="B55" t="s">
        <v>14</v>
      </c>
      <c r="C55" t="s">
        <v>383</v>
      </c>
      <c r="F55" t="s">
        <v>575</v>
      </c>
    </row>
    <row r="56" spans="1:6" x14ac:dyDescent="0.25">
      <c r="A56">
        <v>55</v>
      </c>
      <c r="B56" t="s">
        <v>55</v>
      </c>
      <c r="C56" t="s">
        <v>419</v>
      </c>
      <c r="F56" t="s">
        <v>575</v>
      </c>
    </row>
    <row r="57" spans="1:6" x14ac:dyDescent="0.25">
      <c r="A57">
        <v>56</v>
      </c>
      <c r="B57" t="s">
        <v>79</v>
      </c>
      <c r="C57" t="s">
        <v>382</v>
      </c>
      <c r="F57" t="s">
        <v>575</v>
      </c>
    </row>
    <row r="58" spans="1:6" x14ac:dyDescent="0.25">
      <c r="A58">
        <v>57</v>
      </c>
      <c r="B58" t="s">
        <v>12</v>
      </c>
      <c r="C58" t="s">
        <v>396</v>
      </c>
      <c r="F58" t="s">
        <v>575</v>
      </c>
    </row>
    <row r="59" spans="1:6" x14ac:dyDescent="0.25">
      <c r="A59">
        <v>58</v>
      </c>
      <c r="B59" t="s">
        <v>522</v>
      </c>
      <c r="C59" t="s">
        <v>523</v>
      </c>
      <c r="F59" t="s">
        <v>575</v>
      </c>
    </row>
    <row r="60" spans="1:6" x14ac:dyDescent="0.25">
      <c r="A60">
        <v>59</v>
      </c>
      <c r="B60" t="s">
        <v>524</v>
      </c>
      <c r="C60" t="s">
        <v>387</v>
      </c>
      <c r="F60" t="s">
        <v>575</v>
      </c>
    </row>
    <row r="61" spans="1:6" x14ac:dyDescent="0.25">
      <c r="A61">
        <v>60</v>
      </c>
      <c r="B61" t="s">
        <v>525</v>
      </c>
      <c r="C61" t="s">
        <v>502</v>
      </c>
      <c r="F61" t="s">
        <v>575</v>
      </c>
    </row>
    <row r="62" spans="1:6" x14ac:dyDescent="0.25">
      <c r="A62">
        <v>61</v>
      </c>
      <c r="B62" t="s">
        <v>526</v>
      </c>
      <c r="C62" t="s">
        <v>527</v>
      </c>
      <c r="F62" t="s">
        <v>575</v>
      </c>
    </row>
    <row r="63" spans="1:6" x14ac:dyDescent="0.25">
      <c r="A63">
        <v>62</v>
      </c>
      <c r="B63" t="s">
        <v>528</v>
      </c>
      <c r="C63" t="s">
        <v>523</v>
      </c>
      <c r="F63" t="s">
        <v>575</v>
      </c>
    </row>
    <row r="64" spans="1:6" x14ac:dyDescent="0.25">
      <c r="A64">
        <v>63</v>
      </c>
      <c r="B64" t="s">
        <v>529</v>
      </c>
      <c r="C64" t="s">
        <v>530</v>
      </c>
      <c r="F64" t="s">
        <v>575</v>
      </c>
    </row>
    <row r="65" spans="1:6" x14ac:dyDescent="0.25">
      <c r="A65">
        <v>64</v>
      </c>
      <c r="B65" t="s">
        <v>531</v>
      </c>
      <c r="C65" t="s">
        <v>382</v>
      </c>
      <c r="F65" t="s">
        <v>575</v>
      </c>
    </row>
    <row r="66" spans="1:6" x14ac:dyDescent="0.25">
      <c r="A66">
        <v>65</v>
      </c>
      <c r="B66" t="s">
        <v>526</v>
      </c>
      <c r="C66" t="s">
        <v>532</v>
      </c>
      <c r="F66" t="s">
        <v>575</v>
      </c>
    </row>
    <row r="67" spans="1:6" x14ac:dyDescent="0.25">
      <c r="A67">
        <v>66</v>
      </c>
      <c r="B67" t="s">
        <v>175</v>
      </c>
      <c r="C67" t="s">
        <v>533</v>
      </c>
      <c r="F67" t="s">
        <v>575</v>
      </c>
    </row>
    <row r="68" spans="1:6" x14ac:dyDescent="0.25">
      <c r="A68">
        <v>67</v>
      </c>
      <c r="B68" t="s">
        <v>534</v>
      </c>
      <c r="C68" t="s">
        <v>387</v>
      </c>
      <c r="F68" t="s">
        <v>575</v>
      </c>
    </row>
    <row r="69" spans="1:6" x14ac:dyDescent="0.25">
      <c r="A69">
        <v>68</v>
      </c>
      <c r="B69" t="s">
        <v>535</v>
      </c>
      <c r="C69" t="s">
        <v>519</v>
      </c>
      <c r="F69" t="s">
        <v>575</v>
      </c>
    </row>
    <row r="70" spans="1:6" x14ac:dyDescent="0.25">
      <c r="A70">
        <v>69</v>
      </c>
      <c r="B70" t="s">
        <v>284</v>
      </c>
      <c r="C70" t="s">
        <v>503</v>
      </c>
      <c r="F70" t="s">
        <v>575</v>
      </c>
    </row>
    <row r="71" spans="1:6" x14ac:dyDescent="0.25">
      <c r="A71">
        <v>70</v>
      </c>
      <c r="B71" t="s">
        <v>46</v>
      </c>
      <c r="C71" t="s">
        <v>76</v>
      </c>
      <c r="F71" t="s">
        <v>575</v>
      </c>
    </row>
    <row r="72" spans="1:6" x14ac:dyDescent="0.25">
      <c r="A72">
        <v>71</v>
      </c>
      <c r="B72" t="s">
        <v>307</v>
      </c>
      <c r="C72" t="s">
        <v>502</v>
      </c>
      <c r="F72" t="s">
        <v>575</v>
      </c>
    </row>
    <row r="73" spans="1:6" x14ac:dyDescent="0.25">
      <c r="A73">
        <v>72</v>
      </c>
      <c r="B73" t="s">
        <v>536</v>
      </c>
      <c r="C73" t="s">
        <v>500</v>
      </c>
      <c r="F73" t="s">
        <v>575</v>
      </c>
    </row>
    <row r="74" spans="1:6" x14ac:dyDescent="0.25">
      <c r="A74">
        <v>73</v>
      </c>
      <c r="B74" t="s">
        <v>102</v>
      </c>
      <c r="C74" t="s">
        <v>505</v>
      </c>
      <c r="F74" t="s">
        <v>575</v>
      </c>
    </row>
    <row r="75" spans="1:6" x14ac:dyDescent="0.25">
      <c r="A75">
        <v>74</v>
      </c>
      <c r="B75" t="s">
        <v>20</v>
      </c>
      <c r="C75" t="s">
        <v>382</v>
      </c>
      <c r="F75" t="s">
        <v>575</v>
      </c>
    </row>
    <row r="76" spans="1:6" x14ac:dyDescent="0.25">
      <c r="A76">
        <v>75</v>
      </c>
      <c r="B76" t="s">
        <v>537</v>
      </c>
      <c r="C76" t="s">
        <v>503</v>
      </c>
      <c r="F76" t="s">
        <v>575</v>
      </c>
    </row>
    <row r="77" spans="1:6" x14ac:dyDescent="0.25">
      <c r="A77">
        <v>76</v>
      </c>
      <c r="B77" t="s">
        <v>287</v>
      </c>
      <c r="C77" t="s">
        <v>498</v>
      </c>
      <c r="F77" t="s">
        <v>575</v>
      </c>
    </row>
    <row r="78" spans="1:6" x14ac:dyDescent="0.25">
      <c r="A78">
        <v>77</v>
      </c>
      <c r="B78" t="s">
        <v>538</v>
      </c>
      <c r="C78" t="s">
        <v>385</v>
      </c>
      <c r="F78" t="s">
        <v>575</v>
      </c>
    </row>
    <row r="79" spans="1:6" x14ac:dyDescent="0.25">
      <c r="A79">
        <v>78</v>
      </c>
      <c r="B79" t="s">
        <v>539</v>
      </c>
      <c r="C79" t="s">
        <v>419</v>
      </c>
      <c r="F79" t="s">
        <v>575</v>
      </c>
    </row>
    <row r="80" spans="1:6" x14ac:dyDescent="0.25">
      <c r="A80">
        <v>79</v>
      </c>
      <c r="B80" t="s">
        <v>540</v>
      </c>
      <c r="C80" t="s">
        <v>387</v>
      </c>
      <c r="F80" t="s">
        <v>575</v>
      </c>
    </row>
    <row r="81" spans="1:6" x14ac:dyDescent="0.25">
      <c r="A81">
        <v>80</v>
      </c>
      <c r="B81" t="s">
        <v>159</v>
      </c>
      <c r="C81" t="s">
        <v>419</v>
      </c>
      <c r="F81" t="s">
        <v>575</v>
      </c>
    </row>
    <row r="82" spans="1:6" x14ac:dyDescent="0.25">
      <c r="A82">
        <v>81</v>
      </c>
      <c r="B82" t="s">
        <v>485</v>
      </c>
      <c r="C82" t="s">
        <v>387</v>
      </c>
      <c r="F82" t="s">
        <v>575</v>
      </c>
    </row>
    <row r="83" spans="1:6" x14ac:dyDescent="0.25">
      <c r="A83">
        <v>82</v>
      </c>
      <c r="B83" t="s">
        <v>541</v>
      </c>
      <c r="C83" t="s">
        <v>519</v>
      </c>
      <c r="F83" t="s">
        <v>575</v>
      </c>
    </row>
    <row r="84" spans="1:6" x14ac:dyDescent="0.25">
      <c r="A84">
        <v>83</v>
      </c>
      <c r="B84" t="s">
        <v>307</v>
      </c>
      <c r="C84" t="s">
        <v>503</v>
      </c>
      <c r="F84" t="s">
        <v>575</v>
      </c>
    </row>
    <row r="85" spans="1:6" x14ac:dyDescent="0.25">
      <c r="A85">
        <v>84</v>
      </c>
      <c r="B85" t="s">
        <v>542</v>
      </c>
      <c r="C85" t="s">
        <v>427</v>
      </c>
      <c r="F85" t="s">
        <v>575</v>
      </c>
    </row>
    <row r="86" spans="1:6" x14ac:dyDescent="0.25">
      <c r="A86">
        <v>85</v>
      </c>
      <c r="B86" t="s">
        <v>543</v>
      </c>
      <c r="C86" t="s">
        <v>419</v>
      </c>
      <c r="F86" t="s">
        <v>575</v>
      </c>
    </row>
    <row r="87" spans="1:6" x14ac:dyDescent="0.25">
      <c r="A87">
        <v>86</v>
      </c>
      <c r="B87" t="s">
        <v>544</v>
      </c>
      <c r="C87" t="s">
        <v>545</v>
      </c>
      <c r="F87" t="s">
        <v>575</v>
      </c>
    </row>
    <row r="88" spans="1:6" x14ac:dyDescent="0.25">
      <c r="A88">
        <v>87</v>
      </c>
      <c r="B88" t="s">
        <v>546</v>
      </c>
      <c r="C88" t="s">
        <v>514</v>
      </c>
      <c r="F88" t="s">
        <v>575</v>
      </c>
    </row>
    <row r="89" spans="1:6" x14ac:dyDescent="0.25">
      <c r="A89">
        <v>88</v>
      </c>
      <c r="B89" t="s">
        <v>137</v>
      </c>
      <c r="C89" t="s">
        <v>387</v>
      </c>
      <c r="F89" t="s">
        <v>575</v>
      </c>
    </row>
    <row r="90" spans="1:6" x14ac:dyDescent="0.25">
      <c r="A90">
        <v>89</v>
      </c>
      <c r="B90" t="s">
        <v>42</v>
      </c>
      <c r="C90" t="s">
        <v>419</v>
      </c>
      <c r="F90" t="s">
        <v>575</v>
      </c>
    </row>
    <row r="91" spans="1:6" x14ac:dyDescent="0.25">
      <c r="A91">
        <v>90</v>
      </c>
      <c r="B91" t="s">
        <v>547</v>
      </c>
      <c r="C91" t="s">
        <v>382</v>
      </c>
      <c r="F91" t="s">
        <v>575</v>
      </c>
    </row>
    <row r="92" spans="1:6" x14ac:dyDescent="0.25">
      <c r="A92">
        <v>91</v>
      </c>
      <c r="B92" t="s">
        <v>548</v>
      </c>
      <c r="C92" t="s">
        <v>499</v>
      </c>
      <c r="F92" t="s">
        <v>575</v>
      </c>
    </row>
    <row r="93" spans="1:6" x14ac:dyDescent="0.25">
      <c r="A93">
        <v>92</v>
      </c>
      <c r="B93" t="s">
        <v>293</v>
      </c>
      <c r="C93" t="s">
        <v>505</v>
      </c>
      <c r="F93" t="s">
        <v>575</v>
      </c>
    </row>
    <row r="94" spans="1:6" x14ac:dyDescent="0.25">
      <c r="A94">
        <v>93</v>
      </c>
      <c r="B94" t="s">
        <v>2</v>
      </c>
      <c r="C94" t="s">
        <v>419</v>
      </c>
      <c r="F94" t="s">
        <v>575</v>
      </c>
    </row>
    <row r="95" spans="1:6" x14ac:dyDescent="0.25">
      <c r="A95">
        <v>94</v>
      </c>
      <c r="B95" t="s">
        <v>549</v>
      </c>
      <c r="C95" t="s">
        <v>387</v>
      </c>
      <c r="F95" t="s">
        <v>575</v>
      </c>
    </row>
    <row r="96" spans="1:6" x14ac:dyDescent="0.25">
      <c r="A96">
        <v>95</v>
      </c>
      <c r="B96" t="s">
        <v>550</v>
      </c>
      <c r="C96" t="s">
        <v>514</v>
      </c>
      <c r="F96" t="s">
        <v>575</v>
      </c>
    </row>
    <row r="97" spans="1:6" x14ac:dyDescent="0.25">
      <c r="A97">
        <v>96</v>
      </c>
      <c r="B97" t="s">
        <v>551</v>
      </c>
      <c r="C97" t="s">
        <v>497</v>
      </c>
      <c r="F97" t="s">
        <v>575</v>
      </c>
    </row>
    <row r="98" spans="1:6" x14ac:dyDescent="0.25">
      <c r="A98">
        <v>97</v>
      </c>
      <c r="B98" t="s">
        <v>552</v>
      </c>
      <c r="C98" t="s">
        <v>499</v>
      </c>
      <c r="F98" t="s">
        <v>575</v>
      </c>
    </row>
    <row r="99" spans="1:6" x14ac:dyDescent="0.25">
      <c r="A99">
        <v>98</v>
      </c>
      <c r="B99" t="s">
        <v>553</v>
      </c>
      <c r="C99" t="s">
        <v>514</v>
      </c>
      <c r="F99" t="s">
        <v>575</v>
      </c>
    </row>
    <row r="100" spans="1:6" x14ac:dyDescent="0.25">
      <c r="A100">
        <v>99</v>
      </c>
      <c r="B100" t="s">
        <v>554</v>
      </c>
      <c r="C100" t="s">
        <v>382</v>
      </c>
      <c r="F100" t="s">
        <v>575</v>
      </c>
    </row>
    <row r="101" spans="1:6" x14ac:dyDescent="0.25">
      <c r="A101">
        <v>100</v>
      </c>
      <c r="B101" t="s">
        <v>555</v>
      </c>
      <c r="C101" t="s">
        <v>382</v>
      </c>
      <c r="F101" t="s">
        <v>575</v>
      </c>
    </row>
    <row r="102" spans="1:6" x14ac:dyDescent="0.25">
      <c r="A102">
        <v>101</v>
      </c>
      <c r="B102" t="s">
        <v>556</v>
      </c>
      <c r="C102" t="s">
        <v>499</v>
      </c>
      <c r="F102" t="s">
        <v>575</v>
      </c>
    </row>
    <row r="103" spans="1:6" x14ac:dyDescent="0.25">
      <c r="A103">
        <v>102</v>
      </c>
      <c r="B103" t="s">
        <v>557</v>
      </c>
      <c r="C103" t="s">
        <v>382</v>
      </c>
      <c r="F103" t="s">
        <v>575</v>
      </c>
    </row>
    <row r="104" spans="1:6" x14ac:dyDescent="0.25">
      <c r="A104">
        <v>103</v>
      </c>
      <c r="B104" t="s">
        <v>558</v>
      </c>
      <c r="C104" t="s">
        <v>514</v>
      </c>
      <c r="F104" t="s">
        <v>575</v>
      </c>
    </row>
    <row r="105" spans="1:6" x14ac:dyDescent="0.25">
      <c r="A105">
        <v>104</v>
      </c>
      <c r="B105" t="s">
        <v>559</v>
      </c>
      <c r="C105" t="s">
        <v>419</v>
      </c>
      <c r="F105" t="s">
        <v>575</v>
      </c>
    </row>
    <row r="106" spans="1:6" x14ac:dyDescent="0.25">
      <c r="A106">
        <v>105</v>
      </c>
      <c r="B106" t="s">
        <v>560</v>
      </c>
      <c r="C106" t="s">
        <v>561</v>
      </c>
      <c r="F106" t="s">
        <v>575</v>
      </c>
    </row>
    <row r="107" spans="1:6" x14ac:dyDescent="0.25">
      <c r="A107">
        <v>106</v>
      </c>
      <c r="B107" t="s">
        <v>347</v>
      </c>
      <c r="C107" t="s">
        <v>514</v>
      </c>
      <c r="F107" t="s">
        <v>575</v>
      </c>
    </row>
    <row r="108" spans="1:6" x14ac:dyDescent="0.25">
      <c r="A108">
        <v>107</v>
      </c>
      <c r="B108" t="s">
        <v>562</v>
      </c>
      <c r="C108" t="s">
        <v>387</v>
      </c>
      <c r="F108" t="s">
        <v>575</v>
      </c>
    </row>
    <row r="109" spans="1:6" x14ac:dyDescent="0.25">
      <c r="A109">
        <v>108</v>
      </c>
      <c r="B109" t="s">
        <v>563</v>
      </c>
      <c r="C109" t="s">
        <v>387</v>
      </c>
      <c r="F109" t="s">
        <v>575</v>
      </c>
    </row>
    <row r="110" spans="1:6" x14ac:dyDescent="0.25">
      <c r="A110">
        <v>109</v>
      </c>
      <c r="B110" t="s">
        <v>480</v>
      </c>
      <c r="C110" t="s">
        <v>497</v>
      </c>
      <c r="F110" t="s">
        <v>575</v>
      </c>
    </row>
    <row r="111" spans="1:6" x14ac:dyDescent="0.25">
      <c r="A111">
        <v>110</v>
      </c>
      <c r="B111" t="s">
        <v>564</v>
      </c>
      <c r="C111" t="s">
        <v>497</v>
      </c>
      <c r="F111" t="s">
        <v>575</v>
      </c>
    </row>
    <row r="112" spans="1:6" x14ac:dyDescent="0.25">
      <c r="A112">
        <v>111</v>
      </c>
      <c r="B112" t="s">
        <v>286</v>
      </c>
      <c r="C112" t="s">
        <v>387</v>
      </c>
      <c r="F112" t="s">
        <v>575</v>
      </c>
    </row>
    <row r="113" spans="1:6" x14ac:dyDescent="0.25">
      <c r="A113">
        <v>112</v>
      </c>
      <c r="B113" t="s">
        <v>48</v>
      </c>
      <c r="C113" t="s">
        <v>530</v>
      </c>
      <c r="F113" t="s">
        <v>575</v>
      </c>
    </row>
    <row r="114" spans="1:6" x14ac:dyDescent="0.25">
      <c r="A114">
        <v>113</v>
      </c>
      <c r="B114" t="s">
        <v>136</v>
      </c>
      <c r="C114" t="s">
        <v>419</v>
      </c>
      <c r="F114" t="s">
        <v>575</v>
      </c>
    </row>
    <row r="115" spans="1:6" x14ac:dyDescent="0.25">
      <c r="A115">
        <v>114</v>
      </c>
      <c r="B115" t="s">
        <v>565</v>
      </c>
      <c r="C115" t="s">
        <v>519</v>
      </c>
      <c r="F115" t="s">
        <v>575</v>
      </c>
    </row>
    <row r="116" spans="1:6" x14ac:dyDescent="0.25">
      <c r="A116">
        <v>115</v>
      </c>
      <c r="B116" t="s">
        <v>4</v>
      </c>
      <c r="C116" t="s">
        <v>566</v>
      </c>
      <c r="F116" t="s">
        <v>575</v>
      </c>
    </row>
    <row r="117" spans="1:6" x14ac:dyDescent="0.25">
      <c r="A117">
        <v>116</v>
      </c>
      <c r="B117" t="s">
        <v>567</v>
      </c>
      <c r="C117" t="s">
        <v>100</v>
      </c>
      <c r="F117" t="s">
        <v>575</v>
      </c>
    </row>
    <row r="118" spans="1:6" x14ac:dyDescent="0.25">
      <c r="A118">
        <v>117</v>
      </c>
      <c r="B118" t="s">
        <v>568</v>
      </c>
      <c r="C118" t="s">
        <v>530</v>
      </c>
      <c r="F118" t="s">
        <v>575</v>
      </c>
    </row>
    <row r="119" spans="1:6" x14ac:dyDescent="0.25">
      <c r="A119">
        <v>118</v>
      </c>
      <c r="B119" t="s">
        <v>569</v>
      </c>
      <c r="C119" t="s">
        <v>530</v>
      </c>
      <c r="F119" t="s">
        <v>575</v>
      </c>
    </row>
    <row r="120" spans="1:6" x14ac:dyDescent="0.25">
      <c r="A120">
        <v>119</v>
      </c>
      <c r="B120" t="s">
        <v>570</v>
      </c>
      <c r="C120" t="s">
        <v>571</v>
      </c>
      <c r="F120" t="s">
        <v>575</v>
      </c>
    </row>
    <row r="121" spans="1:6" x14ac:dyDescent="0.25">
      <c r="A121">
        <v>120</v>
      </c>
      <c r="B121" t="s">
        <v>572</v>
      </c>
      <c r="C121" t="s">
        <v>382</v>
      </c>
      <c r="F121" t="s">
        <v>575</v>
      </c>
    </row>
  </sheetData>
  <autoFilter ref="A1:F121" xr:uid="{8E987F27-3531-44D3-8CD2-CD563325B4DB}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FA4B-F507-4F99-82EE-C575AF261C6A}">
  <dimension ref="A1:F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42.42578125" bestFit="1" customWidth="1"/>
    <col min="3" max="3" width="28.28515625" bestFit="1" customWidth="1"/>
  </cols>
  <sheetData>
    <row r="1" spans="1:6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</row>
    <row r="2" spans="1:6" x14ac:dyDescent="0.25">
      <c r="A2">
        <v>1</v>
      </c>
      <c r="B2" t="s">
        <v>479</v>
      </c>
      <c r="C2" t="s">
        <v>383</v>
      </c>
      <c r="F2" t="s">
        <v>576</v>
      </c>
    </row>
    <row r="3" spans="1:6" x14ac:dyDescent="0.25">
      <c r="A3">
        <v>2</v>
      </c>
      <c r="B3" t="s">
        <v>93</v>
      </c>
      <c r="C3" t="s">
        <v>387</v>
      </c>
      <c r="F3" t="s">
        <v>576</v>
      </c>
    </row>
    <row r="4" spans="1:6" x14ac:dyDescent="0.25">
      <c r="A4">
        <v>3</v>
      </c>
      <c r="B4" t="s">
        <v>480</v>
      </c>
      <c r="C4" t="s">
        <v>419</v>
      </c>
      <c r="F4" t="s">
        <v>576</v>
      </c>
    </row>
    <row r="5" spans="1:6" x14ac:dyDescent="0.25">
      <c r="A5">
        <v>4</v>
      </c>
      <c r="B5" t="s">
        <v>38</v>
      </c>
      <c r="C5" t="s">
        <v>387</v>
      </c>
      <c r="F5" t="s">
        <v>576</v>
      </c>
    </row>
    <row r="6" spans="1:6" x14ac:dyDescent="0.25">
      <c r="A6">
        <v>5</v>
      </c>
      <c r="B6" t="s">
        <v>481</v>
      </c>
      <c r="C6" t="s">
        <v>387</v>
      </c>
      <c r="F6" t="s">
        <v>576</v>
      </c>
    </row>
    <row r="7" spans="1:6" x14ac:dyDescent="0.25">
      <c r="A7">
        <v>6</v>
      </c>
      <c r="B7" t="s">
        <v>482</v>
      </c>
      <c r="C7" t="s">
        <v>497</v>
      </c>
      <c r="F7" t="s">
        <v>576</v>
      </c>
    </row>
    <row r="8" spans="1:6" x14ac:dyDescent="0.25">
      <c r="A8">
        <v>7</v>
      </c>
      <c r="B8" t="s">
        <v>483</v>
      </c>
      <c r="C8" t="s">
        <v>419</v>
      </c>
      <c r="F8" t="s">
        <v>576</v>
      </c>
    </row>
    <row r="9" spans="1:6" x14ac:dyDescent="0.25">
      <c r="A9">
        <v>8</v>
      </c>
      <c r="B9" t="s">
        <v>309</v>
      </c>
      <c r="C9" t="s">
        <v>498</v>
      </c>
      <c r="F9" t="s">
        <v>576</v>
      </c>
    </row>
    <row r="10" spans="1:6" x14ac:dyDescent="0.25">
      <c r="A10">
        <v>9</v>
      </c>
      <c r="B10" t="s">
        <v>484</v>
      </c>
      <c r="C10" t="s">
        <v>387</v>
      </c>
      <c r="F10" t="s">
        <v>576</v>
      </c>
    </row>
    <row r="11" spans="1:6" x14ac:dyDescent="0.25">
      <c r="A11">
        <v>10</v>
      </c>
      <c r="B11" t="s">
        <v>485</v>
      </c>
      <c r="C11" t="s">
        <v>387</v>
      </c>
      <c r="F11" t="s">
        <v>576</v>
      </c>
    </row>
    <row r="12" spans="1:6" x14ac:dyDescent="0.25">
      <c r="A12">
        <v>11</v>
      </c>
      <c r="B12" t="s">
        <v>112</v>
      </c>
      <c r="C12" t="s">
        <v>419</v>
      </c>
      <c r="F12" t="s">
        <v>576</v>
      </c>
    </row>
    <row r="13" spans="1:6" x14ac:dyDescent="0.25">
      <c r="A13">
        <v>12</v>
      </c>
      <c r="B13" t="s">
        <v>0</v>
      </c>
      <c r="C13" t="s">
        <v>417</v>
      </c>
      <c r="F13" t="s">
        <v>576</v>
      </c>
    </row>
    <row r="14" spans="1:6" x14ac:dyDescent="0.25">
      <c r="A14">
        <v>13</v>
      </c>
      <c r="B14" t="s">
        <v>486</v>
      </c>
      <c r="C14" t="s">
        <v>499</v>
      </c>
      <c r="F14" t="s">
        <v>576</v>
      </c>
    </row>
    <row r="15" spans="1:6" x14ac:dyDescent="0.25">
      <c r="A15">
        <v>14</v>
      </c>
      <c r="B15" t="s">
        <v>487</v>
      </c>
      <c r="C15" t="s">
        <v>382</v>
      </c>
      <c r="F15" t="s">
        <v>576</v>
      </c>
    </row>
    <row r="16" spans="1:6" x14ac:dyDescent="0.25">
      <c r="A16">
        <v>15</v>
      </c>
      <c r="B16" t="s">
        <v>488</v>
      </c>
      <c r="C16" t="s">
        <v>382</v>
      </c>
      <c r="F16" t="s">
        <v>576</v>
      </c>
    </row>
    <row r="17" spans="1:6" x14ac:dyDescent="0.25">
      <c r="A17">
        <v>16</v>
      </c>
      <c r="B17" t="s">
        <v>10</v>
      </c>
      <c r="C17" t="s">
        <v>382</v>
      </c>
      <c r="F17" t="s">
        <v>576</v>
      </c>
    </row>
    <row r="18" spans="1:6" x14ac:dyDescent="0.25">
      <c r="A18">
        <v>17</v>
      </c>
      <c r="B18" t="s">
        <v>489</v>
      </c>
      <c r="C18" t="s">
        <v>387</v>
      </c>
      <c r="F18" t="s">
        <v>576</v>
      </c>
    </row>
    <row r="19" spans="1:6" x14ac:dyDescent="0.25">
      <c r="A19">
        <v>18</v>
      </c>
      <c r="B19" t="s">
        <v>491</v>
      </c>
      <c r="C19" t="s">
        <v>497</v>
      </c>
      <c r="F19" t="s">
        <v>576</v>
      </c>
    </row>
    <row r="20" spans="1:6" x14ac:dyDescent="0.25">
      <c r="A20">
        <v>19</v>
      </c>
      <c r="B20" t="s">
        <v>492</v>
      </c>
      <c r="C20" t="s">
        <v>385</v>
      </c>
      <c r="F20" t="s">
        <v>576</v>
      </c>
    </row>
    <row r="21" spans="1:6" x14ac:dyDescent="0.25">
      <c r="A21">
        <v>20</v>
      </c>
      <c r="B21" t="s">
        <v>490</v>
      </c>
      <c r="C21" t="s">
        <v>419</v>
      </c>
      <c r="F21" t="s">
        <v>576</v>
      </c>
    </row>
    <row r="22" spans="1:6" x14ac:dyDescent="0.25">
      <c r="A22">
        <v>21</v>
      </c>
      <c r="B22" t="s">
        <v>145</v>
      </c>
      <c r="C22" t="s">
        <v>500</v>
      </c>
      <c r="F22" t="s">
        <v>576</v>
      </c>
    </row>
    <row r="23" spans="1:6" x14ac:dyDescent="0.25">
      <c r="A23">
        <v>22</v>
      </c>
      <c r="B23" t="s">
        <v>300</v>
      </c>
      <c r="C23" t="s">
        <v>419</v>
      </c>
      <c r="F23" t="s">
        <v>576</v>
      </c>
    </row>
    <row r="24" spans="1:6" x14ac:dyDescent="0.25">
      <c r="A24">
        <v>23</v>
      </c>
      <c r="B24" t="s">
        <v>44</v>
      </c>
      <c r="C24" t="s">
        <v>499</v>
      </c>
      <c r="F24" t="s">
        <v>576</v>
      </c>
    </row>
    <row r="25" spans="1:6" x14ac:dyDescent="0.25">
      <c r="A25">
        <v>24</v>
      </c>
      <c r="B25" t="s">
        <v>493</v>
      </c>
      <c r="C25" t="s">
        <v>501</v>
      </c>
      <c r="F25" t="s">
        <v>576</v>
      </c>
    </row>
    <row r="26" spans="1:6" x14ac:dyDescent="0.25">
      <c r="A26">
        <v>25</v>
      </c>
      <c r="B26" t="s">
        <v>4</v>
      </c>
      <c r="C26" t="s">
        <v>499</v>
      </c>
      <c r="F26" t="s">
        <v>576</v>
      </c>
    </row>
    <row r="27" spans="1:6" x14ac:dyDescent="0.25">
      <c r="A27">
        <v>26</v>
      </c>
      <c r="B27" t="s">
        <v>65</v>
      </c>
      <c r="C27" t="s">
        <v>438</v>
      </c>
      <c r="F27" t="s">
        <v>576</v>
      </c>
    </row>
    <row r="28" spans="1:6" x14ac:dyDescent="0.25">
      <c r="A28">
        <v>27</v>
      </c>
      <c r="B28" t="s">
        <v>494</v>
      </c>
      <c r="C28" t="s">
        <v>419</v>
      </c>
      <c r="F28" t="s">
        <v>576</v>
      </c>
    </row>
    <row r="29" spans="1:6" x14ac:dyDescent="0.25">
      <c r="A29">
        <v>28</v>
      </c>
      <c r="B29" t="s">
        <v>296</v>
      </c>
      <c r="C29" t="s">
        <v>387</v>
      </c>
      <c r="F29" t="s">
        <v>576</v>
      </c>
    </row>
    <row r="30" spans="1:6" x14ac:dyDescent="0.25">
      <c r="A30">
        <v>29</v>
      </c>
      <c r="B30" t="s">
        <v>53</v>
      </c>
      <c r="C30" t="s">
        <v>383</v>
      </c>
      <c r="F30" t="s">
        <v>576</v>
      </c>
    </row>
    <row r="31" spans="1:6" x14ac:dyDescent="0.25">
      <c r="A31">
        <v>30</v>
      </c>
      <c r="B31" t="s">
        <v>496</v>
      </c>
      <c r="C31" t="s">
        <v>438</v>
      </c>
      <c r="F31" t="s">
        <v>576</v>
      </c>
    </row>
    <row r="32" spans="1:6" x14ac:dyDescent="0.25">
      <c r="A32">
        <v>31</v>
      </c>
      <c r="B32" t="s">
        <v>495</v>
      </c>
      <c r="C32" t="s">
        <v>387</v>
      </c>
      <c r="F32" t="s">
        <v>576</v>
      </c>
    </row>
    <row r="33" spans="1:6" x14ac:dyDescent="0.25">
      <c r="A33">
        <v>32</v>
      </c>
      <c r="B33" t="s">
        <v>67</v>
      </c>
      <c r="C33" t="s">
        <v>502</v>
      </c>
      <c r="F33" t="s">
        <v>576</v>
      </c>
    </row>
    <row r="34" spans="1:6" x14ac:dyDescent="0.25">
      <c r="A34">
        <v>33</v>
      </c>
      <c r="B34" t="s">
        <v>504</v>
      </c>
      <c r="C34" t="s">
        <v>419</v>
      </c>
      <c r="F34" t="s">
        <v>576</v>
      </c>
    </row>
    <row r="35" spans="1:6" x14ac:dyDescent="0.25">
      <c r="A35">
        <v>34</v>
      </c>
      <c r="B35" t="s">
        <v>91</v>
      </c>
      <c r="C35" t="s">
        <v>387</v>
      </c>
      <c r="F35" t="s">
        <v>576</v>
      </c>
    </row>
    <row r="36" spans="1:6" x14ac:dyDescent="0.25">
      <c r="A36">
        <v>35</v>
      </c>
      <c r="B36" t="s">
        <v>177</v>
      </c>
      <c r="C36" t="s">
        <v>387</v>
      </c>
      <c r="F36" t="s">
        <v>576</v>
      </c>
    </row>
    <row r="37" spans="1:6" x14ac:dyDescent="0.25">
      <c r="A37">
        <v>36</v>
      </c>
      <c r="B37" t="s">
        <v>291</v>
      </c>
      <c r="C37" t="s">
        <v>503</v>
      </c>
      <c r="F37" t="s">
        <v>576</v>
      </c>
    </row>
    <row r="38" spans="1:6" x14ac:dyDescent="0.25">
      <c r="A38">
        <v>37</v>
      </c>
      <c r="B38" t="s">
        <v>280</v>
      </c>
      <c r="C38" t="s">
        <v>505</v>
      </c>
      <c r="F38" t="s">
        <v>576</v>
      </c>
    </row>
    <row r="39" spans="1:6" x14ac:dyDescent="0.25">
      <c r="A39">
        <v>38</v>
      </c>
      <c r="B39" t="s">
        <v>506</v>
      </c>
      <c r="C39" t="s">
        <v>507</v>
      </c>
      <c r="F39" t="s">
        <v>576</v>
      </c>
    </row>
    <row r="40" spans="1:6" x14ac:dyDescent="0.25">
      <c r="A40">
        <v>39</v>
      </c>
      <c r="B40" t="s">
        <v>513</v>
      </c>
      <c r="C40" t="s">
        <v>514</v>
      </c>
      <c r="F40" t="s">
        <v>576</v>
      </c>
    </row>
    <row r="41" spans="1:6" x14ac:dyDescent="0.25">
      <c r="A41">
        <v>40</v>
      </c>
      <c r="B41" t="s">
        <v>508</v>
      </c>
      <c r="C41" t="s">
        <v>497</v>
      </c>
      <c r="F41" t="s">
        <v>576</v>
      </c>
    </row>
    <row r="42" spans="1:6" x14ac:dyDescent="0.25">
      <c r="A42">
        <v>41</v>
      </c>
      <c r="B42" t="s">
        <v>510</v>
      </c>
      <c r="C42" t="s">
        <v>385</v>
      </c>
      <c r="F42" t="s">
        <v>576</v>
      </c>
    </row>
    <row r="43" spans="1:6" x14ac:dyDescent="0.25">
      <c r="A43">
        <v>42</v>
      </c>
      <c r="B43" t="s">
        <v>509</v>
      </c>
      <c r="C43" t="s">
        <v>497</v>
      </c>
      <c r="F43" t="s">
        <v>576</v>
      </c>
    </row>
    <row r="44" spans="1:6" x14ac:dyDescent="0.25">
      <c r="A44">
        <v>43</v>
      </c>
      <c r="B44" t="s">
        <v>511</v>
      </c>
      <c r="C44" t="s">
        <v>512</v>
      </c>
      <c r="F44" t="s">
        <v>576</v>
      </c>
    </row>
    <row r="45" spans="1:6" x14ac:dyDescent="0.25">
      <c r="A45">
        <v>44</v>
      </c>
      <c r="B45" t="s">
        <v>2</v>
      </c>
      <c r="C45" t="s">
        <v>383</v>
      </c>
      <c r="F45" t="s">
        <v>576</v>
      </c>
    </row>
    <row r="46" spans="1:6" x14ac:dyDescent="0.25">
      <c r="A46">
        <v>45</v>
      </c>
      <c r="B46" t="s">
        <v>309</v>
      </c>
      <c r="C46" t="s">
        <v>498</v>
      </c>
      <c r="F46" t="s">
        <v>576</v>
      </c>
    </row>
    <row r="47" spans="1:6" x14ac:dyDescent="0.25">
      <c r="A47">
        <v>46</v>
      </c>
      <c r="B47" t="s">
        <v>12</v>
      </c>
      <c r="C47" t="s">
        <v>396</v>
      </c>
      <c r="F47" t="s">
        <v>576</v>
      </c>
    </row>
    <row r="48" spans="1:6" x14ac:dyDescent="0.25">
      <c r="A48">
        <v>47</v>
      </c>
      <c r="B48" t="s">
        <v>296</v>
      </c>
      <c r="C48" t="s">
        <v>387</v>
      </c>
      <c r="F48" t="s">
        <v>576</v>
      </c>
    </row>
    <row r="49" spans="1:6" x14ac:dyDescent="0.25">
      <c r="A49">
        <v>48</v>
      </c>
      <c r="B49" t="s">
        <v>14</v>
      </c>
      <c r="C49" t="s">
        <v>383</v>
      </c>
      <c r="F49" t="s">
        <v>576</v>
      </c>
    </row>
    <row r="50" spans="1:6" x14ac:dyDescent="0.25">
      <c r="A50">
        <v>49</v>
      </c>
      <c r="B50" t="s">
        <v>515</v>
      </c>
      <c r="C50" t="s">
        <v>382</v>
      </c>
      <c r="F50" t="s">
        <v>576</v>
      </c>
    </row>
    <row r="51" spans="1:6" x14ac:dyDescent="0.25">
      <c r="A51">
        <v>50</v>
      </c>
      <c r="B51" t="s">
        <v>516</v>
      </c>
      <c r="C51" t="s">
        <v>517</v>
      </c>
      <c r="F51" t="s">
        <v>576</v>
      </c>
    </row>
    <row r="52" spans="1:6" x14ac:dyDescent="0.25">
      <c r="A52">
        <v>51</v>
      </c>
      <c r="B52" t="s">
        <v>521</v>
      </c>
      <c r="C52" t="s">
        <v>497</v>
      </c>
      <c r="F52" t="s">
        <v>576</v>
      </c>
    </row>
    <row r="53" spans="1:6" x14ac:dyDescent="0.25">
      <c r="A53">
        <v>52</v>
      </c>
      <c r="B53" t="s">
        <v>535</v>
      </c>
      <c r="C53" t="s">
        <v>519</v>
      </c>
      <c r="F53" t="s">
        <v>576</v>
      </c>
    </row>
    <row r="54" spans="1:6" x14ac:dyDescent="0.25">
      <c r="A54">
        <v>53</v>
      </c>
      <c r="B54" t="s">
        <v>520</v>
      </c>
      <c r="C54" t="s">
        <v>387</v>
      </c>
      <c r="F54" t="s">
        <v>576</v>
      </c>
    </row>
    <row r="55" spans="1:6" x14ac:dyDescent="0.25">
      <c r="A55">
        <v>54</v>
      </c>
      <c r="B55" t="s">
        <v>22</v>
      </c>
      <c r="C55" t="s">
        <v>76</v>
      </c>
      <c r="F55" t="s">
        <v>576</v>
      </c>
    </row>
    <row r="56" spans="1:6" x14ac:dyDescent="0.25">
      <c r="A56">
        <v>55</v>
      </c>
      <c r="B56" t="s">
        <v>518</v>
      </c>
      <c r="C56" t="s">
        <v>519</v>
      </c>
      <c r="F56" t="s">
        <v>576</v>
      </c>
    </row>
    <row r="57" spans="1:6" x14ac:dyDescent="0.25">
      <c r="A57">
        <v>56</v>
      </c>
      <c r="B57" t="s">
        <v>55</v>
      </c>
      <c r="C57" t="s">
        <v>419</v>
      </c>
      <c r="F57" t="s">
        <v>576</v>
      </c>
    </row>
    <row r="58" spans="1:6" x14ac:dyDescent="0.25">
      <c r="A58">
        <v>57</v>
      </c>
      <c r="B58" t="s">
        <v>12</v>
      </c>
      <c r="C58" t="s">
        <v>396</v>
      </c>
      <c r="F58" t="s">
        <v>576</v>
      </c>
    </row>
    <row r="59" spans="1:6" x14ac:dyDescent="0.25">
      <c r="A59">
        <v>58</v>
      </c>
      <c r="B59" t="s">
        <v>522</v>
      </c>
      <c r="C59" t="s">
        <v>523</v>
      </c>
      <c r="F59" t="s">
        <v>576</v>
      </c>
    </row>
    <row r="60" spans="1:6" x14ac:dyDescent="0.25">
      <c r="A60">
        <v>59</v>
      </c>
      <c r="B60" t="s">
        <v>79</v>
      </c>
      <c r="C60" t="s">
        <v>382</v>
      </c>
      <c r="F60" t="s">
        <v>576</v>
      </c>
    </row>
    <row r="61" spans="1:6" x14ac:dyDescent="0.25">
      <c r="A61">
        <v>60</v>
      </c>
      <c r="B61" t="s">
        <v>524</v>
      </c>
      <c r="C61" t="s">
        <v>387</v>
      </c>
      <c r="F61" t="s">
        <v>576</v>
      </c>
    </row>
    <row r="62" spans="1:6" x14ac:dyDescent="0.25">
      <c r="A62">
        <v>61</v>
      </c>
      <c r="B62" t="s">
        <v>525</v>
      </c>
      <c r="C62" t="s">
        <v>502</v>
      </c>
      <c r="F62" t="s">
        <v>576</v>
      </c>
    </row>
    <row r="63" spans="1:6" x14ac:dyDescent="0.25">
      <c r="A63">
        <v>62</v>
      </c>
      <c r="B63" t="s">
        <v>526</v>
      </c>
      <c r="C63" t="s">
        <v>527</v>
      </c>
      <c r="F63" t="s">
        <v>576</v>
      </c>
    </row>
    <row r="64" spans="1:6" x14ac:dyDescent="0.25">
      <c r="A64">
        <v>63</v>
      </c>
      <c r="B64" t="s">
        <v>528</v>
      </c>
      <c r="C64" t="s">
        <v>523</v>
      </c>
      <c r="F64" t="s">
        <v>576</v>
      </c>
    </row>
    <row r="65" spans="1:6" x14ac:dyDescent="0.25">
      <c r="A65">
        <v>64</v>
      </c>
      <c r="B65" t="s">
        <v>529</v>
      </c>
      <c r="C65" t="s">
        <v>530</v>
      </c>
      <c r="F65" t="s">
        <v>576</v>
      </c>
    </row>
    <row r="66" spans="1:6" x14ac:dyDescent="0.25">
      <c r="A66">
        <v>65</v>
      </c>
      <c r="B66" t="s">
        <v>526</v>
      </c>
      <c r="C66" t="s">
        <v>532</v>
      </c>
      <c r="F66" t="s">
        <v>576</v>
      </c>
    </row>
    <row r="67" spans="1:6" x14ac:dyDescent="0.25">
      <c r="A67">
        <v>66</v>
      </c>
      <c r="B67" t="s">
        <v>531</v>
      </c>
      <c r="C67" t="s">
        <v>382</v>
      </c>
      <c r="F67" t="s">
        <v>576</v>
      </c>
    </row>
    <row r="68" spans="1:6" x14ac:dyDescent="0.25">
      <c r="A68">
        <v>67</v>
      </c>
      <c r="B68" t="s">
        <v>102</v>
      </c>
      <c r="C68" t="s">
        <v>505</v>
      </c>
      <c r="F68" t="s">
        <v>576</v>
      </c>
    </row>
    <row r="69" spans="1:6" x14ac:dyDescent="0.25">
      <c r="A69">
        <v>68</v>
      </c>
      <c r="B69" t="s">
        <v>539</v>
      </c>
      <c r="C69" t="s">
        <v>419</v>
      </c>
      <c r="F69" t="s">
        <v>576</v>
      </c>
    </row>
    <row r="70" spans="1:6" x14ac:dyDescent="0.25">
      <c r="A70">
        <v>69</v>
      </c>
      <c r="B70" t="s">
        <v>46</v>
      </c>
      <c r="C70" t="s">
        <v>76</v>
      </c>
      <c r="F70" t="s">
        <v>576</v>
      </c>
    </row>
    <row r="71" spans="1:6" x14ac:dyDescent="0.25">
      <c r="A71">
        <v>70</v>
      </c>
      <c r="B71" t="s">
        <v>307</v>
      </c>
      <c r="C71" t="s">
        <v>502</v>
      </c>
      <c r="F71" t="s">
        <v>576</v>
      </c>
    </row>
    <row r="72" spans="1:6" x14ac:dyDescent="0.25">
      <c r="A72">
        <v>71</v>
      </c>
      <c r="B72" t="s">
        <v>284</v>
      </c>
      <c r="C72" t="s">
        <v>503</v>
      </c>
      <c r="F72" t="s">
        <v>576</v>
      </c>
    </row>
    <row r="73" spans="1:6" x14ac:dyDescent="0.25">
      <c r="A73">
        <v>72</v>
      </c>
      <c r="B73" t="s">
        <v>536</v>
      </c>
      <c r="C73" t="s">
        <v>500</v>
      </c>
      <c r="F73" t="s">
        <v>576</v>
      </c>
    </row>
    <row r="74" spans="1:6" x14ac:dyDescent="0.25">
      <c r="A74">
        <v>73</v>
      </c>
      <c r="B74" t="s">
        <v>175</v>
      </c>
      <c r="C74" t="s">
        <v>533</v>
      </c>
      <c r="F74" t="s">
        <v>576</v>
      </c>
    </row>
    <row r="75" spans="1:6" x14ac:dyDescent="0.25">
      <c r="A75">
        <v>74</v>
      </c>
      <c r="B75" t="s">
        <v>534</v>
      </c>
      <c r="C75" t="s">
        <v>387</v>
      </c>
      <c r="F75" t="s">
        <v>576</v>
      </c>
    </row>
    <row r="76" spans="1:6" x14ac:dyDescent="0.25">
      <c r="A76">
        <v>75</v>
      </c>
      <c r="B76" t="s">
        <v>540</v>
      </c>
      <c r="C76" t="s">
        <v>387</v>
      </c>
      <c r="F76" t="s">
        <v>576</v>
      </c>
    </row>
    <row r="77" spans="1:6" x14ac:dyDescent="0.25">
      <c r="A77">
        <v>76</v>
      </c>
      <c r="B77" t="s">
        <v>20</v>
      </c>
      <c r="C77" t="s">
        <v>382</v>
      </c>
      <c r="F77" t="s">
        <v>576</v>
      </c>
    </row>
    <row r="78" spans="1:6" x14ac:dyDescent="0.25">
      <c r="A78">
        <v>77</v>
      </c>
      <c r="B78" t="s">
        <v>287</v>
      </c>
      <c r="C78" t="s">
        <v>498</v>
      </c>
      <c r="F78" t="s">
        <v>576</v>
      </c>
    </row>
    <row r="79" spans="1:6" x14ac:dyDescent="0.25">
      <c r="A79">
        <v>78</v>
      </c>
      <c r="B79" t="s">
        <v>537</v>
      </c>
      <c r="C79" t="s">
        <v>503</v>
      </c>
      <c r="F79" t="s">
        <v>576</v>
      </c>
    </row>
    <row r="80" spans="1:6" x14ac:dyDescent="0.25">
      <c r="A80">
        <v>79</v>
      </c>
      <c r="B80" t="s">
        <v>538</v>
      </c>
      <c r="C80" t="s">
        <v>385</v>
      </c>
      <c r="F80" t="s">
        <v>576</v>
      </c>
    </row>
    <row r="81" spans="1:6" x14ac:dyDescent="0.25">
      <c r="A81">
        <v>80</v>
      </c>
      <c r="B81" t="s">
        <v>485</v>
      </c>
      <c r="C81" t="s">
        <v>387</v>
      </c>
      <c r="F81" t="s">
        <v>576</v>
      </c>
    </row>
    <row r="82" spans="1:6" x14ac:dyDescent="0.25">
      <c r="A82">
        <v>81</v>
      </c>
      <c r="B82" t="s">
        <v>542</v>
      </c>
      <c r="C82" t="s">
        <v>427</v>
      </c>
      <c r="F82" t="s">
        <v>576</v>
      </c>
    </row>
    <row r="83" spans="1:6" x14ac:dyDescent="0.25">
      <c r="A83">
        <v>82</v>
      </c>
      <c r="B83" t="s">
        <v>541</v>
      </c>
      <c r="C83" t="s">
        <v>519</v>
      </c>
      <c r="F83" t="s">
        <v>576</v>
      </c>
    </row>
    <row r="84" spans="1:6" x14ac:dyDescent="0.25">
      <c r="A84">
        <v>83</v>
      </c>
      <c r="B84" t="s">
        <v>547</v>
      </c>
      <c r="C84" t="s">
        <v>382</v>
      </c>
      <c r="F84" t="s">
        <v>576</v>
      </c>
    </row>
    <row r="85" spans="1:6" x14ac:dyDescent="0.25">
      <c r="A85">
        <v>84</v>
      </c>
      <c r="B85" t="s">
        <v>307</v>
      </c>
      <c r="C85" t="s">
        <v>503</v>
      </c>
      <c r="F85" t="s">
        <v>576</v>
      </c>
    </row>
    <row r="86" spans="1:6" x14ac:dyDescent="0.25">
      <c r="A86">
        <v>85</v>
      </c>
      <c r="B86" t="s">
        <v>544</v>
      </c>
      <c r="C86" t="s">
        <v>545</v>
      </c>
      <c r="F86" t="s">
        <v>576</v>
      </c>
    </row>
    <row r="87" spans="1:6" x14ac:dyDescent="0.25">
      <c r="A87">
        <v>86</v>
      </c>
      <c r="B87" t="s">
        <v>159</v>
      </c>
      <c r="C87" t="s">
        <v>419</v>
      </c>
      <c r="F87" t="s">
        <v>576</v>
      </c>
    </row>
    <row r="88" spans="1:6" x14ac:dyDescent="0.25">
      <c r="A88">
        <v>87</v>
      </c>
      <c r="B88" t="s">
        <v>543</v>
      </c>
      <c r="C88" t="s">
        <v>419</v>
      </c>
      <c r="F88" t="s">
        <v>576</v>
      </c>
    </row>
    <row r="89" spans="1:6" x14ac:dyDescent="0.25">
      <c r="A89">
        <v>88</v>
      </c>
      <c r="B89" t="s">
        <v>546</v>
      </c>
      <c r="C89" t="s">
        <v>514</v>
      </c>
      <c r="F89" t="s">
        <v>576</v>
      </c>
    </row>
    <row r="90" spans="1:6" x14ac:dyDescent="0.25">
      <c r="A90">
        <v>89</v>
      </c>
      <c r="B90" t="s">
        <v>42</v>
      </c>
      <c r="C90" t="s">
        <v>419</v>
      </c>
      <c r="F90" t="s">
        <v>576</v>
      </c>
    </row>
    <row r="91" spans="1:6" x14ac:dyDescent="0.25">
      <c r="A91">
        <v>90</v>
      </c>
      <c r="B91" t="s">
        <v>550</v>
      </c>
      <c r="C91" t="s">
        <v>514</v>
      </c>
      <c r="F91" t="s">
        <v>576</v>
      </c>
    </row>
    <row r="92" spans="1:6" x14ac:dyDescent="0.25">
      <c r="A92">
        <v>91</v>
      </c>
      <c r="B92" t="s">
        <v>137</v>
      </c>
      <c r="C92" t="s">
        <v>387</v>
      </c>
      <c r="F92" t="s">
        <v>576</v>
      </c>
    </row>
    <row r="93" spans="1:6" x14ac:dyDescent="0.25">
      <c r="A93">
        <v>92</v>
      </c>
      <c r="B93" t="s">
        <v>549</v>
      </c>
      <c r="C93" t="s">
        <v>387</v>
      </c>
      <c r="F93" t="s">
        <v>576</v>
      </c>
    </row>
    <row r="94" spans="1:6" x14ac:dyDescent="0.25">
      <c r="A94">
        <v>93</v>
      </c>
      <c r="B94" t="s">
        <v>293</v>
      </c>
      <c r="C94" t="s">
        <v>505</v>
      </c>
      <c r="F94" t="s">
        <v>576</v>
      </c>
    </row>
    <row r="95" spans="1:6" x14ac:dyDescent="0.25">
      <c r="A95">
        <v>94</v>
      </c>
      <c r="B95" t="s">
        <v>548</v>
      </c>
      <c r="C95" t="s">
        <v>499</v>
      </c>
      <c r="F95" t="s">
        <v>576</v>
      </c>
    </row>
    <row r="96" spans="1:6" x14ac:dyDescent="0.25">
      <c r="A96">
        <v>95</v>
      </c>
      <c r="B96" t="s">
        <v>558</v>
      </c>
      <c r="C96" t="s">
        <v>514</v>
      </c>
      <c r="F96" t="s">
        <v>576</v>
      </c>
    </row>
    <row r="97" spans="1:6" x14ac:dyDescent="0.25">
      <c r="A97">
        <v>96</v>
      </c>
      <c r="B97" t="s">
        <v>551</v>
      </c>
      <c r="C97" t="s">
        <v>497</v>
      </c>
      <c r="F97" t="s">
        <v>576</v>
      </c>
    </row>
    <row r="98" spans="1:6" x14ac:dyDescent="0.25">
      <c r="A98">
        <v>97</v>
      </c>
      <c r="B98" t="s">
        <v>552</v>
      </c>
      <c r="C98" t="s">
        <v>499</v>
      </c>
      <c r="F98" t="s">
        <v>576</v>
      </c>
    </row>
    <row r="99" spans="1:6" x14ac:dyDescent="0.25">
      <c r="A99">
        <v>98</v>
      </c>
      <c r="B99" t="s">
        <v>2</v>
      </c>
      <c r="C99" t="s">
        <v>419</v>
      </c>
      <c r="F99" t="s">
        <v>576</v>
      </c>
    </row>
    <row r="100" spans="1:6" x14ac:dyDescent="0.25">
      <c r="A100">
        <v>99</v>
      </c>
      <c r="B100" t="s">
        <v>555</v>
      </c>
      <c r="C100" t="s">
        <v>382</v>
      </c>
      <c r="F100" t="s">
        <v>576</v>
      </c>
    </row>
    <row r="101" spans="1:6" x14ac:dyDescent="0.25">
      <c r="A101">
        <v>100</v>
      </c>
      <c r="B101" t="s">
        <v>565</v>
      </c>
      <c r="C101" t="s">
        <v>519</v>
      </c>
      <c r="F101" t="s">
        <v>576</v>
      </c>
    </row>
    <row r="102" spans="1:6" x14ac:dyDescent="0.25">
      <c r="A102">
        <v>101</v>
      </c>
      <c r="B102" t="s">
        <v>347</v>
      </c>
      <c r="C102" t="s">
        <v>514</v>
      </c>
      <c r="F102" t="s">
        <v>576</v>
      </c>
    </row>
    <row r="103" spans="1:6" x14ac:dyDescent="0.25">
      <c r="A103">
        <v>102</v>
      </c>
      <c r="B103" t="s">
        <v>564</v>
      </c>
      <c r="C103" t="s">
        <v>497</v>
      </c>
      <c r="F103" t="s">
        <v>576</v>
      </c>
    </row>
    <row r="104" spans="1:6" x14ac:dyDescent="0.25">
      <c r="A104">
        <v>103</v>
      </c>
      <c r="B104" t="s">
        <v>570</v>
      </c>
      <c r="C104" t="s">
        <v>571</v>
      </c>
      <c r="F104" t="s">
        <v>576</v>
      </c>
    </row>
    <row r="105" spans="1:6" x14ac:dyDescent="0.25">
      <c r="A105">
        <v>104</v>
      </c>
      <c r="B105" t="s">
        <v>485</v>
      </c>
      <c r="C105" t="s">
        <v>573</v>
      </c>
      <c r="F105" t="s">
        <v>576</v>
      </c>
    </row>
    <row r="106" spans="1:6" x14ac:dyDescent="0.25">
      <c r="A106">
        <v>105</v>
      </c>
      <c r="B106" t="s">
        <v>560</v>
      </c>
      <c r="C106" t="s">
        <v>561</v>
      </c>
      <c r="F106" t="s">
        <v>576</v>
      </c>
    </row>
    <row r="107" spans="1:6" x14ac:dyDescent="0.25">
      <c r="A107">
        <v>106</v>
      </c>
      <c r="B107" t="s">
        <v>559</v>
      </c>
      <c r="C107" t="s">
        <v>419</v>
      </c>
      <c r="F107" t="s">
        <v>576</v>
      </c>
    </row>
    <row r="108" spans="1:6" x14ac:dyDescent="0.25">
      <c r="A108">
        <v>107</v>
      </c>
      <c r="B108" t="s">
        <v>480</v>
      </c>
      <c r="C108" t="s">
        <v>497</v>
      </c>
      <c r="F108" t="s">
        <v>576</v>
      </c>
    </row>
    <row r="109" spans="1:6" x14ac:dyDescent="0.25">
      <c r="A109">
        <v>108</v>
      </c>
      <c r="B109" t="s">
        <v>562</v>
      </c>
      <c r="C109" t="s">
        <v>387</v>
      </c>
      <c r="F109" t="s">
        <v>576</v>
      </c>
    </row>
    <row r="110" spans="1:6" x14ac:dyDescent="0.25">
      <c r="A110">
        <v>109</v>
      </c>
      <c r="B110" t="s">
        <v>557</v>
      </c>
      <c r="C110" t="s">
        <v>382</v>
      </c>
      <c r="F110" t="s">
        <v>576</v>
      </c>
    </row>
    <row r="111" spans="1:6" x14ac:dyDescent="0.25">
      <c r="A111">
        <v>110</v>
      </c>
      <c r="B111" t="s">
        <v>553</v>
      </c>
      <c r="C111" t="s">
        <v>514</v>
      </c>
      <c r="F111" t="s">
        <v>576</v>
      </c>
    </row>
    <row r="112" spans="1:6" x14ac:dyDescent="0.25">
      <c r="A112">
        <v>111</v>
      </c>
      <c r="B112" t="s">
        <v>556</v>
      </c>
      <c r="C112" t="s">
        <v>499</v>
      </c>
      <c r="F112" t="s">
        <v>576</v>
      </c>
    </row>
    <row r="113" spans="1:6" x14ac:dyDescent="0.25">
      <c r="A113">
        <v>112</v>
      </c>
      <c r="B113" t="s">
        <v>563</v>
      </c>
      <c r="C113" t="s">
        <v>387</v>
      </c>
      <c r="F113" t="s">
        <v>576</v>
      </c>
    </row>
    <row r="114" spans="1:6" x14ac:dyDescent="0.25">
      <c r="A114">
        <v>113</v>
      </c>
      <c r="B114" t="s">
        <v>554</v>
      </c>
      <c r="C114" t="s">
        <v>382</v>
      </c>
      <c r="F114" t="s">
        <v>576</v>
      </c>
    </row>
    <row r="115" spans="1:6" x14ac:dyDescent="0.25">
      <c r="A115">
        <v>114</v>
      </c>
      <c r="B115" t="s">
        <v>4</v>
      </c>
      <c r="C115" t="s">
        <v>566</v>
      </c>
      <c r="F115" t="s">
        <v>576</v>
      </c>
    </row>
    <row r="116" spans="1:6" x14ac:dyDescent="0.25">
      <c r="A116">
        <v>115</v>
      </c>
      <c r="B116" t="s">
        <v>48</v>
      </c>
      <c r="C116" t="s">
        <v>530</v>
      </c>
      <c r="F116" t="s">
        <v>576</v>
      </c>
    </row>
    <row r="117" spans="1:6" x14ac:dyDescent="0.25">
      <c r="A117">
        <v>116</v>
      </c>
      <c r="B117" t="s">
        <v>572</v>
      </c>
      <c r="C117" t="s">
        <v>382</v>
      </c>
      <c r="F117" t="s">
        <v>576</v>
      </c>
    </row>
    <row r="118" spans="1:6" x14ac:dyDescent="0.25">
      <c r="A118">
        <v>117</v>
      </c>
      <c r="B118" t="s">
        <v>286</v>
      </c>
      <c r="C118" t="s">
        <v>387</v>
      </c>
      <c r="F118" t="s">
        <v>576</v>
      </c>
    </row>
    <row r="119" spans="1:6" x14ac:dyDescent="0.25">
      <c r="A119">
        <v>118</v>
      </c>
      <c r="B119" t="s">
        <v>574</v>
      </c>
      <c r="C119" t="s">
        <v>385</v>
      </c>
      <c r="F119" t="s">
        <v>576</v>
      </c>
    </row>
    <row r="120" spans="1:6" x14ac:dyDescent="0.25">
      <c r="A120">
        <v>119</v>
      </c>
      <c r="B120" t="s">
        <v>71</v>
      </c>
      <c r="C120" t="s">
        <v>76</v>
      </c>
      <c r="F120" t="s">
        <v>576</v>
      </c>
    </row>
    <row r="121" spans="1:6" x14ac:dyDescent="0.25">
      <c r="A121">
        <v>120</v>
      </c>
      <c r="B121" t="s">
        <v>569</v>
      </c>
      <c r="C121" t="s">
        <v>530</v>
      </c>
      <c r="F121" t="s">
        <v>576</v>
      </c>
    </row>
  </sheetData>
  <autoFilter ref="A1:F121" xr:uid="{86847C9E-DE19-4869-BC50-A7652D2D6765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211C-7705-4513-A268-CE5F14037AAA}">
  <dimension ref="A1:I101"/>
  <sheetViews>
    <sheetView workbookViewId="0">
      <selection activeCell="B1" sqref="B1"/>
    </sheetView>
  </sheetViews>
  <sheetFormatPr defaultRowHeight="15" x14ac:dyDescent="0.25"/>
  <cols>
    <col min="1" max="1" width="56.28515625" bestFit="1" customWidth="1"/>
  </cols>
  <sheetData>
    <row r="1" spans="1:9" s="3" customFormat="1" x14ac:dyDescent="0.25">
      <c r="A1" s="3" t="s">
        <v>274</v>
      </c>
      <c r="B1" s="3" t="s">
        <v>757</v>
      </c>
      <c r="I1" s="3" t="s">
        <v>577</v>
      </c>
    </row>
    <row r="2" spans="1:9" x14ac:dyDescent="0.25">
      <c r="A2" t="s">
        <v>69</v>
      </c>
    </row>
    <row r="3" spans="1:9" x14ac:dyDescent="0.25">
      <c r="A3" t="s">
        <v>24</v>
      </c>
    </row>
    <row r="4" spans="1:9" x14ac:dyDescent="0.25">
      <c r="A4" t="s">
        <v>673</v>
      </c>
    </row>
    <row r="5" spans="1:9" x14ac:dyDescent="0.25">
      <c r="A5" t="s">
        <v>674</v>
      </c>
    </row>
    <row r="6" spans="1:9" x14ac:dyDescent="0.25">
      <c r="A6" t="s">
        <v>675</v>
      </c>
    </row>
    <row r="7" spans="1:9" x14ac:dyDescent="0.25">
      <c r="A7" t="s">
        <v>676</v>
      </c>
    </row>
    <row r="8" spans="1:9" x14ac:dyDescent="0.25">
      <c r="A8" t="s">
        <v>580</v>
      </c>
    </row>
    <row r="9" spans="1:9" x14ac:dyDescent="0.25">
      <c r="A9" t="s">
        <v>677</v>
      </c>
    </row>
    <row r="10" spans="1:9" x14ac:dyDescent="0.25">
      <c r="A10" t="s">
        <v>678</v>
      </c>
    </row>
    <row r="11" spans="1:9" x14ac:dyDescent="0.25">
      <c r="A11" t="s">
        <v>679</v>
      </c>
    </row>
    <row r="12" spans="1:9" x14ac:dyDescent="0.25">
      <c r="A12" t="s">
        <v>680</v>
      </c>
    </row>
    <row r="13" spans="1:9" x14ac:dyDescent="0.25">
      <c r="A13" t="s">
        <v>329</v>
      </c>
    </row>
    <row r="14" spans="1:9" x14ac:dyDescent="0.25">
      <c r="A14" t="s">
        <v>681</v>
      </c>
    </row>
    <row r="15" spans="1:9" x14ac:dyDescent="0.25">
      <c r="A15" t="s">
        <v>682</v>
      </c>
    </row>
    <row r="16" spans="1:9" x14ac:dyDescent="0.25">
      <c r="A16" t="s">
        <v>589</v>
      </c>
    </row>
    <row r="17" spans="1:1" x14ac:dyDescent="0.25">
      <c r="A17" t="s">
        <v>585</v>
      </c>
    </row>
    <row r="18" spans="1:1" x14ac:dyDescent="0.25">
      <c r="A18" t="s">
        <v>683</v>
      </c>
    </row>
    <row r="19" spans="1:1" x14ac:dyDescent="0.25">
      <c r="A19" t="s">
        <v>684</v>
      </c>
    </row>
    <row r="20" spans="1:1" x14ac:dyDescent="0.25">
      <c r="A20" t="s">
        <v>685</v>
      </c>
    </row>
    <row r="21" spans="1:1" x14ac:dyDescent="0.25">
      <c r="A21" t="s">
        <v>686</v>
      </c>
    </row>
    <row r="22" spans="1:1" x14ac:dyDescent="0.25">
      <c r="A22" t="s">
        <v>687</v>
      </c>
    </row>
    <row r="23" spans="1:1" x14ac:dyDescent="0.25">
      <c r="A23" t="s">
        <v>688</v>
      </c>
    </row>
    <row r="24" spans="1:1" x14ac:dyDescent="0.25">
      <c r="A24" t="s">
        <v>689</v>
      </c>
    </row>
    <row r="25" spans="1:1" x14ac:dyDescent="0.25">
      <c r="A25" t="s">
        <v>690</v>
      </c>
    </row>
    <row r="26" spans="1:1" x14ac:dyDescent="0.25">
      <c r="A26" t="s">
        <v>691</v>
      </c>
    </row>
    <row r="27" spans="1:1" x14ac:dyDescent="0.25">
      <c r="A27" t="s">
        <v>692</v>
      </c>
    </row>
    <row r="28" spans="1:1" x14ac:dyDescent="0.25">
      <c r="A28" t="s">
        <v>693</v>
      </c>
    </row>
    <row r="29" spans="1:1" x14ac:dyDescent="0.25">
      <c r="A29" t="s">
        <v>694</v>
      </c>
    </row>
    <row r="30" spans="1:1" x14ac:dyDescent="0.25">
      <c r="A30" t="s">
        <v>695</v>
      </c>
    </row>
    <row r="31" spans="1:1" x14ac:dyDescent="0.25">
      <c r="A31" t="s">
        <v>331</v>
      </c>
    </row>
    <row r="32" spans="1:1" x14ac:dyDescent="0.25">
      <c r="A32" t="s">
        <v>696</v>
      </c>
    </row>
    <row r="33" spans="1:1" x14ac:dyDescent="0.25">
      <c r="A33" t="s">
        <v>591</v>
      </c>
    </row>
    <row r="34" spans="1:1" x14ac:dyDescent="0.25">
      <c r="A34" t="s">
        <v>697</v>
      </c>
    </row>
    <row r="35" spans="1:1" x14ac:dyDescent="0.25">
      <c r="A35" t="s">
        <v>698</v>
      </c>
    </row>
    <row r="36" spans="1:1" x14ac:dyDescent="0.25">
      <c r="A36" t="s">
        <v>699</v>
      </c>
    </row>
    <row r="37" spans="1:1" x14ac:dyDescent="0.25">
      <c r="A37" t="s">
        <v>630</v>
      </c>
    </row>
    <row r="38" spans="1:1" x14ac:dyDescent="0.25">
      <c r="A38" t="s">
        <v>700</v>
      </c>
    </row>
    <row r="39" spans="1:1" x14ac:dyDescent="0.25">
      <c r="A39" t="s">
        <v>701</v>
      </c>
    </row>
    <row r="40" spans="1:1" x14ac:dyDescent="0.25">
      <c r="A40" t="s">
        <v>95</v>
      </c>
    </row>
    <row r="41" spans="1:1" x14ac:dyDescent="0.25">
      <c r="A41" t="s">
        <v>702</v>
      </c>
    </row>
    <row r="42" spans="1:1" x14ac:dyDescent="0.25">
      <c r="A42" t="s">
        <v>703</v>
      </c>
    </row>
    <row r="43" spans="1:1" x14ac:dyDescent="0.25">
      <c r="A43" t="s">
        <v>601</v>
      </c>
    </row>
    <row r="44" spans="1:1" x14ac:dyDescent="0.25">
      <c r="A44" t="s">
        <v>704</v>
      </c>
    </row>
    <row r="45" spans="1:1" x14ac:dyDescent="0.25">
      <c r="A45" t="s">
        <v>705</v>
      </c>
    </row>
    <row r="46" spans="1:1" x14ac:dyDescent="0.25">
      <c r="A46" t="s">
        <v>706</v>
      </c>
    </row>
    <row r="47" spans="1:1" x14ac:dyDescent="0.25">
      <c r="A47" t="s">
        <v>28</v>
      </c>
    </row>
    <row r="48" spans="1:1" x14ac:dyDescent="0.25">
      <c r="A48" t="s">
        <v>707</v>
      </c>
    </row>
    <row r="49" spans="1:1" x14ac:dyDescent="0.25">
      <c r="A49" t="s">
        <v>708</v>
      </c>
    </row>
    <row r="50" spans="1:1" x14ac:dyDescent="0.25">
      <c r="A50" t="s">
        <v>637</v>
      </c>
    </row>
    <row r="51" spans="1:1" x14ac:dyDescent="0.25">
      <c r="A51" t="s">
        <v>709</v>
      </c>
    </row>
    <row r="52" spans="1:1" x14ac:dyDescent="0.25">
      <c r="A52" t="s">
        <v>747</v>
      </c>
    </row>
    <row r="53" spans="1:1" x14ac:dyDescent="0.25">
      <c r="A53" t="s">
        <v>710</v>
      </c>
    </row>
    <row r="54" spans="1:1" x14ac:dyDescent="0.25">
      <c r="A54" t="s">
        <v>371</v>
      </c>
    </row>
    <row r="55" spans="1:1" x14ac:dyDescent="0.25">
      <c r="A55" t="s">
        <v>748</v>
      </c>
    </row>
    <row r="56" spans="1:1" x14ac:dyDescent="0.25">
      <c r="A56" t="s">
        <v>749</v>
      </c>
    </row>
    <row r="57" spans="1:1" x14ac:dyDescent="0.25">
      <c r="A57" t="s">
        <v>750</v>
      </c>
    </row>
    <row r="58" spans="1:1" x14ac:dyDescent="0.25">
      <c r="A58" t="s">
        <v>711</v>
      </c>
    </row>
    <row r="59" spans="1:1" x14ac:dyDescent="0.25">
      <c r="A59" t="s">
        <v>712</v>
      </c>
    </row>
    <row r="60" spans="1:1" x14ac:dyDescent="0.25">
      <c r="A60" t="s">
        <v>713</v>
      </c>
    </row>
    <row r="61" spans="1:1" x14ac:dyDescent="0.25">
      <c r="A61" t="s">
        <v>714</v>
      </c>
    </row>
    <row r="62" spans="1:1" x14ac:dyDescent="0.25">
      <c r="A62" t="s">
        <v>715</v>
      </c>
    </row>
    <row r="63" spans="1:1" x14ac:dyDescent="0.25">
      <c r="A63" t="s">
        <v>751</v>
      </c>
    </row>
    <row r="64" spans="1:1" x14ac:dyDescent="0.25">
      <c r="A64" t="s">
        <v>716</v>
      </c>
    </row>
    <row r="65" spans="1:1" x14ac:dyDescent="0.25">
      <c r="A65" t="s">
        <v>717</v>
      </c>
    </row>
    <row r="66" spans="1:1" x14ac:dyDescent="0.25">
      <c r="A66" t="s">
        <v>718</v>
      </c>
    </row>
    <row r="67" spans="1:1" x14ac:dyDescent="0.25">
      <c r="A67" t="s">
        <v>752</v>
      </c>
    </row>
    <row r="68" spans="1:1" x14ac:dyDescent="0.25">
      <c r="A68" t="s">
        <v>642</v>
      </c>
    </row>
    <row r="69" spans="1:1" x14ac:dyDescent="0.25">
      <c r="A69" t="s">
        <v>719</v>
      </c>
    </row>
    <row r="70" spans="1:1" x14ac:dyDescent="0.25">
      <c r="A70" t="s">
        <v>598</v>
      </c>
    </row>
    <row r="71" spans="1:1" x14ac:dyDescent="0.25">
      <c r="A71" t="s">
        <v>720</v>
      </c>
    </row>
    <row r="72" spans="1:1" x14ac:dyDescent="0.25">
      <c r="A72" t="s">
        <v>753</v>
      </c>
    </row>
    <row r="73" spans="1:1" x14ac:dyDescent="0.25">
      <c r="A73" t="s">
        <v>721</v>
      </c>
    </row>
    <row r="74" spans="1:1" x14ac:dyDescent="0.25">
      <c r="A74" t="s">
        <v>722</v>
      </c>
    </row>
    <row r="75" spans="1:1" x14ac:dyDescent="0.25">
      <c r="A75" t="s">
        <v>723</v>
      </c>
    </row>
    <row r="76" spans="1:1" x14ac:dyDescent="0.25">
      <c r="A76" t="s">
        <v>724</v>
      </c>
    </row>
    <row r="77" spans="1:1" x14ac:dyDescent="0.25">
      <c r="A77" t="s">
        <v>725</v>
      </c>
    </row>
    <row r="78" spans="1:1" x14ac:dyDescent="0.25">
      <c r="A78" t="s">
        <v>726</v>
      </c>
    </row>
    <row r="79" spans="1:1" x14ac:dyDescent="0.25">
      <c r="A79" t="s">
        <v>727</v>
      </c>
    </row>
    <row r="80" spans="1:1" x14ac:dyDescent="0.25">
      <c r="A80" t="s">
        <v>754</v>
      </c>
    </row>
    <row r="81" spans="1:1" x14ac:dyDescent="0.25">
      <c r="A81" t="s">
        <v>728</v>
      </c>
    </row>
    <row r="82" spans="1:1" x14ac:dyDescent="0.25">
      <c r="A82" t="s">
        <v>729</v>
      </c>
    </row>
    <row r="83" spans="1:1" x14ac:dyDescent="0.25">
      <c r="A83" t="s">
        <v>730</v>
      </c>
    </row>
    <row r="84" spans="1:1" x14ac:dyDescent="0.25">
      <c r="A84" t="s">
        <v>731</v>
      </c>
    </row>
    <row r="85" spans="1:1" x14ac:dyDescent="0.25">
      <c r="A85" t="s">
        <v>732</v>
      </c>
    </row>
    <row r="86" spans="1:1" x14ac:dyDescent="0.25">
      <c r="A86" t="s">
        <v>733</v>
      </c>
    </row>
    <row r="87" spans="1:1" x14ac:dyDescent="0.25">
      <c r="A87" t="s">
        <v>755</v>
      </c>
    </row>
    <row r="88" spans="1:1" x14ac:dyDescent="0.25">
      <c r="A88" t="s">
        <v>734</v>
      </c>
    </row>
    <row r="89" spans="1:1" x14ac:dyDescent="0.25">
      <c r="A89" t="s">
        <v>735</v>
      </c>
    </row>
    <row r="90" spans="1:1" x14ac:dyDescent="0.25">
      <c r="A90" t="s">
        <v>736</v>
      </c>
    </row>
    <row r="91" spans="1:1" x14ac:dyDescent="0.25">
      <c r="A91" t="s">
        <v>737</v>
      </c>
    </row>
    <row r="92" spans="1:1" x14ac:dyDescent="0.25">
      <c r="A92" t="s">
        <v>738</v>
      </c>
    </row>
    <row r="93" spans="1:1" x14ac:dyDescent="0.25">
      <c r="A93" t="s">
        <v>739</v>
      </c>
    </row>
    <row r="94" spans="1:1" x14ac:dyDescent="0.25">
      <c r="A94" t="s">
        <v>740</v>
      </c>
    </row>
    <row r="95" spans="1:1" x14ac:dyDescent="0.25">
      <c r="A95" t="s">
        <v>741</v>
      </c>
    </row>
    <row r="96" spans="1:1" x14ac:dyDescent="0.25">
      <c r="A96" t="s">
        <v>742</v>
      </c>
    </row>
    <row r="97" spans="1:1" x14ac:dyDescent="0.25">
      <c r="A97" t="s">
        <v>756</v>
      </c>
    </row>
    <row r="98" spans="1:1" x14ac:dyDescent="0.25">
      <c r="A98" t="s">
        <v>743</v>
      </c>
    </row>
    <row r="99" spans="1:1" x14ac:dyDescent="0.25">
      <c r="A99" t="s">
        <v>744</v>
      </c>
    </row>
    <row r="100" spans="1:1" x14ac:dyDescent="0.25">
      <c r="A100" t="s">
        <v>745</v>
      </c>
    </row>
    <row r="101" spans="1:1" x14ac:dyDescent="0.25">
      <c r="A101" t="s">
        <v>746</v>
      </c>
    </row>
  </sheetData>
  <autoFilter ref="A1:B101" xr:uid="{18151449-F1F0-4404-95DB-F9C70E6F844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90FD-D426-4689-B77D-F5DA06A561A8}">
  <dimension ref="A1:I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.85546875" bestFit="1" customWidth="1"/>
  </cols>
  <sheetData>
    <row r="1" spans="1:9" s="1" customFormat="1" x14ac:dyDescent="0.25">
      <c r="A1" s="1" t="s">
        <v>274</v>
      </c>
      <c r="B1" s="1" t="s">
        <v>757</v>
      </c>
      <c r="I1" s="1" t="s">
        <v>578</v>
      </c>
    </row>
    <row r="2" spans="1:9" x14ac:dyDescent="0.25">
      <c r="A2" t="s">
        <v>579</v>
      </c>
    </row>
    <row r="3" spans="1:9" x14ac:dyDescent="0.25">
      <c r="A3" t="s">
        <v>580</v>
      </c>
    </row>
    <row r="4" spans="1:9" x14ac:dyDescent="0.25">
      <c r="A4" t="s">
        <v>581</v>
      </c>
    </row>
    <row r="5" spans="1:9" x14ac:dyDescent="0.25">
      <c r="A5" t="s">
        <v>582</v>
      </c>
    </row>
    <row r="6" spans="1:9" x14ac:dyDescent="0.25">
      <c r="A6" t="s">
        <v>583</v>
      </c>
    </row>
    <row r="7" spans="1:9" x14ac:dyDescent="0.25">
      <c r="A7" t="s">
        <v>584</v>
      </c>
    </row>
    <row r="8" spans="1:9" x14ac:dyDescent="0.25">
      <c r="A8" t="s">
        <v>585</v>
      </c>
    </row>
    <row r="9" spans="1:9" x14ac:dyDescent="0.25">
      <c r="A9" t="s">
        <v>586</v>
      </c>
    </row>
    <row r="10" spans="1:9" x14ac:dyDescent="0.25">
      <c r="A10" t="s">
        <v>587</v>
      </c>
    </row>
    <row r="11" spans="1:9" x14ac:dyDescent="0.25">
      <c r="A11" t="s">
        <v>588</v>
      </c>
    </row>
    <row r="12" spans="1:9" x14ac:dyDescent="0.25">
      <c r="A12" t="s">
        <v>589</v>
      </c>
    </row>
    <row r="13" spans="1:9" x14ac:dyDescent="0.25">
      <c r="A13" t="s">
        <v>590</v>
      </c>
    </row>
    <row r="14" spans="1:9" x14ac:dyDescent="0.25">
      <c r="A14" t="s">
        <v>591</v>
      </c>
    </row>
    <row r="15" spans="1:9" x14ac:dyDescent="0.25">
      <c r="A15" t="s">
        <v>592</v>
      </c>
    </row>
    <row r="16" spans="1:9" x14ac:dyDescent="0.25">
      <c r="A16" t="s">
        <v>593</v>
      </c>
    </row>
    <row r="17" spans="1:1" x14ac:dyDescent="0.25">
      <c r="A17" t="s">
        <v>594</v>
      </c>
    </row>
    <row r="18" spans="1:1" x14ac:dyDescent="0.25">
      <c r="A18" t="s">
        <v>595</v>
      </c>
    </row>
    <row r="19" spans="1:1" x14ac:dyDescent="0.25">
      <c r="A19" t="s">
        <v>596</v>
      </c>
    </row>
    <row r="20" spans="1:1" x14ac:dyDescent="0.25">
      <c r="A20" t="s">
        <v>597</v>
      </c>
    </row>
    <row r="21" spans="1:1" x14ac:dyDescent="0.25">
      <c r="A21" t="s">
        <v>598</v>
      </c>
    </row>
    <row r="22" spans="1:1" x14ac:dyDescent="0.25">
      <c r="A22" t="s">
        <v>599</v>
      </c>
    </row>
    <row r="23" spans="1:1" x14ac:dyDescent="0.25">
      <c r="A23" t="s">
        <v>600</v>
      </c>
    </row>
    <row r="24" spans="1:1" x14ac:dyDescent="0.25">
      <c r="A24" t="s">
        <v>601</v>
      </c>
    </row>
    <row r="25" spans="1:1" x14ac:dyDescent="0.25">
      <c r="A25" t="s">
        <v>602</v>
      </c>
    </row>
    <row r="26" spans="1:1" x14ac:dyDescent="0.25">
      <c r="A26" t="s">
        <v>603</v>
      </c>
    </row>
    <row r="27" spans="1:1" x14ac:dyDescent="0.25">
      <c r="A27" t="s">
        <v>604</v>
      </c>
    </row>
    <row r="28" spans="1:1" x14ac:dyDescent="0.25">
      <c r="A28" t="s">
        <v>605</v>
      </c>
    </row>
    <row r="29" spans="1:1" x14ac:dyDescent="0.25">
      <c r="A29" t="s">
        <v>606</v>
      </c>
    </row>
    <row r="30" spans="1:1" x14ac:dyDescent="0.25">
      <c r="A30" t="s">
        <v>607</v>
      </c>
    </row>
    <row r="31" spans="1:1" x14ac:dyDescent="0.25">
      <c r="A31" t="s">
        <v>608</v>
      </c>
    </row>
    <row r="32" spans="1:1" x14ac:dyDescent="0.25">
      <c r="A32" t="s">
        <v>329</v>
      </c>
    </row>
    <row r="33" spans="1:1" x14ac:dyDescent="0.25">
      <c r="A33" t="s">
        <v>609</v>
      </c>
    </row>
    <row r="34" spans="1:1" x14ac:dyDescent="0.25">
      <c r="A34" t="s">
        <v>610</v>
      </c>
    </row>
    <row r="35" spans="1:1" x14ac:dyDescent="0.25">
      <c r="A35" t="s">
        <v>611</v>
      </c>
    </row>
    <row r="36" spans="1:1" x14ac:dyDescent="0.25">
      <c r="A36" t="s">
        <v>612</v>
      </c>
    </row>
    <row r="37" spans="1:1" x14ac:dyDescent="0.25">
      <c r="A37" t="s">
        <v>613</v>
      </c>
    </row>
    <row r="38" spans="1:1" x14ac:dyDescent="0.25">
      <c r="A38" t="s">
        <v>614</v>
      </c>
    </row>
    <row r="39" spans="1:1" x14ac:dyDescent="0.25">
      <c r="A39" t="s">
        <v>615</v>
      </c>
    </row>
    <row r="40" spans="1:1" x14ac:dyDescent="0.25">
      <c r="A40" t="s">
        <v>616</v>
      </c>
    </row>
    <row r="41" spans="1:1" x14ac:dyDescent="0.25">
      <c r="A41" t="s">
        <v>617</v>
      </c>
    </row>
    <row r="42" spans="1:1" x14ac:dyDescent="0.25">
      <c r="A42" t="s">
        <v>69</v>
      </c>
    </row>
    <row r="43" spans="1:1" x14ac:dyDescent="0.25">
      <c r="A43" t="s">
        <v>618</v>
      </c>
    </row>
    <row r="44" spans="1:1" x14ac:dyDescent="0.25">
      <c r="A44" t="s">
        <v>619</v>
      </c>
    </row>
    <row r="45" spans="1:1" x14ac:dyDescent="0.25">
      <c r="A45" t="s">
        <v>620</v>
      </c>
    </row>
    <row r="46" spans="1:1" x14ac:dyDescent="0.25">
      <c r="A46" t="s">
        <v>621</v>
      </c>
    </row>
    <row r="47" spans="1:1" x14ac:dyDescent="0.25">
      <c r="A47" t="s">
        <v>622</v>
      </c>
    </row>
    <row r="48" spans="1:1" x14ac:dyDescent="0.25">
      <c r="A48" t="s">
        <v>623</v>
      </c>
    </row>
    <row r="49" spans="1:1" x14ac:dyDescent="0.25">
      <c r="A49" t="s">
        <v>624</v>
      </c>
    </row>
    <row r="50" spans="1:1" x14ac:dyDescent="0.25">
      <c r="A50" t="s">
        <v>625</v>
      </c>
    </row>
    <row r="51" spans="1:1" x14ac:dyDescent="0.25">
      <c r="A51" t="s">
        <v>626</v>
      </c>
    </row>
    <row r="52" spans="1:1" x14ac:dyDescent="0.25">
      <c r="A52" t="s">
        <v>627</v>
      </c>
    </row>
    <row r="53" spans="1:1" x14ac:dyDescent="0.25">
      <c r="A53" t="s">
        <v>628</v>
      </c>
    </row>
    <row r="54" spans="1:1" x14ac:dyDescent="0.25">
      <c r="A54" t="s">
        <v>629</v>
      </c>
    </row>
    <row r="55" spans="1:1" x14ac:dyDescent="0.25">
      <c r="A55" t="s">
        <v>282</v>
      </c>
    </row>
    <row r="56" spans="1:1" x14ac:dyDescent="0.25">
      <c r="A56" t="s">
        <v>630</v>
      </c>
    </row>
    <row r="57" spans="1:1" x14ac:dyDescent="0.25">
      <c r="A57" t="s">
        <v>631</v>
      </c>
    </row>
    <row r="58" spans="1:1" x14ac:dyDescent="0.25">
      <c r="A58" t="s">
        <v>632</v>
      </c>
    </row>
    <row r="59" spans="1:1" x14ac:dyDescent="0.25">
      <c r="A59" t="s">
        <v>633</v>
      </c>
    </row>
    <row r="60" spans="1:1" x14ac:dyDescent="0.25">
      <c r="A60" t="s">
        <v>634</v>
      </c>
    </row>
    <row r="61" spans="1:1" x14ac:dyDescent="0.25">
      <c r="A61" t="s">
        <v>635</v>
      </c>
    </row>
    <row r="62" spans="1:1" x14ac:dyDescent="0.25">
      <c r="A62" t="s">
        <v>636</v>
      </c>
    </row>
    <row r="63" spans="1:1" x14ac:dyDescent="0.25">
      <c r="A63" t="s">
        <v>637</v>
      </c>
    </row>
    <row r="64" spans="1:1" x14ac:dyDescent="0.25">
      <c r="A64" t="s">
        <v>638</v>
      </c>
    </row>
    <row r="65" spans="1:1" x14ac:dyDescent="0.25">
      <c r="A65" t="s">
        <v>639</v>
      </c>
    </row>
    <row r="66" spans="1:1" x14ac:dyDescent="0.25">
      <c r="A66" t="s">
        <v>640</v>
      </c>
    </row>
    <row r="67" spans="1:1" x14ac:dyDescent="0.25">
      <c r="A67" t="s">
        <v>641</v>
      </c>
    </row>
    <row r="68" spans="1:1" x14ac:dyDescent="0.25">
      <c r="A68" t="s">
        <v>414</v>
      </c>
    </row>
    <row r="69" spans="1:1" x14ac:dyDescent="0.25">
      <c r="A69" t="s">
        <v>642</v>
      </c>
    </row>
    <row r="70" spans="1:1" x14ac:dyDescent="0.25">
      <c r="A70" t="s">
        <v>428</v>
      </c>
    </row>
    <row r="71" spans="1:1" x14ac:dyDescent="0.25">
      <c r="A71" t="s">
        <v>643</v>
      </c>
    </row>
    <row r="72" spans="1:1" x14ac:dyDescent="0.25">
      <c r="A72" t="s">
        <v>644</v>
      </c>
    </row>
    <row r="73" spans="1:1" x14ac:dyDescent="0.25">
      <c r="A73" t="s">
        <v>645</v>
      </c>
    </row>
    <row r="74" spans="1:1" x14ac:dyDescent="0.25">
      <c r="A74" t="s">
        <v>646</v>
      </c>
    </row>
    <row r="75" spans="1:1" x14ac:dyDescent="0.25">
      <c r="A75" t="s">
        <v>647</v>
      </c>
    </row>
    <row r="76" spans="1:1" x14ac:dyDescent="0.25">
      <c r="A76" t="s">
        <v>648</v>
      </c>
    </row>
    <row r="77" spans="1:1" x14ac:dyDescent="0.25">
      <c r="A77" t="s">
        <v>649</v>
      </c>
    </row>
    <row r="78" spans="1:1" x14ac:dyDescent="0.25">
      <c r="A78" t="s">
        <v>650</v>
      </c>
    </row>
    <row r="79" spans="1:1" x14ac:dyDescent="0.25">
      <c r="A79" t="s">
        <v>651</v>
      </c>
    </row>
    <row r="80" spans="1:1" x14ac:dyDescent="0.25">
      <c r="A80" t="s">
        <v>652</v>
      </c>
    </row>
    <row r="81" spans="1:1" x14ac:dyDescent="0.25">
      <c r="A81" t="s">
        <v>653</v>
      </c>
    </row>
    <row r="82" spans="1:1" x14ac:dyDescent="0.25">
      <c r="A82" t="s">
        <v>654</v>
      </c>
    </row>
    <row r="83" spans="1:1" x14ac:dyDescent="0.25">
      <c r="A83" t="s">
        <v>655</v>
      </c>
    </row>
    <row r="84" spans="1:1" x14ac:dyDescent="0.25">
      <c r="A84" t="s">
        <v>656</v>
      </c>
    </row>
    <row r="85" spans="1:1" x14ac:dyDescent="0.25">
      <c r="A85" t="s">
        <v>657</v>
      </c>
    </row>
    <row r="86" spans="1:1" x14ac:dyDescent="0.25">
      <c r="A86" t="s">
        <v>658</v>
      </c>
    </row>
    <row r="87" spans="1:1" x14ac:dyDescent="0.25">
      <c r="A87" t="s">
        <v>659</v>
      </c>
    </row>
    <row r="88" spans="1:1" x14ac:dyDescent="0.25">
      <c r="A88" t="s">
        <v>660</v>
      </c>
    </row>
    <row r="89" spans="1:1" x14ac:dyDescent="0.25">
      <c r="A89" t="s">
        <v>661</v>
      </c>
    </row>
    <row r="90" spans="1:1" x14ac:dyDescent="0.25">
      <c r="A90" t="s">
        <v>662</v>
      </c>
    </row>
    <row r="91" spans="1:1" x14ac:dyDescent="0.25">
      <c r="A91" t="s">
        <v>663</v>
      </c>
    </row>
    <row r="92" spans="1:1" x14ac:dyDescent="0.25">
      <c r="A92" t="s">
        <v>664</v>
      </c>
    </row>
    <row r="93" spans="1:1" x14ac:dyDescent="0.25">
      <c r="A93" t="s">
        <v>289</v>
      </c>
    </row>
    <row r="94" spans="1:1" x14ac:dyDescent="0.25">
      <c r="A94" t="s">
        <v>665</v>
      </c>
    </row>
    <row r="95" spans="1:1" x14ac:dyDescent="0.25">
      <c r="A95" t="s">
        <v>666</v>
      </c>
    </row>
    <row r="96" spans="1:1" x14ac:dyDescent="0.25">
      <c r="A96" t="s">
        <v>667</v>
      </c>
    </row>
    <row r="97" spans="1:1" x14ac:dyDescent="0.25">
      <c r="A97" t="s">
        <v>668</v>
      </c>
    </row>
    <row r="98" spans="1:1" x14ac:dyDescent="0.25">
      <c r="A98" t="s">
        <v>669</v>
      </c>
    </row>
    <row r="99" spans="1:1" x14ac:dyDescent="0.25">
      <c r="A99" t="s">
        <v>670</v>
      </c>
    </row>
    <row r="100" spans="1:1" x14ac:dyDescent="0.25">
      <c r="A100" t="s">
        <v>671</v>
      </c>
    </row>
    <row r="101" spans="1:1" x14ac:dyDescent="0.25">
      <c r="A101" t="s">
        <v>672</v>
      </c>
    </row>
  </sheetData>
  <autoFilter ref="A1:B101" xr:uid="{BEB806BE-9530-459B-BDB7-0691C747672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0E23-DF2D-4D47-AF7C-9304DB940264}">
  <dimension ref="A1:I1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1.85546875" bestFit="1" customWidth="1"/>
  </cols>
  <sheetData>
    <row r="1" spans="1:9" s="1" customFormat="1" x14ac:dyDescent="0.25">
      <c r="A1" s="1" t="s">
        <v>274</v>
      </c>
      <c r="B1" s="1" t="s">
        <v>757</v>
      </c>
      <c r="I1" s="1" t="s">
        <v>832</v>
      </c>
    </row>
    <row r="2" spans="1:9" x14ac:dyDescent="0.25">
      <c r="A2" s="4" t="s">
        <v>579</v>
      </c>
    </row>
    <row r="3" spans="1:9" x14ac:dyDescent="0.25">
      <c r="A3" s="4" t="s">
        <v>580</v>
      </c>
    </row>
    <row r="4" spans="1:9" x14ac:dyDescent="0.25">
      <c r="A4" s="4" t="s">
        <v>754</v>
      </c>
    </row>
    <row r="5" spans="1:9" x14ac:dyDescent="0.25">
      <c r="A5" s="4" t="s">
        <v>833</v>
      </c>
    </row>
    <row r="6" spans="1:9" x14ac:dyDescent="0.25">
      <c r="A6" s="4" t="s">
        <v>585</v>
      </c>
    </row>
    <row r="7" spans="1:9" x14ac:dyDescent="0.25">
      <c r="A7" s="4" t="s">
        <v>676</v>
      </c>
    </row>
    <row r="8" spans="1:9" x14ac:dyDescent="0.25">
      <c r="A8" s="4" t="s">
        <v>834</v>
      </c>
    </row>
    <row r="9" spans="1:9" x14ac:dyDescent="0.25">
      <c r="A9" s="4" t="s">
        <v>435</v>
      </c>
    </row>
    <row r="10" spans="1:9" x14ac:dyDescent="0.25">
      <c r="A10" s="4" t="s">
        <v>589</v>
      </c>
    </row>
    <row r="11" spans="1:9" x14ac:dyDescent="0.25">
      <c r="A11" s="4" t="s">
        <v>85</v>
      </c>
    </row>
    <row r="12" spans="1:9" x14ac:dyDescent="0.25">
      <c r="A12" s="4" t="s">
        <v>835</v>
      </c>
    </row>
    <row r="13" spans="1:9" x14ac:dyDescent="0.25">
      <c r="A13" s="4" t="s">
        <v>591</v>
      </c>
    </row>
    <row r="14" spans="1:9" x14ac:dyDescent="0.25">
      <c r="A14" s="4" t="s">
        <v>836</v>
      </c>
    </row>
    <row r="15" spans="1:9" x14ac:dyDescent="0.25">
      <c r="A15" s="4" t="s">
        <v>594</v>
      </c>
    </row>
    <row r="16" spans="1:9" x14ac:dyDescent="0.25">
      <c r="A16" s="4" t="s">
        <v>837</v>
      </c>
    </row>
    <row r="17" spans="1:1" x14ac:dyDescent="0.25">
      <c r="A17" s="4" t="s">
        <v>838</v>
      </c>
    </row>
    <row r="18" spans="1:1" x14ac:dyDescent="0.25">
      <c r="A18" s="4" t="s">
        <v>597</v>
      </c>
    </row>
    <row r="19" spans="1:1" x14ac:dyDescent="0.25">
      <c r="A19" s="4" t="s">
        <v>598</v>
      </c>
    </row>
    <row r="20" spans="1:1" x14ac:dyDescent="0.25">
      <c r="A20" s="4" t="s">
        <v>839</v>
      </c>
    </row>
    <row r="21" spans="1:1" x14ac:dyDescent="0.25">
      <c r="A21" s="4" t="s">
        <v>600</v>
      </c>
    </row>
    <row r="22" spans="1:1" x14ac:dyDescent="0.25">
      <c r="A22" s="4" t="s">
        <v>603</v>
      </c>
    </row>
    <row r="23" spans="1:1" x14ac:dyDescent="0.25">
      <c r="A23" s="4" t="s">
        <v>840</v>
      </c>
    </row>
    <row r="24" spans="1:1" x14ac:dyDescent="0.25">
      <c r="A24" s="4" t="s">
        <v>841</v>
      </c>
    </row>
    <row r="25" spans="1:1" x14ac:dyDescent="0.25">
      <c r="A25" s="4" t="s">
        <v>608</v>
      </c>
    </row>
    <row r="26" spans="1:1" x14ac:dyDescent="0.25">
      <c r="A26" s="4" t="s">
        <v>779</v>
      </c>
    </row>
    <row r="27" spans="1:1" x14ac:dyDescent="0.25">
      <c r="A27" s="4" t="s">
        <v>329</v>
      </c>
    </row>
    <row r="28" spans="1:1" x14ac:dyDescent="0.25">
      <c r="A28" s="4" t="s">
        <v>842</v>
      </c>
    </row>
    <row r="29" spans="1:1" x14ac:dyDescent="0.25">
      <c r="A29" s="4" t="s">
        <v>843</v>
      </c>
    </row>
    <row r="30" spans="1:1" x14ac:dyDescent="0.25">
      <c r="A30" s="4" t="s">
        <v>612</v>
      </c>
    </row>
    <row r="31" spans="1:1" x14ac:dyDescent="0.25">
      <c r="A31" s="4" t="s">
        <v>776</v>
      </c>
    </row>
    <row r="32" spans="1:1" x14ac:dyDescent="0.25">
      <c r="A32" s="4" t="s">
        <v>614</v>
      </c>
    </row>
    <row r="33" spans="1:1" x14ac:dyDescent="0.25">
      <c r="A33" s="4" t="s">
        <v>791</v>
      </c>
    </row>
    <row r="34" spans="1:1" x14ac:dyDescent="0.25">
      <c r="A34" s="4" t="s">
        <v>844</v>
      </c>
    </row>
    <row r="35" spans="1:1" x14ac:dyDescent="0.25">
      <c r="A35" s="4" t="s">
        <v>808</v>
      </c>
    </row>
    <row r="36" spans="1:1" x14ac:dyDescent="0.25">
      <c r="A36" s="4" t="s">
        <v>826</v>
      </c>
    </row>
    <row r="37" spans="1:1" x14ac:dyDescent="0.25">
      <c r="A37" s="4" t="s">
        <v>845</v>
      </c>
    </row>
    <row r="38" spans="1:1" x14ac:dyDescent="0.25">
      <c r="A38" s="4" t="s">
        <v>69</v>
      </c>
    </row>
    <row r="39" spans="1:1" x14ac:dyDescent="0.25">
      <c r="A39" s="4" t="s">
        <v>846</v>
      </c>
    </row>
    <row r="40" spans="1:1" x14ac:dyDescent="0.25">
      <c r="A40" s="4" t="s">
        <v>847</v>
      </c>
    </row>
    <row r="41" spans="1:1" x14ac:dyDescent="0.25">
      <c r="A41" s="4" t="s">
        <v>619</v>
      </c>
    </row>
    <row r="42" spans="1:1" x14ac:dyDescent="0.25">
      <c r="A42" s="4" t="s">
        <v>848</v>
      </c>
    </row>
    <row r="43" spans="1:1" x14ac:dyDescent="0.25">
      <c r="A43" s="4" t="s">
        <v>796</v>
      </c>
    </row>
    <row r="44" spans="1:1" x14ac:dyDescent="0.25">
      <c r="A44" s="4" t="s">
        <v>849</v>
      </c>
    </row>
    <row r="45" spans="1:1" x14ac:dyDescent="0.25">
      <c r="A45" s="4" t="s">
        <v>621</v>
      </c>
    </row>
    <row r="46" spans="1:1" x14ac:dyDescent="0.25">
      <c r="A46" s="4" t="s">
        <v>850</v>
      </c>
    </row>
    <row r="47" spans="1:1" x14ac:dyDescent="0.25">
      <c r="A47" s="4" t="s">
        <v>851</v>
      </c>
    </row>
    <row r="48" spans="1:1" x14ac:dyDescent="0.25">
      <c r="A48" s="4" t="s">
        <v>852</v>
      </c>
    </row>
    <row r="49" spans="1:1" x14ac:dyDescent="0.25">
      <c r="A49" s="4" t="s">
        <v>853</v>
      </c>
    </row>
    <row r="50" spans="1:1" x14ac:dyDescent="0.25">
      <c r="A50" s="4" t="s">
        <v>854</v>
      </c>
    </row>
    <row r="51" spans="1:1" x14ac:dyDescent="0.25">
      <c r="A51" s="4" t="s">
        <v>855</v>
      </c>
    </row>
    <row r="52" spans="1:1" x14ac:dyDescent="0.25">
      <c r="A52" s="4" t="s">
        <v>629</v>
      </c>
    </row>
    <row r="53" spans="1:1" x14ac:dyDescent="0.25">
      <c r="A53" s="4" t="s">
        <v>282</v>
      </c>
    </row>
    <row r="54" spans="1:1" x14ac:dyDescent="0.25">
      <c r="A54" s="4" t="s">
        <v>856</v>
      </c>
    </row>
    <row r="55" spans="1:1" x14ac:dyDescent="0.25">
      <c r="A55" s="4" t="s">
        <v>857</v>
      </c>
    </row>
    <row r="56" spans="1:1" x14ac:dyDescent="0.25">
      <c r="A56" s="4" t="s">
        <v>858</v>
      </c>
    </row>
    <row r="57" spans="1:1" x14ac:dyDescent="0.25">
      <c r="A57" s="4" t="s">
        <v>859</v>
      </c>
    </row>
    <row r="58" spans="1:1" x14ac:dyDescent="0.25">
      <c r="A58" s="4" t="s">
        <v>630</v>
      </c>
    </row>
    <row r="59" spans="1:1" x14ac:dyDescent="0.25">
      <c r="A59" s="4" t="s">
        <v>860</v>
      </c>
    </row>
    <row r="60" spans="1:1" x14ac:dyDescent="0.25">
      <c r="A60" s="4" t="s">
        <v>861</v>
      </c>
    </row>
    <row r="61" spans="1:1" x14ac:dyDescent="0.25">
      <c r="A61" s="4" t="s">
        <v>862</v>
      </c>
    </row>
    <row r="62" spans="1:1" x14ac:dyDescent="0.25">
      <c r="A62" s="4" t="s">
        <v>863</v>
      </c>
    </row>
    <row r="63" spans="1:1" x14ac:dyDescent="0.25">
      <c r="A63" s="4" t="s">
        <v>864</v>
      </c>
    </row>
    <row r="64" spans="1:1" x14ac:dyDescent="0.25">
      <c r="A64" s="4" t="s">
        <v>865</v>
      </c>
    </row>
    <row r="65" spans="1:1" x14ac:dyDescent="0.25">
      <c r="A65" s="4" t="s">
        <v>866</v>
      </c>
    </row>
    <row r="66" spans="1:1" x14ac:dyDescent="0.25">
      <c r="A66" s="4" t="s">
        <v>867</v>
      </c>
    </row>
    <row r="67" spans="1:1" x14ac:dyDescent="0.25">
      <c r="A67" s="4" t="s">
        <v>642</v>
      </c>
    </row>
    <row r="68" spans="1:1" x14ac:dyDescent="0.25">
      <c r="A68" s="4" t="s">
        <v>868</v>
      </c>
    </row>
    <row r="69" spans="1:1" x14ac:dyDescent="0.25">
      <c r="A69" s="4" t="s">
        <v>644</v>
      </c>
    </row>
    <row r="70" spans="1:1" x14ac:dyDescent="0.25">
      <c r="A70" s="4" t="s">
        <v>869</v>
      </c>
    </row>
    <row r="71" spans="1:1" x14ac:dyDescent="0.25">
      <c r="A71" s="4" t="s">
        <v>870</v>
      </c>
    </row>
    <row r="72" spans="1:1" x14ac:dyDescent="0.25">
      <c r="A72" s="4" t="s">
        <v>871</v>
      </c>
    </row>
    <row r="73" spans="1:1" x14ac:dyDescent="0.25">
      <c r="A73" s="4" t="s">
        <v>872</v>
      </c>
    </row>
    <row r="74" spans="1:1" x14ac:dyDescent="0.25">
      <c r="A74" s="4" t="s">
        <v>873</v>
      </c>
    </row>
    <row r="75" spans="1:1" x14ac:dyDescent="0.25">
      <c r="A75" s="4" t="s">
        <v>649</v>
      </c>
    </row>
    <row r="76" spans="1:1" x14ac:dyDescent="0.25">
      <c r="A76" s="4" t="s">
        <v>874</v>
      </c>
    </row>
    <row r="77" spans="1:1" x14ac:dyDescent="0.25">
      <c r="A77" s="4" t="s">
        <v>651</v>
      </c>
    </row>
    <row r="78" spans="1:1" x14ac:dyDescent="0.25">
      <c r="A78" s="4" t="s">
        <v>875</v>
      </c>
    </row>
    <row r="79" spans="1:1" x14ac:dyDescent="0.25">
      <c r="A79" s="4" t="s">
        <v>876</v>
      </c>
    </row>
    <row r="80" spans="1:1" x14ac:dyDescent="0.25">
      <c r="A80" s="4" t="s">
        <v>877</v>
      </c>
    </row>
    <row r="81" spans="1:1" x14ac:dyDescent="0.25">
      <c r="A81" s="4" t="s">
        <v>735</v>
      </c>
    </row>
    <row r="82" spans="1:1" x14ac:dyDescent="0.25">
      <c r="A82" s="4" t="s">
        <v>878</v>
      </c>
    </row>
    <row r="83" spans="1:1" x14ac:dyDescent="0.25">
      <c r="A83" s="4" t="s">
        <v>879</v>
      </c>
    </row>
    <row r="84" spans="1:1" x14ac:dyDescent="0.25">
      <c r="A84" s="4" t="s">
        <v>880</v>
      </c>
    </row>
    <row r="85" spans="1:1" x14ac:dyDescent="0.25">
      <c r="A85" s="4" t="s">
        <v>881</v>
      </c>
    </row>
    <row r="86" spans="1:1" x14ac:dyDescent="0.25">
      <c r="A86" s="4" t="s">
        <v>659</v>
      </c>
    </row>
    <row r="87" spans="1:1" x14ac:dyDescent="0.25">
      <c r="A87" s="4" t="s">
        <v>882</v>
      </c>
    </row>
    <row r="88" spans="1:1" x14ac:dyDescent="0.25">
      <c r="A88" s="4" t="s">
        <v>660</v>
      </c>
    </row>
    <row r="89" spans="1:1" x14ac:dyDescent="0.25">
      <c r="A89" s="4" t="s">
        <v>661</v>
      </c>
    </row>
    <row r="90" spans="1:1" x14ac:dyDescent="0.25">
      <c r="A90" s="4" t="s">
        <v>883</v>
      </c>
    </row>
    <row r="91" spans="1:1" x14ac:dyDescent="0.25">
      <c r="A91" s="4" t="s">
        <v>687</v>
      </c>
    </row>
    <row r="92" spans="1:1" x14ac:dyDescent="0.25">
      <c r="A92" s="4" t="s">
        <v>664</v>
      </c>
    </row>
    <row r="93" spans="1:1" x14ac:dyDescent="0.25">
      <c r="A93" s="4" t="s">
        <v>663</v>
      </c>
    </row>
    <row r="94" spans="1:1" x14ac:dyDescent="0.25">
      <c r="A94" s="4" t="s">
        <v>289</v>
      </c>
    </row>
    <row r="95" spans="1:1" x14ac:dyDescent="0.25">
      <c r="A95" s="4" t="s">
        <v>884</v>
      </c>
    </row>
    <row r="96" spans="1:1" x14ac:dyDescent="0.25">
      <c r="A96" s="4" t="s">
        <v>885</v>
      </c>
    </row>
    <row r="97" spans="1:1" x14ac:dyDescent="0.25">
      <c r="A97" s="4" t="s">
        <v>886</v>
      </c>
    </row>
    <row r="98" spans="1:1" x14ac:dyDescent="0.25">
      <c r="A98" s="4" t="s">
        <v>668</v>
      </c>
    </row>
    <row r="99" spans="1:1" x14ac:dyDescent="0.25">
      <c r="A99" s="4" t="s">
        <v>887</v>
      </c>
    </row>
    <row r="100" spans="1:1" x14ac:dyDescent="0.25">
      <c r="A100" s="4" t="s">
        <v>669</v>
      </c>
    </row>
    <row r="101" spans="1:1" x14ac:dyDescent="0.25">
      <c r="A101" s="4" t="s">
        <v>670</v>
      </c>
    </row>
  </sheetData>
  <autoFilter ref="A1:B101" xr:uid="{BD903512-2044-45A5-8C56-7BCF1E75E31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3939-657E-4A97-9AB2-0A8AECFF6957}">
  <dimension ref="A1:I1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.85546875" bestFit="1" customWidth="1"/>
  </cols>
  <sheetData>
    <row r="1" spans="1:9" s="1" customFormat="1" x14ac:dyDescent="0.25">
      <c r="A1" s="1" t="s">
        <v>274</v>
      </c>
      <c r="B1" s="1" t="s">
        <v>757</v>
      </c>
      <c r="I1" s="1" t="s">
        <v>831</v>
      </c>
    </row>
    <row r="2" spans="1:9" x14ac:dyDescent="0.25">
      <c r="A2" t="s">
        <v>616</v>
      </c>
    </row>
    <row r="3" spans="1:9" x14ac:dyDescent="0.25">
      <c r="A3" t="s">
        <v>758</v>
      </c>
    </row>
    <row r="4" spans="1:9" x14ac:dyDescent="0.25">
      <c r="A4" t="s">
        <v>759</v>
      </c>
    </row>
    <row r="5" spans="1:9" x14ac:dyDescent="0.25">
      <c r="A5" t="s">
        <v>760</v>
      </c>
    </row>
    <row r="6" spans="1:9" x14ac:dyDescent="0.25">
      <c r="A6" t="s">
        <v>329</v>
      </c>
    </row>
    <row r="7" spans="1:9" x14ac:dyDescent="0.25">
      <c r="A7" t="s">
        <v>761</v>
      </c>
    </row>
    <row r="8" spans="1:9" x14ac:dyDescent="0.25">
      <c r="A8" t="s">
        <v>589</v>
      </c>
    </row>
    <row r="9" spans="1:9" x14ac:dyDescent="0.25">
      <c r="A9" t="s">
        <v>762</v>
      </c>
    </row>
    <row r="10" spans="1:9" x14ac:dyDescent="0.25">
      <c r="A10" t="s">
        <v>69</v>
      </c>
    </row>
    <row r="11" spans="1:9" x14ac:dyDescent="0.25">
      <c r="A11" t="s">
        <v>763</v>
      </c>
    </row>
    <row r="12" spans="1:9" x14ac:dyDescent="0.25">
      <c r="A12" t="s">
        <v>764</v>
      </c>
    </row>
    <row r="13" spans="1:9" x14ac:dyDescent="0.25">
      <c r="A13" t="s">
        <v>765</v>
      </c>
    </row>
    <row r="14" spans="1:9" x14ac:dyDescent="0.25">
      <c r="A14" t="s">
        <v>766</v>
      </c>
    </row>
    <row r="15" spans="1:9" x14ac:dyDescent="0.25">
      <c r="A15" t="s">
        <v>767</v>
      </c>
    </row>
    <row r="16" spans="1:9" x14ac:dyDescent="0.25">
      <c r="A16" t="s">
        <v>768</v>
      </c>
    </row>
    <row r="17" spans="1:1" x14ac:dyDescent="0.25">
      <c r="A17" t="s">
        <v>769</v>
      </c>
    </row>
    <row r="18" spans="1:1" x14ac:dyDescent="0.25">
      <c r="A18" t="s">
        <v>770</v>
      </c>
    </row>
    <row r="19" spans="1:1" x14ac:dyDescent="0.25">
      <c r="A19" t="s">
        <v>771</v>
      </c>
    </row>
    <row r="20" spans="1:1" x14ac:dyDescent="0.25">
      <c r="A20" t="s">
        <v>772</v>
      </c>
    </row>
    <row r="21" spans="1:1" x14ac:dyDescent="0.25">
      <c r="A21" t="s">
        <v>773</v>
      </c>
    </row>
    <row r="22" spans="1:1" x14ac:dyDescent="0.25">
      <c r="A22" t="s">
        <v>587</v>
      </c>
    </row>
    <row r="23" spans="1:1" x14ac:dyDescent="0.25">
      <c r="A23" t="s">
        <v>614</v>
      </c>
    </row>
    <row r="24" spans="1:1" x14ac:dyDescent="0.25">
      <c r="A24" t="s">
        <v>774</v>
      </c>
    </row>
    <row r="25" spans="1:1" x14ac:dyDescent="0.25">
      <c r="A25" t="s">
        <v>775</v>
      </c>
    </row>
    <row r="26" spans="1:1" x14ac:dyDescent="0.25">
      <c r="A26" t="s">
        <v>642</v>
      </c>
    </row>
    <row r="27" spans="1:1" x14ac:dyDescent="0.25">
      <c r="A27" t="s">
        <v>689</v>
      </c>
    </row>
    <row r="28" spans="1:1" x14ac:dyDescent="0.25">
      <c r="A28" t="s">
        <v>776</v>
      </c>
    </row>
    <row r="29" spans="1:1" x14ac:dyDescent="0.25">
      <c r="A29" t="s">
        <v>777</v>
      </c>
    </row>
    <row r="30" spans="1:1" x14ac:dyDescent="0.25">
      <c r="A30" t="s">
        <v>282</v>
      </c>
    </row>
    <row r="31" spans="1:1" x14ac:dyDescent="0.25">
      <c r="A31" t="s">
        <v>684</v>
      </c>
    </row>
    <row r="32" spans="1:1" x14ac:dyDescent="0.25">
      <c r="A32" t="s">
        <v>676</v>
      </c>
    </row>
    <row r="33" spans="1:1" x14ac:dyDescent="0.25">
      <c r="A33" t="s">
        <v>651</v>
      </c>
    </row>
    <row r="34" spans="1:1" x14ac:dyDescent="0.25">
      <c r="A34" t="s">
        <v>778</v>
      </c>
    </row>
    <row r="35" spans="1:1" x14ac:dyDescent="0.25">
      <c r="A35" t="s">
        <v>779</v>
      </c>
    </row>
    <row r="36" spans="1:1" x14ac:dyDescent="0.25">
      <c r="A36" t="s">
        <v>780</v>
      </c>
    </row>
    <row r="37" spans="1:1" x14ac:dyDescent="0.25">
      <c r="A37" t="s">
        <v>659</v>
      </c>
    </row>
    <row r="38" spans="1:1" x14ac:dyDescent="0.25">
      <c r="A38" t="s">
        <v>781</v>
      </c>
    </row>
    <row r="39" spans="1:1" x14ac:dyDescent="0.25">
      <c r="A39" t="s">
        <v>85</v>
      </c>
    </row>
    <row r="40" spans="1:1" x14ac:dyDescent="0.25">
      <c r="A40" t="s">
        <v>782</v>
      </c>
    </row>
    <row r="41" spans="1:1" x14ac:dyDescent="0.25">
      <c r="A41" t="s">
        <v>783</v>
      </c>
    </row>
    <row r="42" spans="1:1" x14ac:dyDescent="0.25">
      <c r="A42" t="s">
        <v>784</v>
      </c>
    </row>
    <row r="43" spans="1:1" x14ac:dyDescent="0.25">
      <c r="A43" t="s">
        <v>785</v>
      </c>
    </row>
    <row r="44" spans="1:1" x14ac:dyDescent="0.25">
      <c r="A44" t="s">
        <v>786</v>
      </c>
    </row>
    <row r="45" spans="1:1" x14ac:dyDescent="0.25">
      <c r="A45" t="s">
        <v>787</v>
      </c>
    </row>
    <row r="46" spans="1:1" x14ac:dyDescent="0.25">
      <c r="A46" t="s">
        <v>623</v>
      </c>
    </row>
    <row r="47" spans="1:1" x14ac:dyDescent="0.25">
      <c r="A47" t="s">
        <v>788</v>
      </c>
    </row>
    <row r="48" spans="1:1" x14ac:dyDescent="0.25">
      <c r="A48" t="s">
        <v>648</v>
      </c>
    </row>
    <row r="49" spans="1:1" x14ac:dyDescent="0.25">
      <c r="A49" t="s">
        <v>630</v>
      </c>
    </row>
    <row r="50" spans="1:1" x14ac:dyDescent="0.25">
      <c r="A50" t="s">
        <v>656</v>
      </c>
    </row>
    <row r="51" spans="1:1" x14ac:dyDescent="0.25">
      <c r="A51" t="s">
        <v>789</v>
      </c>
    </row>
    <row r="52" spans="1:1" x14ac:dyDescent="0.25">
      <c r="A52" t="s">
        <v>790</v>
      </c>
    </row>
    <row r="53" spans="1:1" x14ac:dyDescent="0.25">
      <c r="A53" t="s">
        <v>791</v>
      </c>
    </row>
    <row r="54" spans="1:1" x14ac:dyDescent="0.25">
      <c r="A54" t="s">
        <v>792</v>
      </c>
    </row>
    <row r="55" spans="1:1" x14ac:dyDescent="0.25">
      <c r="A55" t="s">
        <v>793</v>
      </c>
    </row>
    <row r="56" spans="1:1" x14ac:dyDescent="0.25">
      <c r="A56" t="s">
        <v>622</v>
      </c>
    </row>
    <row r="57" spans="1:1" x14ac:dyDescent="0.25">
      <c r="A57" t="s">
        <v>794</v>
      </c>
    </row>
    <row r="58" spans="1:1" x14ac:dyDescent="0.25">
      <c r="A58" t="s">
        <v>795</v>
      </c>
    </row>
    <row r="59" spans="1:1" x14ac:dyDescent="0.25">
      <c r="A59" t="s">
        <v>603</v>
      </c>
    </row>
    <row r="60" spans="1:1" x14ac:dyDescent="0.25">
      <c r="A60" t="s">
        <v>796</v>
      </c>
    </row>
    <row r="61" spans="1:1" x14ac:dyDescent="0.25">
      <c r="A61" t="s">
        <v>797</v>
      </c>
    </row>
    <row r="62" spans="1:1" x14ac:dyDescent="0.25">
      <c r="A62" t="s">
        <v>798</v>
      </c>
    </row>
    <row r="63" spans="1:1" x14ac:dyDescent="0.25">
      <c r="A63" t="s">
        <v>799</v>
      </c>
    </row>
    <row r="64" spans="1:1" x14ac:dyDescent="0.25">
      <c r="A64" t="s">
        <v>800</v>
      </c>
    </row>
    <row r="65" spans="1:1" x14ac:dyDescent="0.25">
      <c r="A65" t="s">
        <v>801</v>
      </c>
    </row>
    <row r="66" spans="1:1" x14ac:dyDescent="0.25">
      <c r="A66" t="s">
        <v>802</v>
      </c>
    </row>
    <row r="67" spans="1:1" x14ac:dyDescent="0.25">
      <c r="A67" t="s">
        <v>611</v>
      </c>
    </row>
    <row r="68" spans="1:1" x14ac:dyDescent="0.25">
      <c r="A68" t="s">
        <v>803</v>
      </c>
    </row>
    <row r="69" spans="1:1" x14ac:dyDescent="0.25">
      <c r="A69" t="s">
        <v>631</v>
      </c>
    </row>
    <row r="70" spans="1:1" x14ac:dyDescent="0.25">
      <c r="A70" t="s">
        <v>804</v>
      </c>
    </row>
    <row r="71" spans="1:1" x14ac:dyDescent="0.25">
      <c r="A71" t="s">
        <v>621</v>
      </c>
    </row>
    <row r="72" spans="1:1" x14ac:dyDescent="0.25">
      <c r="A72" t="s">
        <v>805</v>
      </c>
    </row>
    <row r="73" spans="1:1" x14ac:dyDescent="0.25">
      <c r="A73" t="s">
        <v>597</v>
      </c>
    </row>
    <row r="74" spans="1:1" x14ac:dyDescent="0.25">
      <c r="A74" t="s">
        <v>806</v>
      </c>
    </row>
    <row r="75" spans="1:1" x14ac:dyDescent="0.25">
      <c r="A75" t="s">
        <v>807</v>
      </c>
    </row>
    <row r="76" spans="1:1" x14ac:dyDescent="0.25">
      <c r="A76" t="s">
        <v>808</v>
      </c>
    </row>
    <row r="77" spans="1:1" x14ac:dyDescent="0.25">
      <c r="A77" t="s">
        <v>600</v>
      </c>
    </row>
    <row r="78" spans="1:1" x14ac:dyDescent="0.25">
      <c r="A78" t="s">
        <v>809</v>
      </c>
    </row>
    <row r="79" spans="1:1" x14ac:dyDescent="0.25">
      <c r="A79" t="s">
        <v>624</v>
      </c>
    </row>
    <row r="80" spans="1:1" x14ac:dyDescent="0.25">
      <c r="A80" t="s">
        <v>810</v>
      </c>
    </row>
    <row r="81" spans="1:1" x14ac:dyDescent="0.25">
      <c r="A81" t="s">
        <v>811</v>
      </c>
    </row>
    <row r="82" spans="1:1" x14ac:dyDescent="0.25">
      <c r="A82" t="s">
        <v>812</v>
      </c>
    </row>
    <row r="83" spans="1:1" x14ac:dyDescent="0.25">
      <c r="A83" t="s">
        <v>813</v>
      </c>
    </row>
    <row r="84" spans="1:1" x14ac:dyDescent="0.25">
      <c r="A84" t="s">
        <v>814</v>
      </c>
    </row>
    <row r="85" spans="1:1" x14ac:dyDescent="0.25">
      <c r="A85" t="s">
        <v>815</v>
      </c>
    </row>
    <row r="86" spans="1:1" x14ac:dyDescent="0.25">
      <c r="A86" t="s">
        <v>816</v>
      </c>
    </row>
    <row r="87" spans="1:1" x14ac:dyDescent="0.25">
      <c r="A87" t="s">
        <v>817</v>
      </c>
    </row>
    <row r="88" spans="1:1" x14ac:dyDescent="0.25">
      <c r="A88" t="s">
        <v>818</v>
      </c>
    </row>
    <row r="89" spans="1:1" x14ac:dyDescent="0.25">
      <c r="A89" t="s">
        <v>819</v>
      </c>
    </row>
    <row r="90" spans="1:1" x14ac:dyDescent="0.25">
      <c r="A90" t="s">
        <v>820</v>
      </c>
    </row>
    <row r="91" spans="1:1" x14ac:dyDescent="0.25">
      <c r="A91" t="s">
        <v>821</v>
      </c>
    </row>
    <row r="92" spans="1:1" x14ac:dyDescent="0.25">
      <c r="A92" t="s">
        <v>822</v>
      </c>
    </row>
    <row r="93" spans="1:1" x14ac:dyDescent="0.25">
      <c r="A93" t="s">
        <v>823</v>
      </c>
    </row>
    <row r="94" spans="1:1" x14ac:dyDescent="0.25">
      <c r="A94" t="s">
        <v>824</v>
      </c>
    </row>
    <row r="95" spans="1:1" x14ac:dyDescent="0.25">
      <c r="A95" t="s">
        <v>825</v>
      </c>
    </row>
    <row r="96" spans="1:1" x14ac:dyDescent="0.25">
      <c r="A96" t="s">
        <v>826</v>
      </c>
    </row>
    <row r="97" spans="1:1" x14ac:dyDescent="0.25">
      <c r="A97" t="s">
        <v>634</v>
      </c>
    </row>
    <row r="98" spans="1:1" x14ac:dyDescent="0.25">
      <c r="A98" t="s">
        <v>827</v>
      </c>
    </row>
    <row r="99" spans="1:1" x14ac:dyDescent="0.25">
      <c r="A99" t="s">
        <v>828</v>
      </c>
    </row>
    <row r="100" spans="1:1" x14ac:dyDescent="0.25">
      <c r="A100" t="s">
        <v>829</v>
      </c>
    </row>
    <row r="101" spans="1:1" x14ac:dyDescent="0.25">
      <c r="A101" t="s">
        <v>830</v>
      </c>
    </row>
  </sheetData>
  <autoFilter ref="A1:B101" xr:uid="{29101994-D330-4E1C-A633-D018330C56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CcliCombined</vt:lpstr>
      <vt:lpstr>CcliTop100Canada</vt:lpstr>
      <vt:lpstr>CcliTop100Usa</vt:lpstr>
      <vt:lpstr>CcliTop100Uk</vt:lpstr>
      <vt:lpstr>PraiseChartsTop100AllTime</vt:lpstr>
      <vt:lpstr>MultiTracksTop120</vt:lpstr>
      <vt:lpstr>MultiTracksTop120Global</vt:lpstr>
      <vt:lpstr>Top100HymnsBBC</vt:lpstr>
      <vt:lpstr>Top100HymnsPopularHymns</vt:lpstr>
      <vt:lpstr>Top100HymnsJWPepper</vt:lpstr>
      <vt:lpstr>Top100HymnsLifewayWorship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2021-01-03T18:18:46Z</dcterms:created>
  <dcterms:modified xsi:type="dcterms:W3CDTF">2021-01-12T05:05:18Z</dcterms:modified>
</cp:coreProperties>
</file>